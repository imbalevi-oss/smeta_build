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anbaevBK\Desktop\тестовые данные\"/>
    </mc:Choice>
  </mc:AlternateContent>
  <bookViews>
    <workbookView xWindow="930" yWindow="0" windowWidth="28800" windowHeight="11700" activeTab="4"/>
  </bookViews>
  <sheets>
    <sheet name="Смета СН-2012 по гл. 1-5" sheetId="6" r:id="rId1"/>
    <sheet name="Дефектная ведомость" sheetId="7" r:id="rId2"/>
    <sheet name="RV_DATA" sheetId="9" state="hidden" r:id="rId3"/>
    <sheet name="Расчет стоимости ресурсов" sheetId="8" r:id="rId4"/>
    <sheet name="Source" sheetId="1" r:id="rId5"/>
    <sheet name="SourceObSm" sheetId="2" r:id="rId6"/>
    <sheet name="SmtRes" sheetId="3" r:id="rId7"/>
    <sheet name="EtalonRes" sheetId="4" r:id="rId8"/>
    <sheet name="SrcKA" sheetId="5" r:id="rId9"/>
  </sheets>
  <definedNames>
    <definedName name="_xlnm.Print_Titles" localSheetId="1">'Дефектная ведомость'!$18:$18</definedName>
    <definedName name="_xlnm.Print_Titles" localSheetId="3">'Расчет стоимости ресурсов'!$4:$7</definedName>
    <definedName name="_xlnm.Print_Titles" localSheetId="0">'Смета СН-2012 по гл. 1-5'!$30:$30</definedName>
    <definedName name="_xlnm.Print_Area" localSheetId="1">'Дефектная ведомость'!$A$1:$E$120</definedName>
    <definedName name="_xlnm.Print_Area" localSheetId="3">'Расчет стоимости ресурсов'!$A$1:$F$48</definedName>
    <definedName name="_xlnm.Print_Area" localSheetId="0">'Смета СН-2012 по гл. 1-5'!$A$1:$K$577</definedName>
  </definedNames>
  <calcPr calcId="162913"/>
</workbook>
</file>

<file path=xl/calcChain.xml><?xml version="1.0" encoding="utf-8"?>
<calcChain xmlns="http://schemas.openxmlformats.org/spreadsheetml/2006/main">
  <c r="G36" i="9" l="1"/>
  <c r="A36" i="9"/>
  <c r="Z35" i="9"/>
  <c r="H35" i="9"/>
  <c r="G35" i="9"/>
  <c r="F35" i="9"/>
  <c r="E35" i="9"/>
  <c r="D35" i="9"/>
  <c r="A35" i="9"/>
  <c r="Z34" i="9"/>
  <c r="H34" i="9"/>
  <c r="G34" i="9"/>
  <c r="F34" i="9"/>
  <c r="E34" i="9"/>
  <c r="D34" i="9"/>
  <c r="A34" i="9"/>
  <c r="Z33" i="9"/>
  <c r="H33" i="9"/>
  <c r="G33" i="9"/>
  <c r="F33" i="9"/>
  <c r="E33" i="9"/>
  <c r="D33" i="9"/>
  <c r="A33" i="9"/>
  <c r="G32" i="9"/>
  <c r="A32" i="9"/>
  <c r="Z31" i="9"/>
  <c r="H31" i="9"/>
  <c r="G31" i="9"/>
  <c r="F31" i="9"/>
  <c r="E31" i="9"/>
  <c r="D31" i="9"/>
  <c r="A31" i="9"/>
  <c r="Z30" i="9"/>
  <c r="H30" i="9"/>
  <c r="G30" i="9"/>
  <c r="F30" i="9"/>
  <c r="E30" i="9"/>
  <c r="D30" i="9"/>
  <c r="A30" i="9"/>
  <c r="Z29" i="9"/>
  <c r="H29" i="9"/>
  <c r="G29" i="9"/>
  <c r="F29" i="9"/>
  <c r="E29" i="9"/>
  <c r="D29" i="9"/>
  <c r="A29" i="9"/>
  <c r="Z28" i="9"/>
  <c r="H28" i="9"/>
  <c r="G28" i="9"/>
  <c r="F28" i="9"/>
  <c r="E28" i="9"/>
  <c r="D28" i="9"/>
  <c r="A28" i="9"/>
  <c r="G27" i="9"/>
  <c r="A27" i="9"/>
  <c r="G26" i="9"/>
  <c r="A26" i="9"/>
  <c r="G25" i="9"/>
  <c r="A25" i="9"/>
  <c r="G24" i="9"/>
  <c r="A24" i="9"/>
  <c r="Z23" i="9"/>
  <c r="H23" i="9"/>
  <c r="G23" i="9"/>
  <c r="F23" i="9"/>
  <c r="E23" i="9"/>
  <c r="D23" i="9"/>
  <c r="A23" i="9"/>
  <c r="Z22" i="9"/>
  <c r="H22" i="9"/>
  <c r="G22" i="9"/>
  <c r="F22" i="9"/>
  <c r="E22" i="9"/>
  <c r="D22" i="9"/>
  <c r="A22" i="9"/>
  <c r="Z21" i="9"/>
  <c r="H21" i="9"/>
  <c r="G21" i="9"/>
  <c r="F21" i="9"/>
  <c r="E21" i="9"/>
  <c r="D21" i="9"/>
  <c r="A21" i="9"/>
  <c r="Z20" i="9"/>
  <c r="H20" i="9"/>
  <c r="G20" i="9"/>
  <c r="F20" i="9"/>
  <c r="E20" i="9"/>
  <c r="D20" i="9"/>
  <c r="A20" i="9"/>
  <c r="Z19" i="9"/>
  <c r="H19" i="9"/>
  <c r="G19" i="9"/>
  <c r="F19" i="9"/>
  <c r="E19" i="9"/>
  <c r="D19" i="9"/>
  <c r="A19" i="9"/>
  <c r="G18" i="9"/>
  <c r="A18" i="9"/>
  <c r="Z17" i="9"/>
  <c r="H17" i="9"/>
  <c r="G17" i="9"/>
  <c r="F17" i="9"/>
  <c r="E17" i="9"/>
  <c r="D17" i="9"/>
  <c r="A17" i="9"/>
  <c r="Z16" i="9"/>
  <c r="H16" i="9"/>
  <c r="G16" i="9"/>
  <c r="F16" i="9"/>
  <c r="E16" i="9"/>
  <c r="D16" i="9"/>
  <c r="A16" i="9"/>
  <c r="Z15" i="9"/>
  <c r="H15" i="9"/>
  <c r="G15" i="9"/>
  <c r="F15" i="9"/>
  <c r="E15" i="9"/>
  <c r="D15" i="9"/>
  <c r="A15" i="9"/>
  <c r="Z14" i="9"/>
  <c r="H14" i="9"/>
  <c r="G14" i="9"/>
  <c r="F14" i="9"/>
  <c r="E14" i="9"/>
  <c r="D14" i="9"/>
  <c r="A14" i="9"/>
  <c r="Z13" i="9"/>
  <c r="H13" i="9"/>
  <c r="G13" i="9"/>
  <c r="F13" i="9"/>
  <c r="E13" i="9"/>
  <c r="D13" i="9"/>
  <c r="A13" i="9"/>
  <c r="Z12" i="9"/>
  <c r="H12" i="9"/>
  <c r="G12" i="9"/>
  <c r="F12" i="9"/>
  <c r="E12" i="9"/>
  <c r="D12" i="9"/>
  <c r="A12" i="9"/>
  <c r="G11" i="9"/>
  <c r="A11" i="9"/>
  <c r="Z10" i="9"/>
  <c r="H10" i="9"/>
  <c r="G10" i="9"/>
  <c r="F10" i="9"/>
  <c r="E10" i="9"/>
  <c r="D10" i="9"/>
  <c r="A10" i="9"/>
  <c r="G9" i="9"/>
  <c r="A9" i="9"/>
  <c r="G8" i="9"/>
  <c r="A8" i="9"/>
  <c r="G7" i="9"/>
  <c r="A7" i="9"/>
  <c r="G6" i="9"/>
  <c r="A6" i="9"/>
  <c r="D115" i="7"/>
  <c r="C115" i="7"/>
  <c r="B115" i="7"/>
  <c r="D114" i="7"/>
  <c r="C114" i="7"/>
  <c r="B114" i="7"/>
  <c r="D113" i="7"/>
  <c r="C113" i="7"/>
  <c r="B113" i="7"/>
  <c r="A112" i="7"/>
  <c r="C111" i="7"/>
  <c r="B111" i="7"/>
  <c r="D110" i="7"/>
  <c r="C110" i="7"/>
  <c r="B110" i="7"/>
  <c r="C109" i="7"/>
  <c r="B109" i="7"/>
  <c r="D108" i="7"/>
  <c r="C108" i="7"/>
  <c r="B108" i="7"/>
  <c r="D107" i="7"/>
  <c r="C107" i="7"/>
  <c r="B107" i="7"/>
  <c r="C106" i="7"/>
  <c r="B106" i="7"/>
  <c r="D105" i="7"/>
  <c r="C105" i="7"/>
  <c r="B105" i="7"/>
  <c r="D104" i="7"/>
  <c r="C104" i="7"/>
  <c r="B104" i="7"/>
  <c r="A103" i="7"/>
  <c r="C102" i="7"/>
  <c r="B102" i="7"/>
  <c r="D101" i="7"/>
  <c r="C101" i="7"/>
  <c r="B101" i="7"/>
  <c r="D100" i="7"/>
  <c r="C100" i="7"/>
  <c r="B100" i="7"/>
  <c r="C99" i="7"/>
  <c r="B99" i="7"/>
  <c r="D98" i="7"/>
  <c r="C98" i="7"/>
  <c r="B98" i="7"/>
  <c r="C97" i="7"/>
  <c r="B97" i="7"/>
  <c r="C96" i="7"/>
  <c r="B96" i="7"/>
  <c r="C95" i="7"/>
  <c r="B95" i="7"/>
  <c r="C94" i="7"/>
  <c r="B94" i="7"/>
  <c r="C93" i="7"/>
  <c r="B93" i="7"/>
  <c r="A92" i="7"/>
  <c r="D91" i="7"/>
  <c r="C91" i="7"/>
  <c r="B91" i="7"/>
  <c r="D90" i="7"/>
  <c r="C90" i="7"/>
  <c r="B90" i="7"/>
  <c r="D89" i="7"/>
  <c r="C89" i="7"/>
  <c r="B89" i="7"/>
  <c r="D88" i="7"/>
  <c r="C88" i="7"/>
  <c r="B88" i="7"/>
  <c r="D87" i="7"/>
  <c r="C87" i="7"/>
  <c r="B87" i="7"/>
  <c r="D86" i="7"/>
  <c r="C86" i="7"/>
  <c r="B86" i="7"/>
  <c r="D85" i="7"/>
  <c r="C85" i="7"/>
  <c r="B85" i="7"/>
  <c r="A84" i="7"/>
  <c r="C83" i="7"/>
  <c r="B83" i="7"/>
  <c r="D82" i="7"/>
  <c r="C82" i="7"/>
  <c r="B82" i="7"/>
  <c r="C81" i="7"/>
  <c r="B81" i="7"/>
  <c r="D80" i="7"/>
  <c r="C80" i="7"/>
  <c r="B80" i="7"/>
  <c r="C79" i="7"/>
  <c r="B79" i="7"/>
  <c r="D78" i="7"/>
  <c r="C78" i="7"/>
  <c r="B78" i="7"/>
  <c r="D77" i="7"/>
  <c r="C77" i="7"/>
  <c r="B77" i="7"/>
  <c r="D76" i="7"/>
  <c r="C76" i="7"/>
  <c r="B76" i="7"/>
  <c r="A75" i="7"/>
  <c r="A74" i="7"/>
  <c r="C73" i="7"/>
  <c r="B73" i="7"/>
  <c r="C72" i="7"/>
  <c r="B72" i="7"/>
  <c r="D71" i="7"/>
  <c r="C71" i="7"/>
  <c r="B71" i="7"/>
  <c r="C70" i="7"/>
  <c r="B70" i="7"/>
  <c r="C69" i="7"/>
  <c r="B69" i="7"/>
  <c r="D68" i="7"/>
  <c r="C68" i="7"/>
  <c r="B68" i="7"/>
  <c r="C67" i="7"/>
  <c r="B67" i="7"/>
  <c r="D66" i="7"/>
  <c r="C66" i="7"/>
  <c r="B66" i="7"/>
  <c r="D65" i="7"/>
  <c r="C65" i="7"/>
  <c r="B65" i="7"/>
  <c r="D64" i="7"/>
  <c r="C64" i="7"/>
  <c r="B64" i="7"/>
  <c r="D63" i="7"/>
  <c r="C63" i="7"/>
  <c r="B63" i="7"/>
  <c r="D62" i="7"/>
  <c r="C62" i="7"/>
  <c r="B62" i="7"/>
  <c r="A61" i="7"/>
  <c r="D60" i="7"/>
  <c r="C60" i="7"/>
  <c r="B60" i="7"/>
  <c r="C59" i="7"/>
  <c r="B59" i="7"/>
  <c r="D58" i="7"/>
  <c r="C58" i="7"/>
  <c r="B58" i="7"/>
  <c r="C57" i="7"/>
  <c r="B57" i="7"/>
  <c r="D56" i="7"/>
  <c r="C56" i="7"/>
  <c r="B56" i="7"/>
  <c r="D55" i="7"/>
  <c r="C55" i="7"/>
  <c r="B55" i="7"/>
  <c r="C54" i="7"/>
  <c r="B54" i="7"/>
  <c r="D53" i="7"/>
  <c r="C53" i="7"/>
  <c r="B53" i="7"/>
  <c r="C52" i="7"/>
  <c r="B52" i="7"/>
  <c r="D51" i="7"/>
  <c r="C51" i="7"/>
  <c r="B51" i="7"/>
  <c r="D50" i="7"/>
  <c r="C50" i="7"/>
  <c r="B50" i="7"/>
  <c r="D49" i="7"/>
  <c r="C49" i="7"/>
  <c r="B49" i="7"/>
  <c r="C48" i="7"/>
  <c r="B48" i="7"/>
  <c r="C47" i="7"/>
  <c r="B47" i="7"/>
  <c r="C46" i="7"/>
  <c r="B46" i="7"/>
  <c r="C45" i="7"/>
  <c r="B45" i="7"/>
  <c r="C44" i="7"/>
  <c r="B44" i="7"/>
  <c r="A43" i="7"/>
  <c r="C42" i="7"/>
  <c r="B42" i="7"/>
  <c r="D41" i="7"/>
  <c r="C41" i="7"/>
  <c r="B41" i="7"/>
  <c r="D40" i="7"/>
  <c r="C40" i="7"/>
  <c r="B40" i="7"/>
  <c r="D39" i="7"/>
  <c r="C39" i="7"/>
  <c r="B39" i="7"/>
  <c r="D38" i="7"/>
  <c r="C38" i="7"/>
  <c r="B38" i="7"/>
  <c r="D37" i="7"/>
  <c r="C37" i="7"/>
  <c r="B37" i="7"/>
  <c r="D36" i="7"/>
  <c r="C36" i="7"/>
  <c r="B36" i="7"/>
  <c r="D35" i="7"/>
  <c r="C35" i="7"/>
  <c r="B35" i="7"/>
  <c r="D34" i="7"/>
  <c r="C34" i="7"/>
  <c r="B34" i="7"/>
  <c r="D33" i="7"/>
  <c r="C33" i="7"/>
  <c r="B33" i="7"/>
  <c r="A32" i="7"/>
  <c r="D31" i="7"/>
  <c r="C31" i="7"/>
  <c r="B31" i="7"/>
  <c r="D30" i="7"/>
  <c r="C30" i="7"/>
  <c r="B30" i="7"/>
  <c r="D29" i="7"/>
  <c r="C29" i="7"/>
  <c r="B29" i="7"/>
  <c r="C28" i="7"/>
  <c r="B28" i="7"/>
  <c r="D27" i="7"/>
  <c r="C27" i="7"/>
  <c r="B27" i="7"/>
  <c r="D26" i="7"/>
  <c r="C26" i="7"/>
  <c r="B26" i="7"/>
  <c r="C25" i="7"/>
  <c r="B25" i="7"/>
  <c r="D24" i="7"/>
  <c r="C24" i="7"/>
  <c r="B24" i="7"/>
  <c r="C23" i="7"/>
  <c r="B23" i="7"/>
  <c r="D22" i="7"/>
  <c r="C22" i="7"/>
  <c r="B22" i="7"/>
  <c r="A21" i="7"/>
  <c r="A20" i="7"/>
  <c r="A19" i="7"/>
  <c r="AD12" i="7"/>
  <c r="A11" i="7"/>
  <c r="A1" i="7"/>
  <c r="H575" i="6"/>
  <c r="H572" i="6"/>
  <c r="C575" i="6"/>
  <c r="C572" i="6"/>
  <c r="C569" i="6"/>
  <c r="C568" i="6"/>
  <c r="C567" i="6"/>
  <c r="C566" i="6"/>
  <c r="C565" i="6"/>
  <c r="I555" i="6"/>
  <c r="H555" i="6"/>
  <c r="G555" i="6"/>
  <c r="F555" i="6"/>
  <c r="I554" i="6"/>
  <c r="H554" i="6"/>
  <c r="G554" i="6"/>
  <c r="F554" i="6"/>
  <c r="E553" i="6"/>
  <c r="D553" i="6"/>
  <c r="C553" i="6"/>
  <c r="B553" i="6"/>
  <c r="I551" i="6"/>
  <c r="H551" i="6"/>
  <c r="G551" i="6"/>
  <c r="F551" i="6"/>
  <c r="I550" i="6"/>
  <c r="H550" i="6"/>
  <c r="G550" i="6"/>
  <c r="F550" i="6"/>
  <c r="E549" i="6"/>
  <c r="D549" i="6"/>
  <c r="C549" i="6"/>
  <c r="B549" i="6"/>
  <c r="E547" i="6"/>
  <c r="I546" i="6"/>
  <c r="H546" i="6"/>
  <c r="G546" i="6"/>
  <c r="F546" i="6"/>
  <c r="I545" i="6"/>
  <c r="H545" i="6"/>
  <c r="G545" i="6"/>
  <c r="F545" i="6"/>
  <c r="E544" i="6"/>
  <c r="D544" i="6"/>
  <c r="C544" i="6"/>
  <c r="B544" i="6"/>
  <c r="A543" i="6"/>
  <c r="H534" i="6"/>
  <c r="G534" i="6"/>
  <c r="E534" i="6"/>
  <c r="E533" i="6"/>
  <c r="E532" i="6"/>
  <c r="I531" i="6"/>
  <c r="H531" i="6"/>
  <c r="F531" i="6"/>
  <c r="D531" i="6"/>
  <c r="C531" i="6"/>
  <c r="B531" i="6"/>
  <c r="I530" i="6"/>
  <c r="H530" i="6"/>
  <c r="G530" i="6"/>
  <c r="F530" i="6"/>
  <c r="E529" i="6"/>
  <c r="D529" i="6"/>
  <c r="C529" i="6"/>
  <c r="B529" i="6"/>
  <c r="H527" i="6"/>
  <c r="G527" i="6"/>
  <c r="E527" i="6"/>
  <c r="E526" i="6"/>
  <c r="E525" i="6"/>
  <c r="I524" i="6"/>
  <c r="H524" i="6"/>
  <c r="F524" i="6"/>
  <c r="D524" i="6"/>
  <c r="C524" i="6"/>
  <c r="B524" i="6"/>
  <c r="I523" i="6"/>
  <c r="H523" i="6"/>
  <c r="G523" i="6"/>
  <c r="F523" i="6"/>
  <c r="E522" i="6"/>
  <c r="D522" i="6"/>
  <c r="C522" i="6"/>
  <c r="B522" i="6"/>
  <c r="H520" i="6"/>
  <c r="G520" i="6"/>
  <c r="E520" i="6"/>
  <c r="E519" i="6"/>
  <c r="E518" i="6"/>
  <c r="E517" i="6"/>
  <c r="I516" i="6"/>
  <c r="H516" i="6"/>
  <c r="G516" i="6"/>
  <c r="F516" i="6"/>
  <c r="I515" i="6"/>
  <c r="H515" i="6"/>
  <c r="G515" i="6"/>
  <c r="F515" i="6"/>
  <c r="I514" i="6"/>
  <c r="H514" i="6"/>
  <c r="G514" i="6"/>
  <c r="F514" i="6"/>
  <c r="I513" i="6"/>
  <c r="H513" i="6"/>
  <c r="G513" i="6"/>
  <c r="F513" i="6"/>
  <c r="E512" i="6"/>
  <c r="D512" i="6"/>
  <c r="C512" i="6"/>
  <c r="B512" i="6"/>
  <c r="H510" i="6"/>
  <c r="G510" i="6"/>
  <c r="E510" i="6"/>
  <c r="E509" i="6"/>
  <c r="E508" i="6"/>
  <c r="I507" i="6"/>
  <c r="H507" i="6"/>
  <c r="F507" i="6"/>
  <c r="D507" i="6"/>
  <c r="C507" i="6"/>
  <c r="B507" i="6"/>
  <c r="I506" i="6"/>
  <c r="H506" i="6"/>
  <c r="G506" i="6"/>
  <c r="F506" i="6"/>
  <c r="E505" i="6"/>
  <c r="D505" i="6"/>
  <c r="C505" i="6"/>
  <c r="B505" i="6"/>
  <c r="H503" i="6"/>
  <c r="G503" i="6"/>
  <c r="E503" i="6"/>
  <c r="E502" i="6"/>
  <c r="E501" i="6"/>
  <c r="I500" i="6"/>
  <c r="H500" i="6"/>
  <c r="G500" i="6"/>
  <c r="F500" i="6"/>
  <c r="E499" i="6"/>
  <c r="D499" i="6"/>
  <c r="C499" i="6"/>
  <c r="B499" i="6"/>
  <c r="A498" i="6"/>
  <c r="H492" i="6"/>
  <c r="G492" i="6"/>
  <c r="E492" i="6"/>
  <c r="E491" i="6"/>
  <c r="E490" i="6"/>
  <c r="I489" i="6"/>
  <c r="H489" i="6"/>
  <c r="F489" i="6"/>
  <c r="D489" i="6"/>
  <c r="C489" i="6"/>
  <c r="B489" i="6"/>
  <c r="I488" i="6"/>
  <c r="H488" i="6"/>
  <c r="G488" i="6"/>
  <c r="F488" i="6"/>
  <c r="I487" i="6"/>
  <c r="H487" i="6"/>
  <c r="G487" i="6"/>
  <c r="F487" i="6"/>
  <c r="E486" i="6"/>
  <c r="D486" i="6"/>
  <c r="C486" i="6"/>
  <c r="B486" i="6"/>
  <c r="H484" i="6"/>
  <c r="G484" i="6"/>
  <c r="E484" i="6"/>
  <c r="E483" i="6"/>
  <c r="E482" i="6"/>
  <c r="I481" i="6"/>
  <c r="H481" i="6"/>
  <c r="G481" i="6"/>
  <c r="F481" i="6"/>
  <c r="I480" i="6"/>
  <c r="H480" i="6"/>
  <c r="G480" i="6"/>
  <c r="F480" i="6"/>
  <c r="E479" i="6"/>
  <c r="D479" i="6"/>
  <c r="C479" i="6"/>
  <c r="B479" i="6"/>
  <c r="H477" i="6"/>
  <c r="G477" i="6"/>
  <c r="E477" i="6"/>
  <c r="E476" i="6"/>
  <c r="E475" i="6"/>
  <c r="E474" i="6"/>
  <c r="I473" i="6"/>
  <c r="H473" i="6"/>
  <c r="F473" i="6"/>
  <c r="D473" i="6"/>
  <c r="C473" i="6"/>
  <c r="B473" i="6"/>
  <c r="I472" i="6"/>
  <c r="H472" i="6"/>
  <c r="G472" i="6"/>
  <c r="F472" i="6"/>
  <c r="I471" i="6"/>
  <c r="H471" i="6"/>
  <c r="G471" i="6"/>
  <c r="F471" i="6"/>
  <c r="I470" i="6"/>
  <c r="H470" i="6"/>
  <c r="G470" i="6"/>
  <c r="F470" i="6"/>
  <c r="I469" i="6"/>
  <c r="H469" i="6"/>
  <c r="G469" i="6"/>
  <c r="F469" i="6"/>
  <c r="E468" i="6"/>
  <c r="D468" i="6"/>
  <c r="C468" i="6"/>
  <c r="B468" i="6"/>
  <c r="H466" i="6"/>
  <c r="G466" i="6"/>
  <c r="E466" i="6"/>
  <c r="E465" i="6"/>
  <c r="E464" i="6"/>
  <c r="E463" i="6"/>
  <c r="I462" i="6"/>
  <c r="H462" i="6"/>
  <c r="F462" i="6"/>
  <c r="D462" i="6"/>
  <c r="C462" i="6"/>
  <c r="B462" i="6"/>
  <c r="I461" i="6"/>
  <c r="H461" i="6"/>
  <c r="F461" i="6"/>
  <c r="D461" i="6"/>
  <c r="C461" i="6"/>
  <c r="B461" i="6"/>
  <c r="I460" i="6"/>
  <c r="H460" i="6"/>
  <c r="F460" i="6"/>
  <c r="D460" i="6"/>
  <c r="C460" i="6"/>
  <c r="B460" i="6"/>
  <c r="I459" i="6"/>
  <c r="H459" i="6"/>
  <c r="F459" i="6"/>
  <c r="D459" i="6"/>
  <c r="C459" i="6"/>
  <c r="B459" i="6"/>
  <c r="I458" i="6"/>
  <c r="H458" i="6"/>
  <c r="G458" i="6"/>
  <c r="F458" i="6"/>
  <c r="I457" i="6"/>
  <c r="H457" i="6"/>
  <c r="G457" i="6"/>
  <c r="F457" i="6"/>
  <c r="I456" i="6"/>
  <c r="H456" i="6"/>
  <c r="G456" i="6"/>
  <c r="F456" i="6"/>
  <c r="I455" i="6"/>
  <c r="H455" i="6"/>
  <c r="G455" i="6"/>
  <c r="F455" i="6"/>
  <c r="D453" i="6"/>
  <c r="C453" i="6"/>
  <c r="B453" i="6"/>
  <c r="A452" i="6"/>
  <c r="H446" i="6"/>
  <c r="G446" i="6"/>
  <c r="E446" i="6"/>
  <c r="E445" i="6"/>
  <c r="E444" i="6"/>
  <c r="I443" i="6"/>
  <c r="H443" i="6"/>
  <c r="G443" i="6"/>
  <c r="F443" i="6"/>
  <c r="I442" i="6"/>
  <c r="H442" i="6"/>
  <c r="G442" i="6"/>
  <c r="F442" i="6"/>
  <c r="E441" i="6"/>
  <c r="D441" i="6"/>
  <c r="C441" i="6"/>
  <c r="B441" i="6"/>
  <c r="H439" i="6"/>
  <c r="G439" i="6"/>
  <c r="E439" i="6"/>
  <c r="E438" i="6"/>
  <c r="E437" i="6"/>
  <c r="I436" i="6"/>
  <c r="H436" i="6"/>
  <c r="G436" i="6"/>
  <c r="F436" i="6"/>
  <c r="I435" i="6"/>
  <c r="H435" i="6"/>
  <c r="G435" i="6"/>
  <c r="F435" i="6"/>
  <c r="E434" i="6"/>
  <c r="D434" i="6"/>
  <c r="C434" i="6"/>
  <c r="B434" i="6"/>
  <c r="H432" i="6"/>
  <c r="G432" i="6"/>
  <c r="E432" i="6"/>
  <c r="E431" i="6"/>
  <c r="E430" i="6"/>
  <c r="E429" i="6"/>
  <c r="I428" i="6"/>
  <c r="H428" i="6"/>
  <c r="G428" i="6"/>
  <c r="F428" i="6"/>
  <c r="I427" i="6"/>
  <c r="H427" i="6"/>
  <c r="G427" i="6"/>
  <c r="F427" i="6"/>
  <c r="I426" i="6"/>
  <c r="H426" i="6"/>
  <c r="G426" i="6"/>
  <c r="F426" i="6"/>
  <c r="I425" i="6"/>
  <c r="H425" i="6"/>
  <c r="G425" i="6"/>
  <c r="F425" i="6"/>
  <c r="E424" i="6"/>
  <c r="D424" i="6"/>
  <c r="C424" i="6"/>
  <c r="B424" i="6"/>
  <c r="H422" i="6"/>
  <c r="G422" i="6"/>
  <c r="E422" i="6"/>
  <c r="E421" i="6"/>
  <c r="E420" i="6"/>
  <c r="E419" i="6"/>
  <c r="I418" i="6"/>
  <c r="H418" i="6"/>
  <c r="G418" i="6"/>
  <c r="F418" i="6"/>
  <c r="I417" i="6"/>
  <c r="H417" i="6"/>
  <c r="G417" i="6"/>
  <c r="F417" i="6"/>
  <c r="I416" i="6"/>
  <c r="H416" i="6"/>
  <c r="G416" i="6"/>
  <c r="F416" i="6"/>
  <c r="I415" i="6"/>
  <c r="H415" i="6"/>
  <c r="G415" i="6"/>
  <c r="F415" i="6"/>
  <c r="E414" i="6"/>
  <c r="D414" i="6"/>
  <c r="C414" i="6"/>
  <c r="B414" i="6"/>
  <c r="H412" i="6"/>
  <c r="G412" i="6"/>
  <c r="E412" i="6"/>
  <c r="E411" i="6"/>
  <c r="E410" i="6"/>
  <c r="E409" i="6"/>
  <c r="I408" i="6"/>
  <c r="H408" i="6"/>
  <c r="G408" i="6"/>
  <c r="F408" i="6"/>
  <c r="I407" i="6"/>
  <c r="H407" i="6"/>
  <c r="G407" i="6"/>
  <c r="F407" i="6"/>
  <c r="I406" i="6"/>
  <c r="H406" i="6"/>
  <c r="G406" i="6"/>
  <c r="F406" i="6"/>
  <c r="I405" i="6"/>
  <c r="H405" i="6"/>
  <c r="G405" i="6"/>
  <c r="F405" i="6"/>
  <c r="E404" i="6"/>
  <c r="D404" i="6"/>
  <c r="C404" i="6"/>
  <c r="B404" i="6"/>
  <c r="H402" i="6"/>
  <c r="G402" i="6"/>
  <c r="E402" i="6"/>
  <c r="E401" i="6"/>
  <c r="E400" i="6"/>
  <c r="E399" i="6"/>
  <c r="I398" i="6"/>
  <c r="H398" i="6"/>
  <c r="G398" i="6"/>
  <c r="F398" i="6"/>
  <c r="I397" i="6"/>
  <c r="H397" i="6"/>
  <c r="G397" i="6"/>
  <c r="F397" i="6"/>
  <c r="I396" i="6"/>
  <c r="H396" i="6"/>
  <c r="G396" i="6"/>
  <c r="F396" i="6"/>
  <c r="I395" i="6"/>
  <c r="H395" i="6"/>
  <c r="G395" i="6"/>
  <c r="F395" i="6"/>
  <c r="E394" i="6"/>
  <c r="D394" i="6"/>
  <c r="C394" i="6"/>
  <c r="B394" i="6"/>
  <c r="H392" i="6"/>
  <c r="G392" i="6"/>
  <c r="E392" i="6"/>
  <c r="E391" i="6"/>
  <c r="E390" i="6"/>
  <c r="E389" i="6"/>
  <c r="I388" i="6"/>
  <c r="H388" i="6"/>
  <c r="G388" i="6"/>
  <c r="F388" i="6"/>
  <c r="I387" i="6"/>
  <c r="H387" i="6"/>
  <c r="G387" i="6"/>
  <c r="F387" i="6"/>
  <c r="I386" i="6"/>
  <c r="H386" i="6"/>
  <c r="G386" i="6"/>
  <c r="F386" i="6"/>
  <c r="I385" i="6"/>
  <c r="H385" i="6"/>
  <c r="G385" i="6"/>
  <c r="F385" i="6"/>
  <c r="E384" i="6"/>
  <c r="D384" i="6"/>
  <c r="C384" i="6"/>
  <c r="B384" i="6"/>
  <c r="A383" i="6"/>
  <c r="H377" i="6"/>
  <c r="G377" i="6"/>
  <c r="E377" i="6"/>
  <c r="E376" i="6"/>
  <c r="E375" i="6"/>
  <c r="I374" i="6"/>
  <c r="H374" i="6"/>
  <c r="F374" i="6"/>
  <c r="D374" i="6"/>
  <c r="C374" i="6"/>
  <c r="B374" i="6"/>
  <c r="I373" i="6"/>
  <c r="H373" i="6"/>
  <c r="G373" i="6"/>
  <c r="F373" i="6"/>
  <c r="E372" i="6"/>
  <c r="D372" i="6"/>
  <c r="C372" i="6"/>
  <c r="B372" i="6"/>
  <c r="H370" i="6"/>
  <c r="G370" i="6"/>
  <c r="E370" i="6"/>
  <c r="E369" i="6"/>
  <c r="E368" i="6"/>
  <c r="E367" i="6"/>
  <c r="I366" i="6"/>
  <c r="H366" i="6"/>
  <c r="F366" i="6"/>
  <c r="D366" i="6"/>
  <c r="C366" i="6"/>
  <c r="B366" i="6"/>
  <c r="I365" i="6"/>
  <c r="H365" i="6"/>
  <c r="G365" i="6"/>
  <c r="F365" i="6"/>
  <c r="I364" i="6"/>
  <c r="H364" i="6"/>
  <c r="G364" i="6"/>
  <c r="F364" i="6"/>
  <c r="I363" i="6"/>
  <c r="H363" i="6"/>
  <c r="G363" i="6"/>
  <c r="F363" i="6"/>
  <c r="I362" i="6"/>
  <c r="H362" i="6"/>
  <c r="G362" i="6"/>
  <c r="F362" i="6"/>
  <c r="E361" i="6"/>
  <c r="D361" i="6"/>
  <c r="C361" i="6"/>
  <c r="B361" i="6"/>
  <c r="H359" i="6"/>
  <c r="G359" i="6"/>
  <c r="E359" i="6"/>
  <c r="E358" i="6"/>
  <c r="E357" i="6"/>
  <c r="I356" i="6"/>
  <c r="H356" i="6"/>
  <c r="F356" i="6"/>
  <c r="D356" i="6"/>
  <c r="C356" i="6"/>
  <c r="B356" i="6"/>
  <c r="I355" i="6"/>
  <c r="H355" i="6"/>
  <c r="G355" i="6"/>
  <c r="F355" i="6"/>
  <c r="E354" i="6"/>
  <c r="D354" i="6"/>
  <c r="C354" i="6"/>
  <c r="B354" i="6"/>
  <c r="H352" i="6"/>
  <c r="G352" i="6"/>
  <c r="E352" i="6"/>
  <c r="E351" i="6"/>
  <c r="E350" i="6"/>
  <c r="I349" i="6"/>
  <c r="H349" i="6"/>
  <c r="G349" i="6"/>
  <c r="F349" i="6"/>
  <c r="E348" i="6"/>
  <c r="D348" i="6"/>
  <c r="C348" i="6"/>
  <c r="B348" i="6"/>
  <c r="H346" i="6"/>
  <c r="G346" i="6"/>
  <c r="E346" i="6"/>
  <c r="E345" i="6"/>
  <c r="E344" i="6"/>
  <c r="I343" i="6"/>
  <c r="H343" i="6"/>
  <c r="G343" i="6"/>
  <c r="F343" i="6"/>
  <c r="I342" i="6"/>
  <c r="H342" i="6"/>
  <c r="G342" i="6"/>
  <c r="F342" i="6"/>
  <c r="E341" i="6"/>
  <c r="D341" i="6"/>
  <c r="C341" i="6"/>
  <c r="B341" i="6"/>
  <c r="A340" i="6"/>
  <c r="A338" i="6"/>
  <c r="H329" i="6"/>
  <c r="G329" i="6"/>
  <c r="E329" i="6"/>
  <c r="E328" i="6"/>
  <c r="E327" i="6"/>
  <c r="I326" i="6"/>
  <c r="H326" i="6"/>
  <c r="F326" i="6"/>
  <c r="D326" i="6"/>
  <c r="C326" i="6"/>
  <c r="B326" i="6"/>
  <c r="I325" i="6"/>
  <c r="H325" i="6"/>
  <c r="F325" i="6"/>
  <c r="D325" i="6"/>
  <c r="C325" i="6"/>
  <c r="B325" i="6"/>
  <c r="I324" i="6"/>
  <c r="H324" i="6"/>
  <c r="G324" i="6"/>
  <c r="F324" i="6"/>
  <c r="E323" i="6"/>
  <c r="D323" i="6"/>
  <c r="C323" i="6"/>
  <c r="B323" i="6"/>
  <c r="H321" i="6"/>
  <c r="G321" i="6"/>
  <c r="E321" i="6"/>
  <c r="E320" i="6"/>
  <c r="E319" i="6"/>
  <c r="I318" i="6"/>
  <c r="H318" i="6"/>
  <c r="F318" i="6"/>
  <c r="D318" i="6"/>
  <c r="C318" i="6"/>
  <c r="B318" i="6"/>
  <c r="I317" i="6"/>
  <c r="H317" i="6"/>
  <c r="F317" i="6"/>
  <c r="D317" i="6"/>
  <c r="C317" i="6"/>
  <c r="B317" i="6"/>
  <c r="I316" i="6"/>
  <c r="H316" i="6"/>
  <c r="G316" i="6"/>
  <c r="F316" i="6"/>
  <c r="E315" i="6"/>
  <c r="D315" i="6"/>
  <c r="C315" i="6"/>
  <c r="B315" i="6"/>
  <c r="H313" i="6"/>
  <c r="G313" i="6"/>
  <c r="E313" i="6"/>
  <c r="E312" i="6"/>
  <c r="E311" i="6"/>
  <c r="I310" i="6"/>
  <c r="H310" i="6"/>
  <c r="F310" i="6"/>
  <c r="D310" i="6"/>
  <c r="C310" i="6"/>
  <c r="B310" i="6"/>
  <c r="I309" i="6"/>
  <c r="H309" i="6"/>
  <c r="G309" i="6"/>
  <c r="F309" i="6"/>
  <c r="E308" i="6"/>
  <c r="D308" i="6"/>
  <c r="C308" i="6"/>
  <c r="B308" i="6"/>
  <c r="H306" i="6"/>
  <c r="G306" i="6"/>
  <c r="E306" i="6"/>
  <c r="E305" i="6"/>
  <c r="E304" i="6"/>
  <c r="E303" i="6"/>
  <c r="I302" i="6"/>
  <c r="H302" i="6"/>
  <c r="G302" i="6"/>
  <c r="F302" i="6"/>
  <c r="I301" i="6"/>
  <c r="H301" i="6"/>
  <c r="G301" i="6"/>
  <c r="F301" i="6"/>
  <c r="I300" i="6"/>
  <c r="H300" i="6"/>
  <c r="G300" i="6"/>
  <c r="F300" i="6"/>
  <c r="I299" i="6"/>
  <c r="H299" i="6"/>
  <c r="G299" i="6"/>
  <c r="F299" i="6"/>
  <c r="E298" i="6"/>
  <c r="D298" i="6"/>
  <c r="C298" i="6"/>
  <c r="B298" i="6"/>
  <c r="H296" i="6"/>
  <c r="G296" i="6"/>
  <c r="E296" i="6"/>
  <c r="E295" i="6"/>
  <c r="E294" i="6"/>
  <c r="E293" i="6"/>
  <c r="I292" i="6"/>
  <c r="H292" i="6"/>
  <c r="G292" i="6"/>
  <c r="F292" i="6"/>
  <c r="I291" i="6"/>
  <c r="H291" i="6"/>
  <c r="G291" i="6"/>
  <c r="F291" i="6"/>
  <c r="I290" i="6"/>
  <c r="H290" i="6"/>
  <c r="G290" i="6"/>
  <c r="F290" i="6"/>
  <c r="I289" i="6"/>
  <c r="H289" i="6"/>
  <c r="G289" i="6"/>
  <c r="F289" i="6"/>
  <c r="E288" i="6"/>
  <c r="D288" i="6"/>
  <c r="C288" i="6"/>
  <c r="B288" i="6"/>
  <c r="H286" i="6"/>
  <c r="G286" i="6"/>
  <c r="E286" i="6"/>
  <c r="E285" i="6"/>
  <c r="E284" i="6"/>
  <c r="I283" i="6"/>
  <c r="H283" i="6"/>
  <c r="G283" i="6"/>
  <c r="F283" i="6"/>
  <c r="E282" i="6"/>
  <c r="D282" i="6"/>
  <c r="C282" i="6"/>
  <c r="B282" i="6"/>
  <c r="H280" i="6"/>
  <c r="G280" i="6"/>
  <c r="E280" i="6"/>
  <c r="E279" i="6"/>
  <c r="E278" i="6"/>
  <c r="I277" i="6"/>
  <c r="H277" i="6"/>
  <c r="G277" i="6"/>
  <c r="F277" i="6"/>
  <c r="E276" i="6"/>
  <c r="D276" i="6"/>
  <c r="C276" i="6"/>
  <c r="B276" i="6"/>
  <c r="A275" i="6"/>
  <c r="H269" i="6"/>
  <c r="G269" i="6"/>
  <c r="E269" i="6"/>
  <c r="E268" i="6"/>
  <c r="E267" i="6"/>
  <c r="I266" i="6"/>
  <c r="H266" i="6"/>
  <c r="G266" i="6"/>
  <c r="F266" i="6"/>
  <c r="I265" i="6"/>
  <c r="H265" i="6"/>
  <c r="G265" i="6"/>
  <c r="F265" i="6"/>
  <c r="E264" i="6"/>
  <c r="D264" i="6"/>
  <c r="C264" i="6"/>
  <c r="B264" i="6"/>
  <c r="H262" i="6"/>
  <c r="G262" i="6"/>
  <c r="E262" i="6"/>
  <c r="E261" i="6"/>
  <c r="E260" i="6"/>
  <c r="I259" i="6"/>
  <c r="H259" i="6"/>
  <c r="F259" i="6"/>
  <c r="D259" i="6"/>
  <c r="C259" i="6"/>
  <c r="B259" i="6"/>
  <c r="I258" i="6"/>
  <c r="H258" i="6"/>
  <c r="G258" i="6"/>
  <c r="F258" i="6"/>
  <c r="I257" i="6"/>
  <c r="H257" i="6"/>
  <c r="G257" i="6"/>
  <c r="F257" i="6"/>
  <c r="E256" i="6"/>
  <c r="D256" i="6"/>
  <c r="C256" i="6"/>
  <c r="B256" i="6"/>
  <c r="H254" i="6"/>
  <c r="G254" i="6"/>
  <c r="E254" i="6"/>
  <c r="E253" i="6"/>
  <c r="E252" i="6"/>
  <c r="I251" i="6"/>
  <c r="H251" i="6"/>
  <c r="F251" i="6"/>
  <c r="D251" i="6"/>
  <c r="C251" i="6"/>
  <c r="B251" i="6"/>
  <c r="I250" i="6"/>
  <c r="H250" i="6"/>
  <c r="G250" i="6"/>
  <c r="F250" i="6"/>
  <c r="I249" i="6"/>
  <c r="H249" i="6"/>
  <c r="G249" i="6"/>
  <c r="F249" i="6"/>
  <c r="E248" i="6"/>
  <c r="D248" i="6"/>
  <c r="C248" i="6"/>
  <c r="B248" i="6"/>
  <c r="H246" i="6"/>
  <c r="G246" i="6"/>
  <c r="E246" i="6"/>
  <c r="E245" i="6"/>
  <c r="E244" i="6"/>
  <c r="I243" i="6"/>
  <c r="H243" i="6"/>
  <c r="G243" i="6"/>
  <c r="F243" i="6"/>
  <c r="I242" i="6"/>
  <c r="H242" i="6"/>
  <c r="G242" i="6"/>
  <c r="F242" i="6"/>
  <c r="E241" i="6"/>
  <c r="D241" i="6"/>
  <c r="C241" i="6"/>
  <c r="B241" i="6"/>
  <c r="H239" i="6"/>
  <c r="G239" i="6"/>
  <c r="E239" i="6"/>
  <c r="E238" i="6"/>
  <c r="E237" i="6"/>
  <c r="E236" i="6"/>
  <c r="I235" i="6"/>
  <c r="H235" i="6"/>
  <c r="F235" i="6"/>
  <c r="D235" i="6"/>
  <c r="C235" i="6"/>
  <c r="B235" i="6"/>
  <c r="I234" i="6"/>
  <c r="H234" i="6"/>
  <c r="G234" i="6"/>
  <c r="F234" i="6"/>
  <c r="I233" i="6"/>
  <c r="H233" i="6"/>
  <c r="G233" i="6"/>
  <c r="F233" i="6"/>
  <c r="I232" i="6"/>
  <c r="H232" i="6"/>
  <c r="G232" i="6"/>
  <c r="F232" i="6"/>
  <c r="I231" i="6"/>
  <c r="H231" i="6"/>
  <c r="G231" i="6"/>
  <c r="F231" i="6"/>
  <c r="E230" i="6"/>
  <c r="D230" i="6"/>
  <c r="C230" i="6"/>
  <c r="B230" i="6"/>
  <c r="H228" i="6"/>
  <c r="G228" i="6"/>
  <c r="E228" i="6"/>
  <c r="E227" i="6"/>
  <c r="E226" i="6"/>
  <c r="E225" i="6"/>
  <c r="I224" i="6"/>
  <c r="H224" i="6"/>
  <c r="F224" i="6"/>
  <c r="D224" i="6"/>
  <c r="C224" i="6"/>
  <c r="B224" i="6"/>
  <c r="I223" i="6"/>
  <c r="H223" i="6"/>
  <c r="G223" i="6"/>
  <c r="F223" i="6"/>
  <c r="I222" i="6"/>
  <c r="H222" i="6"/>
  <c r="G222" i="6"/>
  <c r="F222" i="6"/>
  <c r="I221" i="6"/>
  <c r="H221" i="6"/>
  <c r="G221" i="6"/>
  <c r="F221" i="6"/>
  <c r="I220" i="6"/>
  <c r="H220" i="6"/>
  <c r="G220" i="6"/>
  <c r="F220" i="6"/>
  <c r="E219" i="6"/>
  <c r="D219" i="6"/>
  <c r="C219" i="6"/>
  <c r="B219" i="6"/>
  <c r="H217" i="6"/>
  <c r="G217" i="6"/>
  <c r="E217" i="6"/>
  <c r="E216" i="6"/>
  <c r="E215" i="6"/>
  <c r="I214" i="6"/>
  <c r="H214" i="6"/>
  <c r="G214" i="6"/>
  <c r="F214" i="6"/>
  <c r="I213" i="6"/>
  <c r="H213" i="6"/>
  <c r="G213" i="6"/>
  <c r="F213" i="6"/>
  <c r="E212" i="6"/>
  <c r="D212" i="6"/>
  <c r="C212" i="6"/>
  <c r="B212" i="6"/>
  <c r="H210" i="6"/>
  <c r="G210" i="6"/>
  <c r="E210" i="6"/>
  <c r="E209" i="6"/>
  <c r="E208" i="6"/>
  <c r="I207" i="6"/>
  <c r="H207" i="6"/>
  <c r="G207" i="6"/>
  <c r="F207" i="6"/>
  <c r="I206" i="6"/>
  <c r="H206" i="6"/>
  <c r="G206" i="6"/>
  <c r="F206" i="6"/>
  <c r="I205" i="6"/>
  <c r="H205" i="6"/>
  <c r="G205" i="6"/>
  <c r="F205" i="6"/>
  <c r="E204" i="6"/>
  <c r="D204" i="6"/>
  <c r="C204" i="6"/>
  <c r="B204" i="6"/>
  <c r="H202" i="6"/>
  <c r="G202" i="6"/>
  <c r="E202" i="6"/>
  <c r="E201" i="6"/>
  <c r="E200" i="6"/>
  <c r="E199" i="6"/>
  <c r="I198" i="6"/>
  <c r="H198" i="6"/>
  <c r="F198" i="6"/>
  <c r="D198" i="6"/>
  <c r="C198" i="6"/>
  <c r="B198" i="6"/>
  <c r="I197" i="6"/>
  <c r="H197" i="6"/>
  <c r="F197" i="6"/>
  <c r="D197" i="6"/>
  <c r="C197" i="6"/>
  <c r="B197" i="6"/>
  <c r="I196" i="6"/>
  <c r="H196" i="6"/>
  <c r="F196" i="6"/>
  <c r="D196" i="6"/>
  <c r="C196" i="6"/>
  <c r="B196" i="6"/>
  <c r="I195" i="6"/>
  <c r="H195" i="6"/>
  <c r="F195" i="6"/>
  <c r="D195" i="6"/>
  <c r="C195" i="6"/>
  <c r="B195" i="6"/>
  <c r="I194" i="6"/>
  <c r="H194" i="6"/>
  <c r="G194" i="6"/>
  <c r="F194" i="6"/>
  <c r="I193" i="6"/>
  <c r="H193" i="6"/>
  <c r="G193" i="6"/>
  <c r="F193" i="6"/>
  <c r="I192" i="6"/>
  <c r="H192" i="6"/>
  <c r="G192" i="6"/>
  <c r="F192" i="6"/>
  <c r="I191" i="6"/>
  <c r="H191" i="6"/>
  <c r="G191" i="6"/>
  <c r="F191" i="6"/>
  <c r="D189" i="6"/>
  <c r="C189" i="6"/>
  <c r="B189" i="6"/>
  <c r="A188" i="6"/>
  <c r="H182" i="6"/>
  <c r="G182" i="6"/>
  <c r="E182" i="6"/>
  <c r="E181" i="6"/>
  <c r="E180" i="6"/>
  <c r="I179" i="6"/>
  <c r="H179" i="6"/>
  <c r="F179" i="6"/>
  <c r="D179" i="6"/>
  <c r="C179" i="6"/>
  <c r="B179" i="6"/>
  <c r="I178" i="6"/>
  <c r="H178" i="6"/>
  <c r="G178" i="6"/>
  <c r="F178" i="6"/>
  <c r="I177" i="6"/>
  <c r="H177" i="6"/>
  <c r="G177" i="6"/>
  <c r="F177" i="6"/>
  <c r="E176" i="6"/>
  <c r="D176" i="6"/>
  <c r="C176" i="6"/>
  <c r="B176" i="6"/>
  <c r="H174" i="6"/>
  <c r="G174" i="6"/>
  <c r="E174" i="6"/>
  <c r="E173" i="6"/>
  <c r="E172" i="6"/>
  <c r="E171" i="6"/>
  <c r="I170" i="6"/>
  <c r="H170" i="6"/>
  <c r="G170" i="6"/>
  <c r="F170" i="6"/>
  <c r="I169" i="6"/>
  <c r="H169" i="6"/>
  <c r="G169" i="6"/>
  <c r="F169" i="6"/>
  <c r="I168" i="6"/>
  <c r="H168" i="6"/>
  <c r="G168" i="6"/>
  <c r="F168" i="6"/>
  <c r="I167" i="6"/>
  <c r="H167" i="6"/>
  <c r="G167" i="6"/>
  <c r="F167" i="6"/>
  <c r="E166" i="6"/>
  <c r="D166" i="6"/>
  <c r="C166" i="6"/>
  <c r="B166" i="6"/>
  <c r="H164" i="6"/>
  <c r="G164" i="6"/>
  <c r="E164" i="6"/>
  <c r="E163" i="6"/>
  <c r="E162" i="6"/>
  <c r="I161" i="6"/>
  <c r="H161" i="6"/>
  <c r="G161" i="6"/>
  <c r="F161" i="6"/>
  <c r="I160" i="6"/>
  <c r="H160" i="6"/>
  <c r="G160" i="6"/>
  <c r="F160" i="6"/>
  <c r="E159" i="6"/>
  <c r="D159" i="6"/>
  <c r="C159" i="6"/>
  <c r="B159" i="6"/>
  <c r="H157" i="6"/>
  <c r="G157" i="6"/>
  <c r="E157" i="6"/>
  <c r="E156" i="6"/>
  <c r="E155" i="6"/>
  <c r="E154" i="6"/>
  <c r="I153" i="6"/>
  <c r="H153" i="6"/>
  <c r="G153" i="6"/>
  <c r="F153" i="6"/>
  <c r="I152" i="6"/>
  <c r="H152" i="6"/>
  <c r="G152" i="6"/>
  <c r="F152" i="6"/>
  <c r="I151" i="6"/>
  <c r="H151" i="6"/>
  <c r="G151" i="6"/>
  <c r="F151" i="6"/>
  <c r="I150" i="6"/>
  <c r="H150" i="6"/>
  <c r="G150" i="6"/>
  <c r="F150" i="6"/>
  <c r="E149" i="6"/>
  <c r="D149" i="6"/>
  <c r="C149" i="6"/>
  <c r="B149" i="6"/>
  <c r="H147" i="6"/>
  <c r="G147" i="6"/>
  <c r="E147" i="6"/>
  <c r="E146" i="6"/>
  <c r="E145" i="6"/>
  <c r="E144" i="6"/>
  <c r="I143" i="6"/>
  <c r="H143" i="6"/>
  <c r="G143" i="6"/>
  <c r="F143" i="6"/>
  <c r="I142" i="6"/>
  <c r="H142" i="6"/>
  <c r="G142" i="6"/>
  <c r="F142" i="6"/>
  <c r="I141" i="6"/>
  <c r="H141" i="6"/>
  <c r="G141" i="6"/>
  <c r="F141" i="6"/>
  <c r="I140" i="6"/>
  <c r="H140" i="6"/>
  <c r="G140" i="6"/>
  <c r="F140" i="6"/>
  <c r="E139" i="6"/>
  <c r="D139" i="6"/>
  <c r="C139" i="6"/>
  <c r="B139" i="6"/>
  <c r="H137" i="6"/>
  <c r="G137" i="6"/>
  <c r="E137" i="6"/>
  <c r="E136" i="6"/>
  <c r="E135" i="6"/>
  <c r="I134" i="6"/>
  <c r="H134" i="6"/>
  <c r="G134" i="6"/>
  <c r="F134" i="6"/>
  <c r="I133" i="6"/>
  <c r="H133" i="6"/>
  <c r="G133" i="6"/>
  <c r="F133" i="6"/>
  <c r="E132" i="6"/>
  <c r="D132" i="6"/>
  <c r="C132" i="6"/>
  <c r="B132" i="6"/>
  <c r="H130" i="6"/>
  <c r="G130" i="6"/>
  <c r="E130" i="6"/>
  <c r="E129" i="6"/>
  <c r="E128" i="6"/>
  <c r="I127" i="6"/>
  <c r="H127" i="6"/>
  <c r="G127" i="6"/>
  <c r="F127" i="6"/>
  <c r="I126" i="6"/>
  <c r="H126" i="6"/>
  <c r="G126" i="6"/>
  <c r="F126" i="6"/>
  <c r="E125" i="6"/>
  <c r="D125" i="6"/>
  <c r="C125" i="6"/>
  <c r="B125" i="6"/>
  <c r="H123" i="6"/>
  <c r="G123" i="6"/>
  <c r="E123" i="6"/>
  <c r="E122" i="6"/>
  <c r="E121" i="6"/>
  <c r="E120" i="6"/>
  <c r="I119" i="6"/>
  <c r="H119" i="6"/>
  <c r="G119" i="6"/>
  <c r="F119" i="6"/>
  <c r="I118" i="6"/>
  <c r="H118" i="6"/>
  <c r="G118" i="6"/>
  <c r="F118" i="6"/>
  <c r="I117" i="6"/>
  <c r="H117" i="6"/>
  <c r="G117" i="6"/>
  <c r="F117" i="6"/>
  <c r="I116" i="6"/>
  <c r="H116" i="6"/>
  <c r="G116" i="6"/>
  <c r="F116" i="6"/>
  <c r="E115" i="6"/>
  <c r="D115" i="6"/>
  <c r="C115" i="6"/>
  <c r="B115" i="6"/>
  <c r="H113" i="6"/>
  <c r="G113" i="6"/>
  <c r="E113" i="6"/>
  <c r="E112" i="6"/>
  <c r="E111" i="6"/>
  <c r="E110" i="6"/>
  <c r="I109" i="6"/>
  <c r="H109" i="6"/>
  <c r="G109" i="6"/>
  <c r="F109" i="6"/>
  <c r="I108" i="6"/>
  <c r="H108" i="6"/>
  <c r="G108" i="6"/>
  <c r="F108" i="6"/>
  <c r="I107" i="6"/>
  <c r="H107" i="6"/>
  <c r="G107" i="6"/>
  <c r="F107" i="6"/>
  <c r="I106" i="6"/>
  <c r="H106" i="6"/>
  <c r="G106" i="6"/>
  <c r="F106" i="6"/>
  <c r="E105" i="6"/>
  <c r="D105" i="6"/>
  <c r="C105" i="6"/>
  <c r="B105" i="6"/>
  <c r="A104" i="6"/>
  <c r="H98" i="6"/>
  <c r="G98" i="6"/>
  <c r="E98" i="6"/>
  <c r="E97" i="6"/>
  <c r="E96" i="6"/>
  <c r="E95" i="6"/>
  <c r="I94" i="6"/>
  <c r="H94" i="6"/>
  <c r="G94" i="6"/>
  <c r="F94" i="6"/>
  <c r="I93" i="6"/>
  <c r="H93" i="6"/>
  <c r="G93" i="6"/>
  <c r="F93" i="6"/>
  <c r="I92" i="6"/>
  <c r="H92" i="6"/>
  <c r="G92" i="6"/>
  <c r="F92" i="6"/>
  <c r="E91" i="6"/>
  <c r="D91" i="6"/>
  <c r="C91" i="6"/>
  <c r="B91" i="6"/>
  <c r="H89" i="6"/>
  <c r="G89" i="6"/>
  <c r="E89" i="6"/>
  <c r="E88" i="6"/>
  <c r="E87" i="6"/>
  <c r="E86" i="6"/>
  <c r="I85" i="6"/>
  <c r="H85" i="6"/>
  <c r="G85" i="6"/>
  <c r="F85" i="6"/>
  <c r="I84" i="6"/>
  <c r="H84" i="6"/>
  <c r="G84" i="6"/>
  <c r="F84" i="6"/>
  <c r="I83" i="6"/>
  <c r="H83" i="6"/>
  <c r="G83" i="6"/>
  <c r="F83" i="6"/>
  <c r="E82" i="6"/>
  <c r="D82" i="6"/>
  <c r="H80" i="6"/>
  <c r="G80" i="6"/>
  <c r="E80" i="6"/>
  <c r="E79" i="6"/>
  <c r="E78" i="6"/>
  <c r="I77" i="6"/>
  <c r="H77" i="6"/>
  <c r="G77" i="6"/>
  <c r="F77" i="6"/>
  <c r="E76" i="6"/>
  <c r="D76" i="6"/>
  <c r="C76" i="6"/>
  <c r="B76" i="6"/>
  <c r="H74" i="6"/>
  <c r="G74" i="6"/>
  <c r="E74" i="6"/>
  <c r="E73" i="6"/>
  <c r="E72" i="6"/>
  <c r="E71" i="6"/>
  <c r="I70" i="6"/>
  <c r="H70" i="6"/>
  <c r="F70" i="6"/>
  <c r="D70" i="6"/>
  <c r="C70" i="6"/>
  <c r="B70" i="6"/>
  <c r="I69" i="6"/>
  <c r="H69" i="6"/>
  <c r="G69" i="6"/>
  <c r="F69" i="6"/>
  <c r="I68" i="6"/>
  <c r="H68" i="6"/>
  <c r="G68" i="6"/>
  <c r="F68" i="6"/>
  <c r="I67" i="6"/>
  <c r="H67" i="6"/>
  <c r="G67" i="6"/>
  <c r="F67" i="6"/>
  <c r="I66" i="6"/>
  <c r="H66" i="6"/>
  <c r="G66" i="6"/>
  <c r="F66" i="6"/>
  <c r="E65" i="6"/>
  <c r="D65" i="6"/>
  <c r="C65" i="6"/>
  <c r="B65" i="6"/>
  <c r="H63" i="6"/>
  <c r="G63" i="6"/>
  <c r="E63" i="6"/>
  <c r="E62" i="6"/>
  <c r="E61" i="6"/>
  <c r="I60" i="6"/>
  <c r="H60" i="6"/>
  <c r="G60" i="6"/>
  <c r="F60" i="6"/>
  <c r="I59" i="6"/>
  <c r="H59" i="6"/>
  <c r="G59" i="6"/>
  <c r="F59" i="6"/>
  <c r="E58" i="6"/>
  <c r="D58" i="6"/>
  <c r="C58" i="6"/>
  <c r="B58" i="6"/>
  <c r="H56" i="6"/>
  <c r="G56" i="6"/>
  <c r="E56" i="6"/>
  <c r="E55" i="6"/>
  <c r="E54" i="6"/>
  <c r="I53" i="6"/>
  <c r="H53" i="6"/>
  <c r="F53" i="6"/>
  <c r="D53" i="6"/>
  <c r="C53" i="6"/>
  <c r="B53" i="6"/>
  <c r="I52" i="6"/>
  <c r="H52" i="6"/>
  <c r="G52" i="6"/>
  <c r="F52" i="6"/>
  <c r="E51" i="6"/>
  <c r="D51" i="6"/>
  <c r="C51" i="6"/>
  <c r="B51" i="6"/>
  <c r="H49" i="6"/>
  <c r="G49" i="6"/>
  <c r="E49" i="6"/>
  <c r="E48" i="6"/>
  <c r="E47" i="6"/>
  <c r="I46" i="6"/>
  <c r="H46" i="6"/>
  <c r="G46" i="6"/>
  <c r="F46" i="6"/>
  <c r="D44" i="6"/>
  <c r="C44" i="6"/>
  <c r="B44" i="6"/>
  <c r="H42" i="6"/>
  <c r="G42" i="6"/>
  <c r="E42" i="6"/>
  <c r="E41" i="6"/>
  <c r="E40" i="6"/>
  <c r="I39" i="6"/>
  <c r="H39" i="6"/>
  <c r="G39" i="6"/>
  <c r="F39" i="6"/>
  <c r="I38" i="6"/>
  <c r="H38" i="6"/>
  <c r="G38" i="6"/>
  <c r="F38" i="6"/>
  <c r="E37" i="6"/>
  <c r="D37" i="6"/>
  <c r="C37" i="6"/>
  <c r="B37" i="6"/>
  <c r="A36" i="6"/>
  <c r="A34" i="6"/>
  <c r="A32" i="6"/>
  <c r="A18" i="6"/>
  <c r="AE15" i="6"/>
  <c r="A15" i="6"/>
  <c r="A10" i="6"/>
  <c r="G6" i="6"/>
  <c r="B6" i="6"/>
  <c r="A1" i="6"/>
  <c r="A1" i="4" l="1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D28" i="1"/>
  <c r="E30" i="1"/>
  <c r="Z30" i="1"/>
  <c r="AA30" i="1"/>
  <c r="AM30" i="1"/>
  <c r="AN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FW30" i="1"/>
  <c r="FX30" i="1"/>
  <c r="FY30" i="1"/>
  <c r="FZ30" i="1"/>
  <c r="GA30" i="1"/>
  <c r="GB30" i="1"/>
  <c r="GC30" i="1"/>
  <c r="GD30" i="1"/>
  <c r="GE30" i="1"/>
  <c r="GF30" i="1"/>
  <c r="GG30" i="1"/>
  <c r="GH30" i="1"/>
  <c r="GI30" i="1"/>
  <c r="GJ30" i="1"/>
  <c r="GK30" i="1"/>
  <c r="GL30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D32" i="1"/>
  <c r="AC32" i="1"/>
  <c r="AE32" i="1"/>
  <c r="AF32" i="1"/>
  <c r="AG32" i="1"/>
  <c r="CU32" i="1" s="1"/>
  <c r="T32" i="1" s="1"/>
  <c r="AH32" i="1"/>
  <c r="AI32" i="1"/>
  <c r="CW32" i="1" s="1"/>
  <c r="V32" i="1" s="1"/>
  <c r="AJ32" i="1"/>
  <c r="CX32" i="1" s="1"/>
  <c r="W32" i="1" s="1"/>
  <c r="CQ32" i="1"/>
  <c r="P32" i="1" s="1"/>
  <c r="CS32" i="1"/>
  <c r="CV32" i="1"/>
  <c r="U32" i="1" s="1"/>
  <c r="K42" i="6" s="1"/>
  <c r="FR32" i="1"/>
  <c r="GL32" i="1"/>
  <c r="GN32" i="1"/>
  <c r="GO32" i="1"/>
  <c r="GV32" i="1"/>
  <c r="HC32" i="1" s="1"/>
  <c r="GX32" i="1" s="1"/>
  <c r="D33" i="1"/>
  <c r="I33" i="1"/>
  <c r="K33" i="1"/>
  <c r="AC33" i="1"/>
  <c r="CQ33" i="1" s="1"/>
  <c r="P33" i="1" s="1"/>
  <c r="AE33" i="1"/>
  <c r="AF33" i="1"/>
  <c r="AG33" i="1"/>
  <c r="AH33" i="1"/>
  <c r="CV33" i="1" s="1"/>
  <c r="U33" i="1" s="1"/>
  <c r="K49" i="6" s="1"/>
  <c r="AI33" i="1"/>
  <c r="CW33" i="1" s="1"/>
  <c r="AJ33" i="1"/>
  <c r="CX33" i="1" s="1"/>
  <c r="CU33" i="1"/>
  <c r="T33" i="1" s="1"/>
  <c r="FR33" i="1"/>
  <c r="GL33" i="1"/>
  <c r="GN33" i="1"/>
  <c r="GO33" i="1"/>
  <c r="GV33" i="1"/>
  <c r="HC33" i="1" s="1"/>
  <c r="D34" i="1"/>
  <c r="W34" i="1"/>
  <c r="AC34" i="1"/>
  <c r="AE34" i="1"/>
  <c r="U51" i="6" s="1"/>
  <c r="AF34" i="1"/>
  <c r="AG34" i="1"/>
  <c r="AH34" i="1"/>
  <c r="CV34" i="1" s="1"/>
  <c r="U34" i="1" s="1"/>
  <c r="K56" i="6" s="1"/>
  <c r="AI34" i="1"/>
  <c r="CW34" i="1" s="1"/>
  <c r="V34" i="1" s="1"/>
  <c r="AJ34" i="1"/>
  <c r="CX34" i="1" s="1"/>
  <c r="CQ34" i="1"/>
  <c r="P34" i="1" s="1"/>
  <c r="CS34" i="1"/>
  <c r="V51" i="6" s="1"/>
  <c r="CU34" i="1"/>
  <c r="T34" i="1" s="1"/>
  <c r="FR34" i="1"/>
  <c r="GL34" i="1"/>
  <c r="GN34" i="1"/>
  <c r="GO34" i="1"/>
  <c r="GV34" i="1"/>
  <c r="HC34" i="1" s="1"/>
  <c r="GX34" i="1" s="1"/>
  <c r="I35" i="1"/>
  <c r="AC35" i="1"/>
  <c r="CQ35" i="1" s="1"/>
  <c r="P35" i="1" s="1"/>
  <c r="AE35" i="1"/>
  <c r="AF35" i="1"/>
  <c r="AG35" i="1"/>
  <c r="AH35" i="1"/>
  <c r="CV35" i="1" s="1"/>
  <c r="AI35" i="1"/>
  <c r="CW35" i="1" s="1"/>
  <c r="AJ35" i="1"/>
  <c r="CX35" i="1" s="1"/>
  <c r="CU35" i="1"/>
  <c r="FR35" i="1"/>
  <c r="GL35" i="1"/>
  <c r="GN35" i="1"/>
  <c r="GO35" i="1"/>
  <c r="GV35" i="1"/>
  <c r="HC35" i="1" s="1"/>
  <c r="D36" i="1"/>
  <c r="AC36" i="1"/>
  <c r="AD36" i="1"/>
  <c r="AE36" i="1"/>
  <c r="U58" i="6" s="1"/>
  <c r="AF36" i="1"/>
  <c r="AG36" i="1"/>
  <c r="CU36" i="1" s="1"/>
  <c r="T36" i="1" s="1"/>
  <c r="AH36" i="1"/>
  <c r="CV36" i="1" s="1"/>
  <c r="U36" i="1" s="1"/>
  <c r="K63" i="6" s="1"/>
  <c r="AI36" i="1"/>
  <c r="AJ36" i="1"/>
  <c r="CR36" i="1"/>
  <c r="Q36" i="1" s="1"/>
  <c r="CS36" i="1"/>
  <c r="CW36" i="1"/>
  <c r="V36" i="1" s="1"/>
  <c r="CX36" i="1"/>
  <c r="W36" i="1" s="1"/>
  <c r="FR36" i="1"/>
  <c r="GL36" i="1"/>
  <c r="GN36" i="1"/>
  <c r="GO36" i="1"/>
  <c r="GV36" i="1"/>
  <c r="HC36" i="1"/>
  <c r="GX36" i="1" s="1"/>
  <c r="D37" i="1"/>
  <c r="AC37" i="1"/>
  <c r="AE37" i="1"/>
  <c r="AF37" i="1"/>
  <c r="AG37" i="1"/>
  <c r="CU37" i="1" s="1"/>
  <c r="T37" i="1" s="1"/>
  <c r="AH37" i="1"/>
  <c r="AI37" i="1"/>
  <c r="CW37" i="1" s="1"/>
  <c r="V37" i="1" s="1"/>
  <c r="AJ37" i="1"/>
  <c r="CX37" i="1" s="1"/>
  <c r="W37" i="1" s="1"/>
  <c r="CQ37" i="1"/>
  <c r="P37" i="1" s="1"/>
  <c r="J69" i="6" s="1"/>
  <c r="CS37" i="1"/>
  <c r="CV37" i="1"/>
  <c r="U37" i="1" s="1"/>
  <c r="K74" i="6" s="1"/>
  <c r="FR37" i="1"/>
  <c r="GL37" i="1"/>
  <c r="GN37" i="1"/>
  <c r="GO37" i="1"/>
  <c r="GV37" i="1"/>
  <c r="HC37" i="1" s="1"/>
  <c r="GX37" i="1" s="1"/>
  <c r="I38" i="1"/>
  <c r="AC38" i="1"/>
  <c r="AD38" i="1"/>
  <c r="AE38" i="1"/>
  <c r="AF38" i="1"/>
  <c r="AG38" i="1"/>
  <c r="AH38" i="1"/>
  <c r="CV38" i="1" s="1"/>
  <c r="AI38" i="1"/>
  <c r="AJ38" i="1"/>
  <c r="CX38" i="1" s="1"/>
  <c r="CQ38" i="1"/>
  <c r="CR38" i="1"/>
  <c r="CS38" i="1"/>
  <c r="CT38" i="1"/>
  <c r="CU38" i="1"/>
  <c r="CW38" i="1"/>
  <c r="FR38" i="1"/>
  <c r="GL38" i="1"/>
  <c r="GN38" i="1"/>
  <c r="GO38" i="1"/>
  <c r="GV38" i="1"/>
  <c r="HC38" i="1"/>
  <c r="D39" i="1"/>
  <c r="AC39" i="1"/>
  <c r="CQ39" i="1" s="1"/>
  <c r="P39" i="1" s="1"/>
  <c r="AE39" i="1"/>
  <c r="AF39" i="1"/>
  <c r="AG39" i="1"/>
  <c r="AH39" i="1"/>
  <c r="CV39" i="1" s="1"/>
  <c r="U39" i="1" s="1"/>
  <c r="K80" i="6" s="1"/>
  <c r="AI39" i="1"/>
  <c r="CW39" i="1" s="1"/>
  <c r="V39" i="1" s="1"/>
  <c r="AJ39" i="1"/>
  <c r="CX39" i="1" s="1"/>
  <c r="W39" i="1" s="1"/>
  <c r="CS39" i="1"/>
  <c r="CU39" i="1"/>
  <c r="T39" i="1" s="1"/>
  <c r="FR39" i="1"/>
  <c r="GL39" i="1"/>
  <c r="GN39" i="1"/>
  <c r="GO39" i="1"/>
  <c r="GV39" i="1"/>
  <c r="HC39" i="1" s="1"/>
  <c r="GX39" i="1" s="1"/>
  <c r="D40" i="1"/>
  <c r="AC40" i="1"/>
  <c r="AB40" i="1" s="1"/>
  <c r="AD40" i="1"/>
  <c r="AE40" i="1"/>
  <c r="U82" i="6" s="1"/>
  <c r="AF40" i="1"/>
  <c r="AG40" i="1"/>
  <c r="CU40" i="1" s="1"/>
  <c r="T40" i="1" s="1"/>
  <c r="AH40" i="1"/>
  <c r="CV40" i="1" s="1"/>
  <c r="U40" i="1" s="1"/>
  <c r="K89" i="6" s="1"/>
  <c r="AI40" i="1"/>
  <c r="AJ40" i="1"/>
  <c r="CR40" i="1"/>
  <c r="Q40" i="1" s="1"/>
  <c r="J84" i="6" s="1"/>
  <c r="CS40" i="1"/>
  <c r="CW40" i="1"/>
  <c r="V40" i="1" s="1"/>
  <c r="CX40" i="1"/>
  <c r="W40" i="1" s="1"/>
  <c r="FR40" i="1"/>
  <c r="GL40" i="1"/>
  <c r="GN40" i="1"/>
  <c r="GO40" i="1"/>
  <c r="GV40" i="1"/>
  <c r="HC40" i="1"/>
  <c r="GX40" i="1" s="1"/>
  <c r="D41" i="1"/>
  <c r="AC41" i="1"/>
  <c r="CQ41" i="1" s="1"/>
  <c r="P41" i="1" s="1"/>
  <c r="AE41" i="1"/>
  <c r="AF41" i="1"/>
  <c r="AG41" i="1"/>
  <c r="AH41" i="1"/>
  <c r="CV41" i="1" s="1"/>
  <c r="U41" i="1" s="1"/>
  <c r="K98" i="6" s="1"/>
  <c r="AI41" i="1"/>
  <c r="CW41" i="1" s="1"/>
  <c r="V41" i="1" s="1"/>
  <c r="AJ41" i="1"/>
  <c r="CX41" i="1" s="1"/>
  <c r="W41" i="1" s="1"/>
  <c r="CU41" i="1"/>
  <c r="T41" i="1" s="1"/>
  <c r="FR41" i="1"/>
  <c r="GL41" i="1"/>
  <c r="GN41" i="1"/>
  <c r="GO41" i="1"/>
  <c r="GV41" i="1"/>
  <c r="HC41" i="1" s="1"/>
  <c r="GX41" i="1" s="1"/>
  <c r="B43" i="1"/>
  <c r="B30" i="1" s="1"/>
  <c r="C43" i="1"/>
  <c r="C30" i="1" s="1"/>
  <c r="D43" i="1"/>
  <c r="D30" i="1" s="1"/>
  <c r="F43" i="1"/>
  <c r="F30" i="1" s="1"/>
  <c r="G43" i="1"/>
  <c r="BX43" i="1"/>
  <c r="BX30" i="1" s="1"/>
  <c r="BZ43" i="1"/>
  <c r="CK43" i="1"/>
  <c r="CL43" i="1"/>
  <c r="CL30" i="1" s="1"/>
  <c r="CM43" i="1"/>
  <c r="CM30" i="1" s="1"/>
  <c r="D73" i="1"/>
  <c r="E75" i="1"/>
  <c r="F75" i="1"/>
  <c r="Z75" i="1"/>
  <c r="AA75" i="1"/>
  <c r="AM75" i="1"/>
  <c r="AN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CK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N75" i="1"/>
  <c r="EO75" i="1"/>
  <c r="EP75" i="1"/>
  <c r="EQ75" i="1"/>
  <c r="ER75" i="1"/>
  <c r="ES75" i="1"/>
  <c r="ET75" i="1"/>
  <c r="EU75" i="1"/>
  <c r="EV75" i="1"/>
  <c r="EW75" i="1"/>
  <c r="EX75" i="1"/>
  <c r="EY75" i="1"/>
  <c r="EZ75" i="1"/>
  <c r="FA75" i="1"/>
  <c r="FB75" i="1"/>
  <c r="FC75" i="1"/>
  <c r="FD75" i="1"/>
  <c r="FE75" i="1"/>
  <c r="FF75" i="1"/>
  <c r="FG75" i="1"/>
  <c r="FH75" i="1"/>
  <c r="FI75" i="1"/>
  <c r="FJ75" i="1"/>
  <c r="FK75" i="1"/>
  <c r="FL75" i="1"/>
  <c r="FM75" i="1"/>
  <c r="FN75" i="1"/>
  <c r="FO75" i="1"/>
  <c r="FP75" i="1"/>
  <c r="FQ75" i="1"/>
  <c r="FR75" i="1"/>
  <c r="FS75" i="1"/>
  <c r="FT75" i="1"/>
  <c r="FU75" i="1"/>
  <c r="FV75" i="1"/>
  <c r="FW75" i="1"/>
  <c r="FX75" i="1"/>
  <c r="FY75" i="1"/>
  <c r="FZ75" i="1"/>
  <c r="GA75" i="1"/>
  <c r="GB75" i="1"/>
  <c r="GC75" i="1"/>
  <c r="GD75" i="1"/>
  <c r="GE75" i="1"/>
  <c r="GF75" i="1"/>
  <c r="GG75" i="1"/>
  <c r="GH75" i="1"/>
  <c r="GI75" i="1"/>
  <c r="GJ75" i="1"/>
  <c r="GK75" i="1"/>
  <c r="GL75" i="1"/>
  <c r="GM75" i="1"/>
  <c r="GN75" i="1"/>
  <c r="GO75" i="1"/>
  <c r="GP75" i="1"/>
  <c r="GQ75" i="1"/>
  <c r="GR75" i="1"/>
  <c r="GS75" i="1"/>
  <c r="GT75" i="1"/>
  <c r="GU75" i="1"/>
  <c r="GV75" i="1"/>
  <c r="GW75" i="1"/>
  <c r="GX75" i="1"/>
  <c r="D77" i="1"/>
  <c r="P77" i="1"/>
  <c r="AC77" i="1"/>
  <c r="AE77" i="1"/>
  <c r="AF77" i="1"/>
  <c r="AG77" i="1"/>
  <c r="AH77" i="1"/>
  <c r="CV77" i="1" s="1"/>
  <c r="U77" i="1" s="1"/>
  <c r="K113" i="6" s="1"/>
  <c r="AI77" i="1"/>
  <c r="CW77" i="1" s="1"/>
  <c r="V77" i="1" s="1"/>
  <c r="AJ77" i="1"/>
  <c r="CX77" i="1" s="1"/>
  <c r="W77" i="1" s="1"/>
  <c r="CQ77" i="1"/>
  <c r="CU77" i="1"/>
  <c r="T77" i="1" s="1"/>
  <c r="FR77" i="1"/>
  <c r="BY88" i="1" s="1"/>
  <c r="GL77" i="1"/>
  <c r="GN77" i="1"/>
  <c r="GO77" i="1"/>
  <c r="GV77" i="1"/>
  <c r="HC77" i="1" s="1"/>
  <c r="GX77" i="1" s="1"/>
  <c r="D78" i="1"/>
  <c r="AC78" i="1"/>
  <c r="AE78" i="1"/>
  <c r="AF78" i="1"/>
  <c r="AG78" i="1"/>
  <c r="AH78" i="1"/>
  <c r="CV78" i="1" s="1"/>
  <c r="U78" i="1" s="1"/>
  <c r="K123" i="6" s="1"/>
  <c r="AI78" i="1"/>
  <c r="CW78" i="1" s="1"/>
  <c r="V78" i="1" s="1"/>
  <c r="AJ78" i="1"/>
  <c r="CX78" i="1" s="1"/>
  <c r="W78" i="1" s="1"/>
  <c r="CQ78" i="1"/>
  <c r="P78" i="1" s="1"/>
  <c r="CU78" i="1"/>
  <c r="T78" i="1" s="1"/>
  <c r="FR78" i="1"/>
  <c r="GL78" i="1"/>
  <c r="GN78" i="1"/>
  <c r="GO78" i="1"/>
  <c r="GV78" i="1"/>
  <c r="HC78" i="1" s="1"/>
  <c r="GX78" i="1"/>
  <c r="D79" i="1"/>
  <c r="AC79" i="1"/>
  <c r="AD79" i="1"/>
  <c r="AE79" i="1"/>
  <c r="U125" i="6" s="1"/>
  <c r="AF79" i="1"/>
  <c r="AG79" i="1"/>
  <c r="CU79" i="1" s="1"/>
  <c r="T79" i="1" s="1"/>
  <c r="AH79" i="1"/>
  <c r="CV79" i="1" s="1"/>
  <c r="U79" i="1" s="1"/>
  <c r="K130" i="6" s="1"/>
  <c r="AI79" i="1"/>
  <c r="AJ79" i="1"/>
  <c r="CX79" i="1" s="1"/>
  <c r="W79" i="1" s="1"/>
  <c r="CQ79" i="1"/>
  <c r="P79" i="1" s="1"/>
  <c r="CR79" i="1"/>
  <c r="Q79" i="1" s="1"/>
  <c r="CS79" i="1"/>
  <c r="V125" i="6" s="1"/>
  <c r="CW79" i="1"/>
  <c r="V79" i="1" s="1"/>
  <c r="FR79" i="1"/>
  <c r="GL79" i="1"/>
  <c r="GN79" i="1"/>
  <c r="GO79" i="1"/>
  <c r="CC88" i="1" s="1"/>
  <c r="GV79" i="1"/>
  <c r="HC79" i="1"/>
  <c r="GX79" i="1" s="1"/>
  <c r="D80" i="1"/>
  <c r="AC80" i="1"/>
  <c r="AD80" i="1"/>
  <c r="AE80" i="1"/>
  <c r="U132" i="6" s="1"/>
  <c r="AF80" i="1"/>
  <c r="AG80" i="1"/>
  <c r="CU80" i="1" s="1"/>
  <c r="T80" i="1" s="1"/>
  <c r="AH80" i="1"/>
  <c r="CV80" i="1" s="1"/>
  <c r="U80" i="1" s="1"/>
  <c r="K137" i="6" s="1"/>
  <c r="AI80" i="1"/>
  <c r="AJ80" i="1"/>
  <c r="CX80" i="1" s="1"/>
  <c r="W80" i="1" s="1"/>
  <c r="CQ80" i="1"/>
  <c r="P80" i="1" s="1"/>
  <c r="J134" i="6" s="1"/>
  <c r="CR80" i="1"/>
  <c r="Q80" i="1" s="1"/>
  <c r="CS80" i="1"/>
  <c r="V132" i="6" s="1"/>
  <c r="CW80" i="1"/>
  <c r="V80" i="1" s="1"/>
  <c r="FR80" i="1"/>
  <c r="GL80" i="1"/>
  <c r="GN80" i="1"/>
  <c r="GO80" i="1"/>
  <c r="GV80" i="1"/>
  <c r="HC80" i="1" s="1"/>
  <c r="GX80" i="1" s="1"/>
  <c r="D81" i="1"/>
  <c r="P81" i="1"/>
  <c r="J143" i="6" s="1"/>
  <c r="AC81" i="1"/>
  <c r="AE81" i="1"/>
  <c r="AF81" i="1"/>
  <c r="AG81" i="1"/>
  <c r="AH81" i="1"/>
  <c r="CV81" i="1" s="1"/>
  <c r="U81" i="1" s="1"/>
  <c r="K147" i="6" s="1"/>
  <c r="AI81" i="1"/>
  <c r="CW81" i="1" s="1"/>
  <c r="V81" i="1" s="1"/>
  <c r="AJ81" i="1"/>
  <c r="CX81" i="1" s="1"/>
  <c r="W81" i="1" s="1"/>
  <c r="CQ81" i="1"/>
  <c r="CU81" i="1"/>
  <c r="T81" i="1" s="1"/>
  <c r="FR81" i="1"/>
  <c r="GL81" i="1"/>
  <c r="GN81" i="1"/>
  <c r="GO81" i="1"/>
  <c r="GV81" i="1"/>
  <c r="HC81" i="1"/>
  <c r="GX81" i="1" s="1"/>
  <c r="D82" i="1"/>
  <c r="AC82" i="1"/>
  <c r="CQ82" i="1" s="1"/>
  <c r="P82" i="1" s="1"/>
  <c r="J153" i="6" s="1"/>
  <c r="AE82" i="1"/>
  <c r="AF82" i="1"/>
  <c r="AG82" i="1"/>
  <c r="CU82" i="1" s="1"/>
  <c r="T82" i="1" s="1"/>
  <c r="AH82" i="1"/>
  <c r="CV82" i="1" s="1"/>
  <c r="U82" i="1" s="1"/>
  <c r="K157" i="6" s="1"/>
  <c r="AI82" i="1"/>
  <c r="CW82" i="1" s="1"/>
  <c r="V82" i="1" s="1"/>
  <c r="AJ82" i="1"/>
  <c r="CX82" i="1" s="1"/>
  <c r="W82" i="1" s="1"/>
  <c r="CS82" i="1"/>
  <c r="FR82" i="1"/>
  <c r="GL82" i="1"/>
  <c r="GN82" i="1"/>
  <c r="GO82" i="1"/>
  <c r="GV82" i="1"/>
  <c r="HC82" i="1" s="1"/>
  <c r="GX82" i="1"/>
  <c r="D83" i="1"/>
  <c r="W83" i="1"/>
  <c r="AC83" i="1"/>
  <c r="AE83" i="1"/>
  <c r="U159" i="6" s="1"/>
  <c r="AF83" i="1"/>
  <c r="AG83" i="1"/>
  <c r="AH83" i="1"/>
  <c r="CV83" i="1" s="1"/>
  <c r="U83" i="1" s="1"/>
  <c r="K164" i="6" s="1"/>
  <c r="AI83" i="1"/>
  <c r="CW83" i="1" s="1"/>
  <c r="V83" i="1" s="1"/>
  <c r="AJ83" i="1"/>
  <c r="CX83" i="1" s="1"/>
  <c r="CQ83" i="1"/>
  <c r="P83" i="1" s="1"/>
  <c r="J161" i="6" s="1"/>
  <c r="CS83" i="1"/>
  <c r="V159" i="6" s="1"/>
  <c r="CU83" i="1"/>
  <c r="T83" i="1" s="1"/>
  <c r="FR83" i="1"/>
  <c r="GL83" i="1"/>
  <c r="GN83" i="1"/>
  <c r="GO83" i="1"/>
  <c r="GV83" i="1"/>
  <c r="HC83" i="1" s="1"/>
  <c r="GX83" i="1" s="1"/>
  <c r="D84" i="1"/>
  <c r="R84" i="1"/>
  <c r="AC84" i="1"/>
  <c r="AD84" i="1"/>
  <c r="AE84" i="1"/>
  <c r="U166" i="6" s="1"/>
  <c r="AF84" i="1"/>
  <c r="AG84" i="1"/>
  <c r="CU84" i="1" s="1"/>
  <c r="T84" i="1" s="1"/>
  <c r="AH84" i="1"/>
  <c r="CV84" i="1" s="1"/>
  <c r="U84" i="1" s="1"/>
  <c r="K174" i="6" s="1"/>
  <c r="AI84" i="1"/>
  <c r="AJ84" i="1"/>
  <c r="CX84" i="1" s="1"/>
  <c r="W84" i="1" s="1"/>
  <c r="CQ84" i="1"/>
  <c r="P84" i="1" s="1"/>
  <c r="J170" i="6" s="1"/>
  <c r="CR84" i="1"/>
  <c r="Q84" i="1" s="1"/>
  <c r="J168" i="6" s="1"/>
  <c r="CS84" i="1"/>
  <c r="V166" i="6" s="1"/>
  <c r="J173" i="6" s="1"/>
  <c r="CW84" i="1"/>
  <c r="V84" i="1" s="1"/>
  <c r="FR84" i="1"/>
  <c r="GL84" i="1"/>
  <c r="GN84" i="1"/>
  <c r="GO84" i="1"/>
  <c r="GV84" i="1"/>
  <c r="HC84" i="1" s="1"/>
  <c r="GX84" i="1"/>
  <c r="D85" i="1"/>
  <c r="AC85" i="1"/>
  <c r="AE85" i="1"/>
  <c r="AF85" i="1"/>
  <c r="AG85" i="1"/>
  <c r="AH85" i="1"/>
  <c r="CV85" i="1" s="1"/>
  <c r="U85" i="1" s="1"/>
  <c r="K182" i="6" s="1"/>
  <c r="AI85" i="1"/>
  <c r="CW85" i="1" s="1"/>
  <c r="V85" i="1" s="1"/>
  <c r="AJ85" i="1"/>
  <c r="CX85" i="1" s="1"/>
  <c r="W85" i="1" s="1"/>
  <c r="CQ85" i="1"/>
  <c r="P85" i="1" s="1"/>
  <c r="CU85" i="1"/>
  <c r="T85" i="1" s="1"/>
  <c r="FR85" i="1"/>
  <c r="GL85" i="1"/>
  <c r="GN85" i="1"/>
  <c r="GO85" i="1"/>
  <c r="GV85" i="1"/>
  <c r="HC85" i="1"/>
  <c r="GX85" i="1" s="1"/>
  <c r="I86" i="1"/>
  <c r="AC86" i="1"/>
  <c r="AE86" i="1"/>
  <c r="AF86" i="1"/>
  <c r="AG86" i="1"/>
  <c r="AH86" i="1"/>
  <c r="CV86" i="1" s="1"/>
  <c r="U86" i="1" s="1"/>
  <c r="AI86" i="1"/>
  <c r="CW86" i="1" s="1"/>
  <c r="V86" i="1" s="1"/>
  <c r="AJ86" i="1"/>
  <c r="CX86" i="1" s="1"/>
  <c r="W86" i="1" s="1"/>
  <c r="CU86" i="1"/>
  <c r="T86" i="1" s="1"/>
  <c r="FR86" i="1"/>
  <c r="GL86" i="1"/>
  <c r="GN86" i="1"/>
  <c r="GO86" i="1"/>
  <c r="GV86" i="1"/>
  <c r="HC86" i="1" s="1"/>
  <c r="GX86" i="1"/>
  <c r="B88" i="1"/>
  <c r="B75" i="1" s="1"/>
  <c r="C88" i="1"/>
  <c r="C75" i="1" s="1"/>
  <c r="D88" i="1"/>
  <c r="D75" i="1" s="1"/>
  <c r="F88" i="1"/>
  <c r="G88" i="1"/>
  <c r="BX88" i="1"/>
  <c r="BX75" i="1" s="1"/>
  <c r="CK88" i="1"/>
  <c r="BB88" i="1" s="1"/>
  <c r="CL88" i="1"/>
  <c r="CL75" i="1" s="1"/>
  <c r="CM88" i="1"/>
  <c r="D118" i="1"/>
  <c r="E120" i="1"/>
  <c r="Z120" i="1"/>
  <c r="AA120" i="1"/>
  <c r="AM120" i="1"/>
  <c r="AN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CN120" i="1"/>
  <c r="CO120" i="1"/>
  <c r="CP120" i="1"/>
  <c r="CQ120" i="1"/>
  <c r="CR120" i="1"/>
  <c r="CS120" i="1"/>
  <c r="CT120" i="1"/>
  <c r="CU120" i="1"/>
  <c r="CV120" i="1"/>
  <c r="CW120" i="1"/>
  <c r="CX120" i="1"/>
  <c r="CY120" i="1"/>
  <c r="CZ120" i="1"/>
  <c r="DA120" i="1"/>
  <c r="DB120" i="1"/>
  <c r="DC120" i="1"/>
  <c r="DD120" i="1"/>
  <c r="DE120" i="1"/>
  <c r="DF120" i="1"/>
  <c r="DG120" i="1"/>
  <c r="DH120" i="1"/>
  <c r="DI120" i="1"/>
  <c r="DJ120" i="1"/>
  <c r="DK120" i="1"/>
  <c r="DL120" i="1"/>
  <c r="DM120" i="1"/>
  <c r="DN120" i="1"/>
  <c r="DO120" i="1"/>
  <c r="DP120" i="1"/>
  <c r="DQ120" i="1"/>
  <c r="DR120" i="1"/>
  <c r="DS120" i="1"/>
  <c r="DT120" i="1"/>
  <c r="DU120" i="1"/>
  <c r="DV120" i="1"/>
  <c r="DW120" i="1"/>
  <c r="DX120" i="1"/>
  <c r="DY120" i="1"/>
  <c r="DZ120" i="1"/>
  <c r="EA120" i="1"/>
  <c r="EB120" i="1"/>
  <c r="EC120" i="1"/>
  <c r="ED120" i="1"/>
  <c r="EE120" i="1"/>
  <c r="EF120" i="1"/>
  <c r="EG120" i="1"/>
  <c r="EH120" i="1"/>
  <c r="EI120" i="1"/>
  <c r="EJ120" i="1"/>
  <c r="EK120" i="1"/>
  <c r="EL120" i="1"/>
  <c r="EM120" i="1"/>
  <c r="EN120" i="1"/>
  <c r="EO120" i="1"/>
  <c r="EP120" i="1"/>
  <c r="EQ120" i="1"/>
  <c r="ER120" i="1"/>
  <c r="ES120" i="1"/>
  <c r="ET120" i="1"/>
  <c r="EU120" i="1"/>
  <c r="EV120" i="1"/>
  <c r="EW120" i="1"/>
  <c r="EX120" i="1"/>
  <c r="EY120" i="1"/>
  <c r="EZ120" i="1"/>
  <c r="FA120" i="1"/>
  <c r="FB120" i="1"/>
  <c r="FC120" i="1"/>
  <c r="FD120" i="1"/>
  <c r="FE120" i="1"/>
  <c r="FF120" i="1"/>
  <c r="FG120" i="1"/>
  <c r="FH120" i="1"/>
  <c r="FI120" i="1"/>
  <c r="FJ120" i="1"/>
  <c r="FK120" i="1"/>
  <c r="FL120" i="1"/>
  <c r="FM120" i="1"/>
  <c r="FN120" i="1"/>
  <c r="FO120" i="1"/>
  <c r="FP120" i="1"/>
  <c r="FQ120" i="1"/>
  <c r="FR120" i="1"/>
  <c r="FS120" i="1"/>
  <c r="FT120" i="1"/>
  <c r="FU120" i="1"/>
  <c r="FV120" i="1"/>
  <c r="FW120" i="1"/>
  <c r="FX120" i="1"/>
  <c r="FY120" i="1"/>
  <c r="FZ120" i="1"/>
  <c r="GA120" i="1"/>
  <c r="GB120" i="1"/>
  <c r="GC120" i="1"/>
  <c r="GD120" i="1"/>
  <c r="GE120" i="1"/>
  <c r="GF120" i="1"/>
  <c r="GG120" i="1"/>
  <c r="GH120" i="1"/>
  <c r="GI120" i="1"/>
  <c r="GJ120" i="1"/>
  <c r="GK120" i="1"/>
  <c r="GL120" i="1"/>
  <c r="GM120" i="1"/>
  <c r="GN120" i="1"/>
  <c r="GO120" i="1"/>
  <c r="GP120" i="1"/>
  <c r="GQ120" i="1"/>
  <c r="GR120" i="1"/>
  <c r="GS120" i="1"/>
  <c r="GT120" i="1"/>
  <c r="GU120" i="1"/>
  <c r="GV120" i="1"/>
  <c r="GW120" i="1"/>
  <c r="GX120" i="1"/>
  <c r="D122" i="1"/>
  <c r="I122" i="1"/>
  <c r="K122" i="1"/>
  <c r="R122" i="1"/>
  <c r="J193" i="6" s="1"/>
  <c r="AC122" i="1"/>
  <c r="AE122" i="1"/>
  <c r="AF122" i="1"/>
  <c r="AG122" i="1"/>
  <c r="CU122" i="1" s="1"/>
  <c r="T122" i="1" s="1"/>
  <c r="AH122" i="1"/>
  <c r="AI122" i="1"/>
  <c r="AJ122" i="1"/>
  <c r="CX122" i="1" s="1"/>
  <c r="W122" i="1" s="1"/>
  <c r="CR122" i="1"/>
  <c r="Q122" i="1" s="1"/>
  <c r="J192" i="6" s="1"/>
  <c r="CS122" i="1"/>
  <c r="V189" i="6" s="1"/>
  <c r="CV122" i="1"/>
  <c r="U122" i="1" s="1"/>
  <c r="K202" i="6" s="1"/>
  <c r="CW122" i="1"/>
  <c r="V122" i="1" s="1"/>
  <c r="FR122" i="1"/>
  <c r="GL122" i="1"/>
  <c r="GN122" i="1"/>
  <c r="GO122" i="1"/>
  <c r="GV122" i="1"/>
  <c r="HC122" i="1"/>
  <c r="GX122" i="1" s="1"/>
  <c r="AC123" i="1"/>
  <c r="AE123" i="1"/>
  <c r="AF123" i="1"/>
  <c r="AG123" i="1"/>
  <c r="CU123" i="1" s="1"/>
  <c r="AH123" i="1"/>
  <c r="AI123" i="1"/>
  <c r="CW123" i="1" s="1"/>
  <c r="AJ123" i="1"/>
  <c r="CQ123" i="1"/>
  <c r="CR123" i="1"/>
  <c r="CV123" i="1"/>
  <c r="CX123" i="1"/>
  <c r="FR123" i="1"/>
  <c r="GL123" i="1"/>
  <c r="GN123" i="1"/>
  <c r="GO123" i="1"/>
  <c r="GV123" i="1"/>
  <c r="HC123" i="1" s="1"/>
  <c r="I124" i="1"/>
  <c r="AC124" i="1"/>
  <c r="AE124" i="1"/>
  <c r="AF124" i="1"/>
  <c r="AG124" i="1"/>
  <c r="CU124" i="1" s="1"/>
  <c r="T124" i="1" s="1"/>
  <c r="AH124" i="1"/>
  <c r="AI124" i="1"/>
  <c r="AJ124" i="1"/>
  <c r="CX124" i="1" s="1"/>
  <c r="W124" i="1" s="1"/>
  <c r="CR124" i="1"/>
  <c r="Q124" i="1" s="1"/>
  <c r="CS124" i="1"/>
  <c r="CT124" i="1"/>
  <c r="S124" i="1" s="1"/>
  <c r="CV124" i="1"/>
  <c r="U124" i="1" s="1"/>
  <c r="CW124" i="1"/>
  <c r="V124" i="1" s="1"/>
  <c r="FR124" i="1"/>
  <c r="GL124" i="1"/>
  <c r="GN124" i="1"/>
  <c r="GO124" i="1"/>
  <c r="GV124" i="1"/>
  <c r="HC124" i="1"/>
  <c r="GX124" i="1" s="1"/>
  <c r="AC125" i="1"/>
  <c r="CQ125" i="1" s="1"/>
  <c r="AE125" i="1"/>
  <c r="AF125" i="1"/>
  <c r="AG125" i="1"/>
  <c r="CU125" i="1" s="1"/>
  <c r="AH125" i="1"/>
  <c r="CV125" i="1" s="1"/>
  <c r="AI125" i="1"/>
  <c r="CW125" i="1" s="1"/>
  <c r="AJ125" i="1"/>
  <c r="CR125" i="1"/>
  <c r="CT125" i="1"/>
  <c r="CX125" i="1"/>
  <c r="FR125" i="1"/>
  <c r="GL125" i="1"/>
  <c r="GN125" i="1"/>
  <c r="GO125" i="1"/>
  <c r="GV125" i="1"/>
  <c r="HC125" i="1" s="1"/>
  <c r="I126" i="1"/>
  <c r="AC126" i="1"/>
  <c r="AE126" i="1"/>
  <c r="CS126" i="1" s="1"/>
  <c r="V198" i="6" s="1"/>
  <c r="AF126" i="1"/>
  <c r="AG126" i="1"/>
  <c r="CU126" i="1" s="1"/>
  <c r="AH126" i="1"/>
  <c r="CV126" i="1" s="1"/>
  <c r="AI126" i="1"/>
  <c r="CW126" i="1" s="1"/>
  <c r="AJ126" i="1"/>
  <c r="CX126" i="1" s="1"/>
  <c r="FR126" i="1"/>
  <c r="GL126" i="1"/>
  <c r="GN126" i="1"/>
  <c r="GO126" i="1"/>
  <c r="GV126" i="1"/>
  <c r="HC126" i="1" s="1"/>
  <c r="D127" i="1"/>
  <c r="AC127" i="1"/>
  <c r="AE127" i="1"/>
  <c r="AF127" i="1"/>
  <c r="AG127" i="1"/>
  <c r="AH127" i="1"/>
  <c r="CV127" i="1" s="1"/>
  <c r="U127" i="1" s="1"/>
  <c r="K210" i="6" s="1"/>
  <c r="AI127" i="1"/>
  <c r="CW127" i="1" s="1"/>
  <c r="V127" i="1" s="1"/>
  <c r="AJ127" i="1"/>
  <c r="CX127" i="1" s="1"/>
  <c r="W127" i="1" s="1"/>
  <c r="CQ127" i="1"/>
  <c r="P127" i="1" s="1"/>
  <c r="J207" i="6" s="1"/>
  <c r="CT127" i="1"/>
  <c r="S127" i="1" s="1"/>
  <c r="CU127" i="1"/>
  <c r="T127" i="1" s="1"/>
  <c r="FR127" i="1"/>
  <c r="GL127" i="1"/>
  <c r="GN127" i="1"/>
  <c r="GO127" i="1"/>
  <c r="GV127" i="1"/>
  <c r="HC127" i="1" s="1"/>
  <c r="GX127" i="1" s="1"/>
  <c r="D128" i="1"/>
  <c r="AC128" i="1"/>
  <c r="AE128" i="1"/>
  <c r="CS128" i="1" s="1"/>
  <c r="AF128" i="1"/>
  <c r="AG128" i="1"/>
  <c r="CU128" i="1" s="1"/>
  <c r="T128" i="1" s="1"/>
  <c r="AH128" i="1"/>
  <c r="CV128" i="1" s="1"/>
  <c r="U128" i="1" s="1"/>
  <c r="K217" i="6" s="1"/>
  <c r="AI128" i="1"/>
  <c r="CW128" i="1" s="1"/>
  <c r="V128" i="1" s="1"/>
  <c r="AJ128" i="1"/>
  <c r="CT128" i="1"/>
  <c r="S128" i="1" s="1"/>
  <c r="J213" i="6" s="1"/>
  <c r="CX128" i="1"/>
  <c r="W128" i="1" s="1"/>
  <c r="FR128" i="1"/>
  <c r="GL128" i="1"/>
  <c r="GN128" i="1"/>
  <c r="GO128" i="1"/>
  <c r="GV128" i="1"/>
  <c r="HC128" i="1" s="1"/>
  <c r="GX128" i="1" s="1"/>
  <c r="D129" i="1"/>
  <c r="AC129" i="1"/>
  <c r="AE129" i="1"/>
  <c r="AF129" i="1"/>
  <c r="AG129" i="1"/>
  <c r="AH129" i="1"/>
  <c r="AI129" i="1"/>
  <c r="CW129" i="1" s="1"/>
  <c r="V129" i="1" s="1"/>
  <c r="AJ129" i="1"/>
  <c r="CX129" i="1" s="1"/>
  <c r="W129" i="1" s="1"/>
  <c r="CQ129" i="1"/>
  <c r="P129" i="1" s="1"/>
  <c r="J223" i="6" s="1"/>
  <c r="CU129" i="1"/>
  <c r="T129" i="1" s="1"/>
  <c r="CV129" i="1"/>
  <c r="U129" i="1" s="1"/>
  <c r="K228" i="6" s="1"/>
  <c r="FR129" i="1"/>
  <c r="GL129" i="1"/>
  <c r="GN129" i="1"/>
  <c r="GO129" i="1"/>
  <c r="GV129" i="1"/>
  <c r="HC129" i="1"/>
  <c r="GX129" i="1" s="1"/>
  <c r="I130" i="1"/>
  <c r="AC130" i="1"/>
  <c r="AE130" i="1"/>
  <c r="AF130" i="1"/>
  <c r="AG130" i="1"/>
  <c r="CU130" i="1" s="1"/>
  <c r="AH130" i="1"/>
  <c r="AI130" i="1"/>
  <c r="CW130" i="1" s="1"/>
  <c r="V130" i="1" s="1"/>
  <c r="AJ130" i="1"/>
  <c r="CX130" i="1" s="1"/>
  <c r="CT130" i="1"/>
  <c r="CV130" i="1"/>
  <c r="U130" i="1" s="1"/>
  <c r="FR130" i="1"/>
  <c r="GL130" i="1"/>
  <c r="GN130" i="1"/>
  <c r="GO130" i="1"/>
  <c r="GV130" i="1"/>
  <c r="HC130" i="1" s="1"/>
  <c r="GX130" i="1" s="1"/>
  <c r="D131" i="1"/>
  <c r="Q131" i="1"/>
  <c r="J232" i="6" s="1"/>
  <c r="AC131" i="1"/>
  <c r="AD131" i="1"/>
  <c r="AE131" i="1"/>
  <c r="AF131" i="1"/>
  <c r="AG131" i="1"/>
  <c r="CU131" i="1" s="1"/>
  <c r="T131" i="1" s="1"/>
  <c r="AH131" i="1"/>
  <c r="CV131" i="1" s="1"/>
  <c r="U131" i="1" s="1"/>
  <c r="K239" i="6" s="1"/>
  <c r="AI131" i="1"/>
  <c r="CW131" i="1" s="1"/>
  <c r="V131" i="1" s="1"/>
  <c r="AJ131" i="1"/>
  <c r="CR131" i="1"/>
  <c r="CT131" i="1"/>
  <c r="S131" i="1" s="1"/>
  <c r="CX131" i="1"/>
  <c r="W131" i="1" s="1"/>
  <c r="FR131" i="1"/>
  <c r="GL131" i="1"/>
  <c r="GN131" i="1"/>
  <c r="GO131" i="1"/>
  <c r="GV131" i="1"/>
  <c r="HC131" i="1" s="1"/>
  <c r="GX131" i="1" s="1"/>
  <c r="I132" i="1"/>
  <c r="AC132" i="1"/>
  <c r="AE132" i="1"/>
  <c r="AF132" i="1"/>
  <c r="AG132" i="1"/>
  <c r="CU132" i="1" s="1"/>
  <c r="T132" i="1" s="1"/>
  <c r="AH132" i="1"/>
  <c r="AI132" i="1"/>
  <c r="CW132" i="1" s="1"/>
  <c r="AJ132" i="1"/>
  <c r="CX132" i="1" s="1"/>
  <c r="W132" i="1" s="1"/>
  <c r="CT132" i="1"/>
  <c r="S132" i="1" s="1"/>
  <c r="CV132" i="1"/>
  <c r="FR132" i="1"/>
  <c r="GL132" i="1"/>
  <c r="GN132" i="1"/>
  <c r="GO132" i="1"/>
  <c r="GV132" i="1"/>
  <c r="HC132" i="1" s="1"/>
  <c r="GX132" i="1" s="1"/>
  <c r="D133" i="1"/>
  <c r="AC133" i="1"/>
  <c r="CQ133" i="1" s="1"/>
  <c r="P133" i="1" s="1"/>
  <c r="J243" i="6" s="1"/>
  <c r="AE133" i="1"/>
  <c r="AF133" i="1"/>
  <c r="AG133" i="1"/>
  <c r="AH133" i="1"/>
  <c r="CV133" i="1" s="1"/>
  <c r="U133" i="1" s="1"/>
  <c r="K246" i="6" s="1"/>
  <c r="AI133" i="1"/>
  <c r="CW133" i="1" s="1"/>
  <c r="V133" i="1" s="1"/>
  <c r="AJ133" i="1"/>
  <c r="CT133" i="1"/>
  <c r="S133" i="1" s="1"/>
  <c r="J242" i="6" s="1"/>
  <c r="CU133" i="1"/>
  <c r="T133" i="1" s="1"/>
  <c r="CX133" i="1"/>
  <c r="W133" i="1" s="1"/>
  <c r="FR133" i="1"/>
  <c r="GL133" i="1"/>
  <c r="GN133" i="1"/>
  <c r="GO133" i="1"/>
  <c r="GV133" i="1"/>
  <c r="HC133" i="1" s="1"/>
  <c r="GX133" i="1" s="1"/>
  <c r="D134" i="1"/>
  <c r="AC134" i="1"/>
  <c r="CQ134" i="1" s="1"/>
  <c r="P134" i="1" s="1"/>
  <c r="J250" i="6" s="1"/>
  <c r="AE134" i="1"/>
  <c r="AF134" i="1"/>
  <c r="AG134" i="1"/>
  <c r="CU134" i="1" s="1"/>
  <c r="T134" i="1" s="1"/>
  <c r="AH134" i="1"/>
  <c r="AI134" i="1"/>
  <c r="CW134" i="1" s="1"/>
  <c r="V134" i="1" s="1"/>
  <c r="AJ134" i="1"/>
  <c r="CX134" i="1" s="1"/>
  <c r="W134" i="1" s="1"/>
  <c r="CV134" i="1"/>
  <c r="U134" i="1" s="1"/>
  <c r="K254" i="6" s="1"/>
  <c r="FR134" i="1"/>
  <c r="GL134" i="1"/>
  <c r="GN134" i="1"/>
  <c r="GO134" i="1"/>
  <c r="GV134" i="1"/>
  <c r="HC134" i="1" s="1"/>
  <c r="GX134" i="1" s="1"/>
  <c r="I135" i="1"/>
  <c r="AC135" i="1"/>
  <c r="AE135" i="1"/>
  <c r="AF135" i="1"/>
  <c r="AG135" i="1"/>
  <c r="AH135" i="1"/>
  <c r="CV135" i="1" s="1"/>
  <c r="U135" i="1" s="1"/>
  <c r="AI135" i="1"/>
  <c r="CW135" i="1" s="1"/>
  <c r="V135" i="1" s="1"/>
  <c r="AJ135" i="1"/>
  <c r="CQ135" i="1"/>
  <c r="CT135" i="1"/>
  <c r="S135" i="1" s="1"/>
  <c r="CY135" i="1" s="1"/>
  <c r="X135" i="1" s="1"/>
  <c r="R251" i="6" s="1"/>
  <c r="CU135" i="1"/>
  <c r="CX135" i="1"/>
  <c r="W135" i="1" s="1"/>
  <c r="FR135" i="1"/>
  <c r="GL135" i="1"/>
  <c r="GN135" i="1"/>
  <c r="GO135" i="1"/>
  <c r="GV135" i="1"/>
  <c r="HC135" i="1"/>
  <c r="GX135" i="1" s="1"/>
  <c r="D136" i="1"/>
  <c r="AC136" i="1"/>
  <c r="CQ136" i="1" s="1"/>
  <c r="P136" i="1" s="1"/>
  <c r="J258" i="6" s="1"/>
  <c r="AE136" i="1"/>
  <c r="AF136" i="1"/>
  <c r="AG136" i="1"/>
  <c r="CU136" i="1" s="1"/>
  <c r="T136" i="1" s="1"/>
  <c r="AH136" i="1"/>
  <c r="CV136" i="1" s="1"/>
  <c r="U136" i="1" s="1"/>
  <c r="K262" i="6" s="1"/>
  <c r="AI136" i="1"/>
  <c r="CW136" i="1" s="1"/>
  <c r="V136" i="1" s="1"/>
  <c r="AJ136" i="1"/>
  <c r="CT136" i="1"/>
  <c r="S136" i="1" s="1"/>
  <c r="J257" i="6" s="1"/>
  <c r="CX136" i="1"/>
  <c r="W136" i="1" s="1"/>
  <c r="FR136" i="1"/>
  <c r="GL136" i="1"/>
  <c r="GN136" i="1"/>
  <c r="GO136" i="1"/>
  <c r="GV136" i="1"/>
  <c r="HC136" i="1" s="1"/>
  <c r="GX136" i="1" s="1"/>
  <c r="I137" i="1"/>
  <c r="AC137" i="1"/>
  <c r="AE137" i="1"/>
  <c r="AF137" i="1"/>
  <c r="AG137" i="1"/>
  <c r="CU137" i="1" s="1"/>
  <c r="T137" i="1" s="1"/>
  <c r="AH137" i="1"/>
  <c r="AI137" i="1"/>
  <c r="CW137" i="1" s="1"/>
  <c r="AJ137" i="1"/>
  <c r="CQ137" i="1"/>
  <c r="P137" i="1" s="1"/>
  <c r="CV137" i="1"/>
  <c r="U137" i="1" s="1"/>
  <c r="CX137" i="1"/>
  <c r="W137" i="1" s="1"/>
  <c r="FR137" i="1"/>
  <c r="GL137" i="1"/>
  <c r="GN137" i="1"/>
  <c r="GO137" i="1"/>
  <c r="GV137" i="1"/>
  <c r="HC137" i="1" s="1"/>
  <c r="D138" i="1"/>
  <c r="AC138" i="1"/>
  <c r="CQ138" i="1" s="1"/>
  <c r="P138" i="1" s="1"/>
  <c r="J266" i="6" s="1"/>
  <c r="AE138" i="1"/>
  <c r="AF138" i="1"/>
  <c r="AG138" i="1"/>
  <c r="CU138" i="1" s="1"/>
  <c r="T138" i="1" s="1"/>
  <c r="AH138" i="1"/>
  <c r="CV138" i="1" s="1"/>
  <c r="U138" i="1" s="1"/>
  <c r="K269" i="6" s="1"/>
  <c r="AI138" i="1"/>
  <c r="AJ138" i="1"/>
  <c r="CX138" i="1" s="1"/>
  <c r="W138" i="1" s="1"/>
  <c r="CR138" i="1"/>
  <c r="Q138" i="1" s="1"/>
  <c r="CS138" i="1"/>
  <c r="CT138" i="1"/>
  <c r="S138" i="1" s="1"/>
  <c r="J265" i="6" s="1"/>
  <c r="CW138" i="1"/>
  <c r="V138" i="1" s="1"/>
  <c r="FR138" i="1"/>
  <c r="GL138" i="1"/>
  <c r="GN138" i="1"/>
  <c r="GO138" i="1"/>
  <c r="GV138" i="1"/>
  <c r="HC138" i="1" s="1"/>
  <c r="GX138" i="1" s="1"/>
  <c r="B140" i="1"/>
  <c r="B120" i="1" s="1"/>
  <c r="C140" i="1"/>
  <c r="C120" i="1" s="1"/>
  <c r="D140" i="1"/>
  <c r="D120" i="1" s="1"/>
  <c r="F140" i="1"/>
  <c r="F120" i="1" s="1"/>
  <c r="G140" i="1"/>
  <c r="A272" i="6" s="1"/>
  <c r="BX140" i="1"/>
  <c r="CK140" i="1"/>
  <c r="CK120" i="1" s="1"/>
  <c r="CL140" i="1"/>
  <c r="CM140" i="1"/>
  <c r="CM120" i="1" s="1"/>
  <c r="D170" i="1"/>
  <c r="E172" i="1"/>
  <c r="Z172" i="1"/>
  <c r="AA172" i="1"/>
  <c r="AM172" i="1"/>
  <c r="AN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CN172" i="1"/>
  <c r="CO172" i="1"/>
  <c r="CP172" i="1"/>
  <c r="CQ172" i="1"/>
  <c r="CR172" i="1"/>
  <c r="CS172" i="1"/>
  <c r="CT172" i="1"/>
  <c r="CU172" i="1"/>
  <c r="CV172" i="1"/>
  <c r="CW172" i="1"/>
  <c r="CX172" i="1"/>
  <c r="CY172" i="1"/>
  <c r="CZ172" i="1"/>
  <c r="DA172" i="1"/>
  <c r="DB172" i="1"/>
  <c r="DC172" i="1"/>
  <c r="DD172" i="1"/>
  <c r="DE172" i="1"/>
  <c r="DF172" i="1"/>
  <c r="DG172" i="1"/>
  <c r="DH172" i="1"/>
  <c r="DI172" i="1"/>
  <c r="DJ172" i="1"/>
  <c r="DK172" i="1"/>
  <c r="DL172" i="1"/>
  <c r="DM172" i="1"/>
  <c r="DN172" i="1"/>
  <c r="DO172" i="1"/>
  <c r="DP172" i="1"/>
  <c r="DQ172" i="1"/>
  <c r="DR172" i="1"/>
  <c r="DS172" i="1"/>
  <c r="DT172" i="1"/>
  <c r="DU172" i="1"/>
  <c r="DV172" i="1"/>
  <c r="DW172" i="1"/>
  <c r="DX172" i="1"/>
  <c r="DY172" i="1"/>
  <c r="DZ172" i="1"/>
  <c r="EA172" i="1"/>
  <c r="EB172" i="1"/>
  <c r="EC172" i="1"/>
  <c r="ED172" i="1"/>
  <c r="EE172" i="1"/>
  <c r="EF172" i="1"/>
  <c r="EG172" i="1"/>
  <c r="EH172" i="1"/>
  <c r="EI172" i="1"/>
  <c r="EJ172" i="1"/>
  <c r="EK172" i="1"/>
  <c r="EL172" i="1"/>
  <c r="EM172" i="1"/>
  <c r="EN172" i="1"/>
  <c r="EO172" i="1"/>
  <c r="EP172" i="1"/>
  <c r="EQ172" i="1"/>
  <c r="ER172" i="1"/>
  <c r="ES172" i="1"/>
  <c r="ET172" i="1"/>
  <c r="EU172" i="1"/>
  <c r="EV172" i="1"/>
  <c r="EW172" i="1"/>
  <c r="EX172" i="1"/>
  <c r="EY172" i="1"/>
  <c r="EZ172" i="1"/>
  <c r="FA172" i="1"/>
  <c r="FB172" i="1"/>
  <c r="FC172" i="1"/>
  <c r="FD172" i="1"/>
  <c r="FE172" i="1"/>
  <c r="FF172" i="1"/>
  <c r="FG172" i="1"/>
  <c r="FH172" i="1"/>
  <c r="FI172" i="1"/>
  <c r="FJ172" i="1"/>
  <c r="FK172" i="1"/>
  <c r="FL172" i="1"/>
  <c r="FM172" i="1"/>
  <c r="FN172" i="1"/>
  <c r="FO172" i="1"/>
  <c r="FP172" i="1"/>
  <c r="FQ172" i="1"/>
  <c r="FR172" i="1"/>
  <c r="FS172" i="1"/>
  <c r="FT172" i="1"/>
  <c r="FU172" i="1"/>
  <c r="FV172" i="1"/>
  <c r="FW172" i="1"/>
  <c r="FX172" i="1"/>
  <c r="FY172" i="1"/>
  <c r="FZ172" i="1"/>
  <c r="GA172" i="1"/>
  <c r="GB172" i="1"/>
  <c r="GC172" i="1"/>
  <c r="GD172" i="1"/>
  <c r="GE172" i="1"/>
  <c r="GF172" i="1"/>
  <c r="GG172" i="1"/>
  <c r="GH172" i="1"/>
  <c r="GI172" i="1"/>
  <c r="GJ172" i="1"/>
  <c r="GK172" i="1"/>
  <c r="GL172" i="1"/>
  <c r="GM172" i="1"/>
  <c r="GN172" i="1"/>
  <c r="GO172" i="1"/>
  <c r="GP172" i="1"/>
  <c r="GQ172" i="1"/>
  <c r="GR172" i="1"/>
  <c r="GS172" i="1"/>
  <c r="GT172" i="1"/>
  <c r="GU172" i="1"/>
  <c r="GV172" i="1"/>
  <c r="GW172" i="1"/>
  <c r="GX172" i="1"/>
  <c r="D174" i="1"/>
  <c r="AC174" i="1"/>
  <c r="AE174" i="1"/>
  <c r="U276" i="6" s="1"/>
  <c r="AF174" i="1"/>
  <c r="AG174" i="1"/>
  <c r="CU174" i="1" s="1"/>
  <c r="T174" i="1" s="1"/>
  <c r="AH174" i="1"/>
  <c r="CV174" i="1" s="1"/>
  <c r="U174" i="1" s="1"/>
  <c r="K280" i="6" s="1"/>
  <c r="AI174" i="1"/>
  <c r="AJ174" i="1"/>
  <c r="CX174" i="1" s="1"/>
  <c r="W174" i="1" s="1"/>
  <c r="CW174" i="1"/>
  <c r="V174" i="1" s="1"/>
  <c r="FR174" i="1"/>
  <c r="GL174" i="1"/>
  <c r="GN174" i="1"/>
  <c r="GO174" i="1"/>
  <c r="GV174" i="1"/>
  <c r="HC174" i="1" s="1"/>
  <c r="GX174" i="1" s="1"/>
  <c r="D175" i="1"/>
  <c r="V175" i="1"/>
  <c r="AC175" i="1"/>
  <c r="AE175" i="1"/>
  <c r="AF175" i="1"/>
  <c r="AG175" i="1"/>
  <c r="AH175" i="1"/>
  <c r="AI175" i="1"/>
  <c r="CW175" i="1" s="1"/>
  <c r="AJ175" i="1"/>
  <c r="CX175" i="1" s="1"/>
  <c r="W175" i="1" s="1"/>
  <c r="CQ175" i="1"/>
  <c r="P175" i="1" s="1"/>
  <c r="CU175" i="1"/>
  <c r="T175" i="1" s="1"/>
  <c r="CV175" i="1"/>
  <c r="U175" i="1" s="1"/>
  <c r="K286" i="6" s="1"/>
  <c r="FR175" i="1"/>
  <c r="GL175" i="1"/>
  <c r="GN175" i="1"/>
  <c r="GO175" i="1"/>
  <c r="GV175" i="1"/>
  <c r="HC175" i="1" s="1"/>
  <c r="GX175" i="1" s="1"/>
  <c r="D176" i="1"/>
  <c r="AC176" i="1"/>
  <c r="CQ176" i="1" s="1"/>
  <c r="P176" i="1" s="1"/>
  <c r="J292" i="6" s="1"/>
  <c r="AD176" i="1"/>
  <c r="AE176" i="1"/>
  <c r="U288" i="6" s="1"/>
  <c r="AF176" i="1"/>
  <c r="AG176" i="1"/>
  <c r="CU176" i="1" s="1"/>
  <c r="T176" i="1" s="1"/>
  <c r="AH176" i="1"/>
  <c r="CV176" i="1" s="1"/>
  <c r="U176" i="1" s="1"/>
  <c r="K296" i="6" s="1"/>
  <c r="AI176" i="1"/>
  <c r="AJ176" i="1"/>
  <c r="CR176" i="1"/>
  <c r="Q176" i="1" s="1"/>
  <c r="J290" i="6" s="1"/>
  <c r="CS176" i="1"/>
  <c r="V288" i="6" s="1"/>
  <c r="J295" i="6" s="1"/>
  <c r="CW176" i="1"/>
  <c r="V176" i="1" s="1"/>
  <c r="CX176" i="1"/>
  <c r="W176" i="1" s="1"/>
  <c r="FR176" i="1"/>
  <c r="GL176" i="1"/>
  <c r="GN176" i="1"/>
  <c r="GO176" i="1"/>
  <c r="GV176" i="1"/>
  <c r="HC176" i="1"/>
  <c r="GX176" i="1" s="1"/>
  <c r="D177" i="1"/>
  <c r="AC177" i="1"/>
  <c r="CQ177" i="1" s="1"/>
  <c r="P177" i="1" s="1"/>
  <c r="J302" i="6" s="1"/>
  <c r="AE177" i="1"/>
  <c r="U298" i="6" s="1"/>
  <c r="AF177" i="1"/>
  <c r="AG177" i="1"/>
  <c r="AH177" i="1"/>
  <c r="CV177" i="1" s="1"/>
  <c r="U177" i="1" s="1"/>
  <c r="K306" i="6" s="1"/>
  <c r="AI177" i="1"/>
  <c r="CW177" i="1" s="1"/>
  <c r="V177" i="1" s="1"/>
  <c r="AJ177" i="1"/>
  <c r="CX177" i="1" s="1"/>
  <c r="W177" i="1" s="1"/>
  <c r="CU177" i="1"/>
  <c r="T177" i="1" s="1"/>
  <c r="FR177" i="1"/>
  <c r="GL177" i="1"/>
  <c r="GN177" i="1"/>
  <c r="GO177" i="1"/>
  <c r="GV177" i="1"/>
  <c r="HC177" i="1" s="1"/>
  <c r="GX177" i="1" s="1"/>
  <c r="D178" i="1"/>
  <c r="AC178" i="1"/>
  <c r="AD178" i="1"/>
  <c r="AE178" i="1"/>
  <c r="U308" i="6" s="1"/>
  <c r="AF178" i="1"/>
  <c r="AG178" i="1"/>
  <c r="CU178" i="1" s="1"/>
  <c r="T178" i="1" s="1"/>
  <c r="AH178" i="1"/>
  <c r="CV178" i="1" s="1"/>
  <c r="U178" i="1" s="1"/>
  <c r="K313" i="6" s="1"/>
  <c r="AI178" i="1"/>
  <c r="CW178" i="1" s="1"/>
  <c r="V178" i="1" s="1"/>
  <c r="AJ178" i="1"/>
  <c r="CR178" i="1"/>
  <c r="Q178" i="1" s="1"/>
  <c r="CS178" i="1"/>
  <c r="CT178" i="1"/>
  <c r="S178" i="1" s="1"/>
  <c r="CX178" i="1"/>
  <c r="W178" i="1" s="1"/>
  <c r="FR178" i="1"/>
  <c r="GL178" i="1"/>
  <c r="GN178" i="1"/>
  <c r="GO178" i="1"/>
  <c r="GV178" i="1"/>
  <c r="HC178" i="1" s="1"/>
  <c r="GX178" i="1" s="1"/>
  <c r="I179" i="1"/>
  <c r="AC179" i="1"/>
  <c r="AE179" i="1"/>
  <c r="AF179" i="1"/>
  <c r="AG179" i="1"/>
  <c r="CU179" i="1" s="1"/>
  <c r="T179" i="1" s="1"/>
  <c r="AH179" i="1"/>
  <c r="AI179" i="1"/>
  <c r="CW179" i="1" s="1"/>
  <c r="AJ179" i="1"/>
  <c r="CQ179" i="1"/>
  <c r="P179" i="1" s="1"/>
  <c r="CS179" i="1"/>
  <c r="CV179" i="1"/>
  <c r="U179" i="1" s="1"/>
  <c r="CX179" i="1"/>
  <c r="W179" i="1" s="1"/>
  <c r="FR179" i="1"/>
  <c r="GL179" i="1"/>
  <c r="GN179" i="1"/>
  <c r="GO179" i="1"/>
  <c r="GV179" i="1"/>
  <c r="HC179" i="1" s="1"/>
  <c r="D180" i="1"/>
  <c r="AC180" i="1"/>
  <c r="AE180" i="1"/>
  <c r="AF180" i="1"/>
  <c r="AG180" i="1"/>
  <c r="CU180" i="1" s="1"/>
  <c r="T180" i="1" s="1"/>
  <c r="AH180" i="1"/>
  <c r="CV180" i="1" s="1"/>
  <c r="U180" i="1" s="1"/>
  <c r="K321" i="6" s="1"/>
  <c r="AI180" i="1"/>
  <c r="CW180" i="1" s="1"/>
  <c r="V180" i="1" s="1"/>
  <c r="AJ180" i="1"/>
  <c r="CR180" i="1"/>
  <c r="Q180" i="1" s="1"/>
  <c r="CT180" i="1"/>
  <c r="S180" i="1" s="1"/>
  <c r="J316" i="6" s="1"/>
  <c r="CX180" i="1"/>
  <c r="W180" i="1" s="1"/>
  <c r="FR180" i="1"/>
  <c r="GL180" i="1"/>
  <c r="GN180" i="1"/>
  <c r="GO180" i="1"/>
  <c r="GV180" i="1"/>
  <c r="HC180" i="1" s="1"/>
  <c r="GX180" i="1" s="1"/>
  <c r="I181" i="1"/>
  <c r="AC181" i="1"/>
  <c r="AE181" i="1"/>
  <c r="AF181" i="1"/>
  <c r="AG181" i="1"/>
  <c r="CU181" i="1" s="1"/>
  <c r="T181" i="1" s="1"/>
  <c r="AH181" i="1"/>
  <c r="AI181" i="1"/>
  <c r="CW181" i="1" s="1"/>
  <c r="V181" i="1" s="1"/>
  <c r="AJ181" i="1"/>
  <c r="CT181" i="1"/>
  <c r="S181" i="1" s="1"/>
  <c r="CV181" i="1"/>
  <c r="U181" i="1" s="1"/>
  <c r="CX181" i="1"/>
  <c r="W181" i="1" s="1"/>
  <c r="FR181" i="1"/>
  <c r="GL181" i="1"/>
  <c r="GN181" i="1"/>
  <c r="GO181" i="1"/>
  <c r="GV181" i="1"/>
  <c r="HC181" i="1" s="1"/>
  <c r="GX181" i="1" s="1"/>
  <c r="I182" i="1"/>
  <c r="AC182" i="1"/>
  <c r="AE182" i="1"/>
  <c r="AF182" i="1"/>
  <c r="AG182" i="1"/>
  <c r="CU182" i="1" s="1"/>
  <c r="T182" i="1" s="1"/>
  <c r="AH182" i="1"/>
  <c r="CV182" i="1" s="1"/>
  <c r="U182" i="1" s="1"/>
  <c r="AI182" i="1"/>
  <c r="CW182" i="1" s="1"/>
  <c r="AJ182" i="1"/>
  <c r="CR182" i="1"/>
  <c r="Q182" i="1" s="1"/>
  <c r="CX182" i="1"/>
  <c r="W182" i="1" s="1"/>
  <c r="FR182" i="1"/>
  <c r="GL182" i="1"/>
  <c r="GN182" i="1"/>
  <c r="GO182" i="1"/>
  <c r="GV182" i="1"/>
  <c r="HC182" i="1" s="1"/>
  <c r="GX182" i="1" s="1"/>
  <c r="D183" i="1"/>
  <c r="AC183" i="1"/>
  <c r="CQ183" i="1" s="1"/>
  <c r="P183" i="1" s="1"/>
  <c r="AE183" i="1"/>
  <c r="U323" i="6" s="1"/>
  <c r="AF183" i="1"/>
  <c r="AG183" i="1"/>
  <c r="CU183" i="1" s="1"/>
  <c r="T183" i="1" s="1"/>
  <c r="AH183" i="1"/>
  <c r="CV183" i="1" s="1"/>
  <c r="U183" i="1" s="1"/>
  <c r="K329" i="6" s="1"/>
  <c r="AI183" i="1"/>
  <c r="CW183" i="1" s="1"/>
  <c r="V183" i="1" s="1"/>
  <c r="AJ183" i="1"/>
  <c r="CR183" i="1"/>
  <c r="Q183" i="1" s="1"/>
  <c r="CX183" i="1"/>
  <c r="W183" i="1" s="1"/>
  <c r="FR183" i="1"/>
  <c r="GL183" i="1"/>
  <c r="GN183" i="1"/>
  <c r="GO183" i="1"/>
  <c r="GV183" i="1"/>
  <c r="HC183" i="1" s="1"/>
  <c r="GX183" i="1" s="1"/>
  <c r="I184" i="1"/>
  <c r="AC184" i="1"/>
  <c r="AE184" i="1"/>
  <c r="AF184" i="1"/>
  <c r="AG184" i="1"/>
  <c r="CU184" i="1" s="1"/>
  <c r="T184" i="1" s="1"/>
  <c r="AH184" i="1"/>
  <c r="AI184" i="1"/>
  <c r="CW184" i="1" s="1"/>
  <c r="V184" i="1" s="1"/>
  <c r="AJ184" i="1"/>
  <c r="CT184" i="1"/>
  <c r="S184" i="1" s="1"/>
  <c r="CV184" i="1"/>
  <c r="U184" i="1" s="1"/>
  <c r="CX184" i="1"/>
  <c r="W184" i="1" s="1"/>
  <c r="FR184" i="1"/>
  <c r="GL184" i="1"/>
  <c r="GN184" i="1"/>
  <c r="GO184" i="1"/>
  <c r="GV184" i="1"/>
  <c r="HC184" i="1"/>
  <c r="GX184" i="1" s="1"/>
  <c r="I185" i="1"/>
  <c r="AC185" i="1"/>
  <c r="AE185" i="1"/>
  <c r="AF185" i="1"/>
  <c r="CT185" i="1" s="1"/>
  <c r="S185" i="1" s="1"/>
  <c r="AG185" i="1"/>
  <c r="CU185" i="1" s="1"/>
  <c r="AH185" i="1"/>
  <c r="AI185" i="1"/>
  <c r="CW185" i="1" s="1"/>
  <c r="V185" i="1" s="1"/>
  <c r="AJ185" i="1"/>
  <c r="CV185" i="1"/>
  <c r="U185" i="1" s="1"/>
  <c r="CX185" i="1"/>
  <c r="W185" i="1" s="1"/>
  <c r="FR185" i="1"/>
  <c r="GL185" i="1"/>
  <c r="GN185" i="1"/>
  <c r="GO185" i="1"/>
  <c r="GV185" i="1"/>
  <c r="HC185" i="1" s="1"/>
  <c r="B187" i="1"/>
  <c r="B172" i="1" s="1"/>
  <c r="C187" i="1"/>
  <c r="C172" i="1" s="1"/>
  <c r="D187" i="1"/>
  <c r="D172" i="1" s="1"/>
  <c r="F187" i="1"/>
  <c r="F172" i="1" s="1"/>
  <c r="G187" i="1"/>
  <c r="BX187" i="1"/>
  <c r="AO187" i="1" s="1"/>
  <c r="F191" i="1" s="1"/>
  <c r="CK187" i="1"/>
  <c r="BB187" i="1" s="1"/>
  <c r="CL187" i="1"/>
  <c r="CM187" i="1"/>
  <c r="CM172" i="1" s="1"/>
  <c r="B217" i="1"/>
  <c r="B26" i="1" s="1"/>
  <c r="C217" i="1"/>
  <c r="C26" i="1" s="1"/>
  <c r="D217" i="1"/>
  <c r="D26" i="1" s="1"/>
  <c r="F217" i="1"/>
  <c r="F26" i="1" s="1"/>
  <c r="G217" i="1"/>
  <c r="D247" i="1"/>
  <c r="E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CB249" i="1"/>
  <c r="CC249" i="1"/>
  <c r="CD249" i="1"/>
  <c r="CE249" i="1"/>
  <c r="CF249" i="1"/>
  <c r="CG249" i="1"/>
  <c r="CH249" i="1"/>
  <c r="CI249" i="1"/>
  <c r="CJ249" i="1"/>
  <c r="CK249" i="1"/>
  <c r="CL249" i="1"/>
  <c r="CM249" i="1"/>
  <c r="CN249" i="1"/>
  <c r="CO249" i="1"/>
  <c r="CP249" i="1"/>
  <c r="CQ249" i="1"/>
  <c r="CR249" i="1"/>
  <c r="CS249" i="1"/>
  <c r="CT249" i="1"/>
  <c r="CU249" i="1"/>
  <c r="CV249" i="1"/>
  <c r="CW249" i="1"/>
  <c r="CX249" i="1"/>
  <c r="CY249" i="1"/>
  <c r="CZ249" i="1"/>
  <c r="DA249" i="1"/>
  <c r="DB249" i="1"/>
  <c r="DC249" i="1"/>
  <c r="DD249" i="1"/>
  <c r="DE249" i="1"/>
  <c r="DF249" i="1"/>
  <c r="DG249" i="1"/>
  <c r="DH249" i="1"/>
  <c r="DI249" i="1"/>
  <c r="DJ249" i="1"/>
  <c r="DK249" i="1"/>
  <c r="DL249" i="1"/>
  <c r="DM249" i="1"/>
  <c r="DN249" i="1"/>
  <c r="DO249" i="1"/>
  <c r="DP249" i="1"/>
  <c r="DQ249" i="1"/>
  <c r="DR249" i="1"/>
  <c r="DS249" i="1"/>
  <c r="DT249" i="1"/>
  <c r="DU249" i="1"/>
  <c r="DV249" i="1"/>
  <c r="DW249" i="1"/>
  <c r="DX249" i="1"/>
  <c r="DY249" i="1"/>
  <c r="DZ249" i="1"/>
  <c r="EA249" i="1"/>
  <c r="EB249" i="1"/>
  <c r="EC249" i="1"/>
  <c r="ED249" i="1"/>
  <c r="EE249" i="1"/>
  <c r="EF249" i="1"/>
  <c r="EG249" i="1"/>
  <c r="EH249" i="1"/>
  <c r="EI249" i="1"/>
  <c r="EJ249" i="1"/>
  <c r="EK249" i="1"/>
  <c r="EL249" i="1"/>
  <c r="EM249" i="1"/>
  <c r="EN249" i="1"/>
  <c r="EO249" i="1"/>
  <c r="EP249" i="1"/>
  <c r="EQ249" i="1"/>
  <c r="ER249" i="1"/>
  <c r="ES249" i="1"/>
  <c r="ET249" i="1"/>
  <c r="EU249" i="1"/>
  <c r="EV249" i="1"/>
  <c r="EW249" i="1"/>
  <c r="EX249" i="1"/>
  <c r="EY249" i="1"/>
  <c r="EZ249" i="1"/>
  <c r="FA249" i="1"/>
  <c r="FB249" i="1"/>
  <c r="FC249" i="1"/>
  <c r="FD249" i="1"/>
  <c r="FE249" i="1"/>
  <c r="FF249" i="1"/>
  <c r="FG249" i="1"/>
  <c r="FH249" i="1"/>
  <c r="FI249" i="1"/>
  <c r="FJ249" i="1"/>
  <c r="FK249" i="1"/>
  <c r="FL249" i="1"/>
  <c r="FM249" i="1"/>
  <c r="FN249" i="1"/>
  <c r="FO249" i="1"/>
  <c r="FP249" i="1"/>
  <c r="FQ249" i="1"/>
  <c r="FR249" i="1"/>
  <c r="FS249" i="1"/>
  <c r="FT249" i="1"/>
  <c r="FU249" i="1"/>
  <c r="FV249" i="1"/>
  <c r="FW249" i="1"/>
  <c r="FX249" i="1"/>
  <c r="FY249" i="1"/>
  <c r="FZ249" i="1"/>
  <c r="GA249" i="1"/>
  <c r="GB249" i="1"/>
  <c r="GC249" i="1"/>
  <c r="GD249" i="1"/>
  <c r="GE249" i="1"/>
  <c r="GF249" i="1"/>
  <c r="GG249" i="1"/>
  <c r="GH249" i="1"/>
  <c r="GI249" i="1"/>
  <c r="GJ249" i="1"/>
  <c r="GK249" i="1"/>
  <c r="GL249" i="1"/>
  <c r="GM249" i="1"/>
  <c r="GN249" i="1"/>
  <c r="GO249" i="1"/>
  <c r="GP249" i="1"/>
  <c r="GQ249" i="1"/>
  <c r="GR249" i="1"/>
  <c r="GS249" i="1"/>
  <c r="GT249" i="1"/>
  <c r="GU249" i="1"/>
  <c r="GV249" i="1"/>
  <c r="GW249" i="1"/>
  <c r="GX249" i="1"/>
  <c r="D251" i="1"/>
  <c r="E253" i="1"/>
  <c r="Z253" i="1"/>
  <c r="AA253" i="1"/>
  <c r="AM253" i="1"/>
  <c r="AN253" i="1"/>
  <c r="BE253" i="1"/>
  <c r="BF253" i="1"/>
  <c r="BG253" i="1"/>
  <c r="BH253" i="1"/>
  <c r="BI253" i="1"/>
  <c r="BJ253" i="1"/>
  <c r="BK253" i="1"/>
  <c r="BL253" i="1"/>
  <c r="BM253" i="1"/>
  <c r="BN253" i="1"/>
  <c r="BO253" i="1"/>
  <c r="BP253" i="1"/>
  <c r="BQ253" i="1"/>
  <c r="BR253" i="1"/>
  <c r="BS253" i="1"/>
  <c r="BT253" i="1"/>
  <c r="BU253" i="1"/>
  <c r="BV253" i="1"/>
  <c r="BW253" i="1"/>
  <c r="CN253" i="1"/>
  <c r="CO253" i="1"/>
  <c r="CP253" i="1"/>
  <c r="CQ253" i="1"/>
  <c r="CR253" i="1"/>
  <c r="CS253" i="1"/>
  <c r="CT253" i="1"/>
  <c r="CU253" i="1"/>
  <c r="CV253" i="1"/>
  <c r="CW253" i="1"/>
  <c r="CX253" i="1"/>
  <c r="CY253" i="1"/>
  <c r="CZ253" i="1"/>
  <c r="DA253" i="1"/>
  <c r="DB253" i="1"/>
  <c r="DC253" i="1"/>
  <c r="DD253" i="1"/>
  <c r="DE253" i="1"/>
  <c r="DF253" i="1"/>
  <c r="DG253" i="1"/>
  <c r="DH253" i="1"/>
  <c r="DI253" i="1"/>
  <c r="DJ253" i="1"/>
  <c r="DK253" i="1"/>
  <c r="DL253" i="1"/>
  <c r="DM253" i="1"/>
  <c r="DN253" i="1"/>
  <c r="DO253" i="1"/>
  <c r="DP253" i="1"/>
  <c r="DQ253" i="1"/>
  <c r="DR253" i="1"/>
  <c r="DS253" i="1"/>
  <c r="DT253" i="1"/>
  <c r="DU253" i="1"/>
  <c r="DV253" i="1"/>
  <c r="DW253" i="1"/>
  <c r="DX253" i="1"/>
  <c r="DY253" i="1"/>
  <c r="DZ253" i="1"/>
  <c r="EA253" i="1"/>
  <c r="EB253" i="1"/>
  <c r="EC253" i="1"/>
  <c r="ED253" i="1"/>
  <c r="EE253" i="1"/>
  <c r="EF253" i="1"/>
  <c r="EG253" i="1"/>
  <c r="EH253" i="1"/>
  <c r="EI253" i="1"/>
  <c r="EJ253" i="1"/>
  <c r="EK253" i="1"/>
  <c r="EL253" i="1"/>
  <c r="EM253" i="1"/>
  <c r="EN253" i="1"/>
  <c r="EO253" i="1"/>
  <c r="EP253" i="1"/>
  <c r="EQ253" i="1"/>
  <c r="ER253" i="1"/>
  <c r="ES253" i="1"/>
  <c r="ET253" i="1"/>
  <c r="EU253" i="1"/>
  <c r="EV253" i="1"/>
  <c r="EW253" i="1"/>
  <c r="EX253" i="1"/>
  <c r="EY253" i="1"/>
  <c r="EZ253" i="1"/>
  <c r="FA253" i="1"/>
  <c r="FB253" i="1"/>
  <c r="FC253" i="1"/>
  <c r="FD253" i="1"/>
  <c r="FE253" i="1"/>
  <c r="FF253" i="1"/>
  <c r="FG253" i="1"/>
  <c r="FH253" i="1"/>
  <c r="FI253" i="1"/>
  <c r="FJ253" i="1"/>
  <c r="FK253" i="1"/>
  <c r="FL253" i="1"/>
  <c r="FM253" i="1"/>
  <c r="FN253" i="1"/>
  <c r="FO253" i="1"/>
  <c r="FP253" i="1"/>
  <c r="FQ253" i="1"/>
  <c r="FR253" i="1"/>
  <c r="FS253" i="1"/>
  <c r="FT253" i="1"/>
  <c r="FU253" i="1"/>
  <c r="FV253" i="1"/>
  <c r="FW253" i="1"/>
  <c r="FX253" i="1"/>
  <c r="FY253" i="1"/>
  <c r="FZ253" i="1"/>
  <c r="GA253" i="1"/>
  <c r="GB253" i="1"/>
  <c r="GC253" i="1"/>
  <c r="GD253" i="1"/>
  <c r="GE253" i="1"/>
  <c r="GF253" i="1"/>
  <c r="GG253" i="1"/>
  <c r="GH253" i="1"/>
  <c r="GI253" i="1"/>
  <c r="GJ253" i="1"/>
  <c r="GK253" i="1"/>
  <c r="GL253" i="1"/>
  <c r="GM253" i="1"/>
  <c r="GN253" i="1"/>
  <c r="GO253" i="1"/>
  <c r="GP253" i="1"/>
  <c r="GQ253" i="1"/>
  <c r="GR253" i="1"/>
  <c r="GS253" i="1"/>
  <c r="GT253" i="1"/>
  <c r="GU253" i="1"/>
  <c r="GV253" i="1"/>
  <c r="GW253" i="1"/>
  <c r="GX253" i="1"/>
  <c r="D255" i="1"/>
  <c r="AC255" i="1"/>
  <c r="AE255" i="1"/>
  <c r="AF255" i="1"/>
  <c r="AG255" i="1"/>
  <c r="AH255" i="1"/>
  <c r="CV255" i="1" s="1"/>
  <c r="U255" i="1" s="1"/>
  <c r="K346" i="6" s="1"/>
  <c r="AI255" i="1"/>
  <c r="CW255" i="1" s="1"/>
  <c r="V255" i="1" s="1"/>
  <c r="AJ255" i="1"/>
  <c r="CQ255" i="1"/>
  <c r="P255" i="1" s="1"/>
  <c r="CT255" i="1"/>
  <c r="S255" i="1" s="1"/>
  <c r="J342" i="6" s="1"/>
  <c r="CU255" i="1"/>
  <c r="T255" i="1" s="1"/>
  <c r="CX255" i="1"/>
  <c r="W255" i="1" s="1"/>
  <c r="FR255" i="1"/>
  <c r="GL255" i="1"/>
  <c r="GN255" i="1"/>
  <c r="GO255" i="1"/>
  <c r="GV255" i="1"/>
  <c r="HC255" i="1" s="1"/>
  <c r="GX255" i="1" s="1"/>
  <c r="D256" i="1"/>
  <c r="R256" i="1"/>
  <c r="AC256" i="1"/>
  <c r="AE256" i="1"/>
  <c r="U348" i="6" s="1"/>
  <c r="AF256" i="1"/>
  <c r="AG256" i="1"/>
  <c r="AH256" i="1"/>
  <c r="CV256" i="1" s="1"/>
  <c r="U256" i="1" s="1"/>
  <c r="K352" i="6" s="1"/>
  <c r="AI256" i="1"/>
  <c r="CW256" i="1" s="1"/>
  <c r="V256" i="1" s="1"/>
  <c r="AJ256" i="1"/>
  <c r="CX256" i="1" s="1"/>
  <c r="W256" i="1" s="1"/>
  <c r="CQ256" i="1"/>
  <c r="P256" i="1" s="1"/>
  <c r="CS256" i="1"/>
  <c r="V348" i="6" s="1"/>
  <c r="CU256" i="1"/>
  <c r="T256" i="1" s="1"/>
  <c r="FR256" i="1"/>
  <c r="GL256" i="1"/>
  <c r="GN256" i="1"/>
  <c r="GO256" i="1"/>
  <c r="GV256" i="1"/>
  <c r="HC256" i="1" s="1"/>
  <c r="GX256" i="1"/>
  <c r="D257" i="1"/>
  <c r="AC257" i="1"/>
  <c r="AD257" i="1"/>
  <c r="AE257" i="1"/>
  <c r="U354" i="6" s="1"/>
  <c r="AF257" i="1"/>
  <c r="AG257" i="1"/>
  <c r="CU257" i="1" s="1"/>
  <c r="T257" i="1" s="1"/>
  <c r="AH257" i="1"/>
  <c r="CV257" i="1" s="1"/>
  <c r="U257" i="1" s="1"/>
  <c r="K359" i="6" s="1"/>
  <c r="AI257" i="1"/>
  <c r="AJ257" i="1"/>
  <c r="CX257" i="1" s="1"/>
  <c r="W257" i="1" s="1"/>
  <c r="CQ257" i="1"/>
  <c r="P257" i="1" s="1"/>
  <c r="CR257" i="1"/>
  <c r="Q257" i="1" s="1"/>
  <c r="CS257" i="1"/>
  <c r="CW257" i="1"/>
  <c r="V257" i="1" s="1"/>
  <c r="FR257" i="1"/>
  <c r="GL257" i="1"/>
  <c r="GN257" i="1"/>
  <c r="GO257" i="1"/>
  <c r="GV257" i="1"/>
  <c r="HC257" i="1"/>
  <c r="GX257" i="1" s="1"/>
  <c r="I258" i="1"/>
  <c r="AC258" i="1"/>
  <c r="AD258" i="1"/>
  <c r="AE258" i="1"/>
  <c r="AF258" i="1"/>
  <c r="AG258" i="1"/>
  <c r="CU258" i="1" s="1"/>
  <c r="AH258" i="1"/>
  <c r="CV258" i="1" s="1"/>
  <c r="AI258" i="1"/>
  <c r="AJ258" i="1"/>
  <c r="CX258" i="1" s="1"/>
  <c r="CQ258" i="1"/>
  <c r="CR258" i="1"/>
  <c r="CS258" i="1"/>
  <c r="CW258" i="1"/>
  <c r="FR258" i="1"/>
  <c r="GL258" i="1"/>
  <c r="GN258" i="1"/>
  <c r="GO258" i="1"/>
  <c r="GV258" i="1"/>
  <c r="HC258" i="1" s="1"/>
  <c r="D259" i="1"/>
  <c r="V259" i="1"/>
  <c r="AC259" i="1"/>
  <c r="AE259" i="1"/>
  <c r="AF259" i="1"/>
  <c r="AG259" i="1"/>
  <c r="AH259" i="1"/>
  <c r="CV259" i="1" s="1"/>
  <c r="U259" i="1" s="1"/>
  <c r="K370" i="6" s="1"/>
  <c r="AI259" i="1"/>
  <c r="CW259" i="1" s="1"/>
  <c r="AJ259" i="1"/>
  <c r="CQ259" i="1"/>
  <c r="P259" i="1" s="1"/>
  <c r="CS259" i="1"/>
  <c r="CU259" i="1"/>
  <c r="T259" i="1" s="1"/>
  <c r="CX259" i="1"/>
  <c r="W259" i="1" s="1"/>
  <c r="FR259" i="1"/>
  <c r="GL259" i="1"/>
  <c r="GN259" i="1"/>
  <c r="GO259" i="1"/>
  <c r="GV259" i="1"/>
  <c r="HC259" i="1" s="1"/>
  <c r="GX259" i="1" s="1"/>
  <c r="I260" i="1"/>
  <c r="P260" i="1"/>
  <c r="R260" i="1"/>
  <c r="GK260" i="1" s="1"/>
  <c r="AC260" i="1"/>
  <c r="AE260" i="1"/>
  <c r="U366" i="6" s="1"/>
  <c r="AF260" i="1"/>
  <c r="AG260" i="1"/>
  <c r="AH260" i="1"/>
  <c r="CV260" i="1" s="1"/>
  <c r="U260" i="1" s="1"/>
  <c r="AI260" i="1"/>
  <c r="CW260" i="1" s="1"/>
  <c r="V260" i="1" s="1"/>
  <c r="AJ260" i="1"/>
  <c r="CX260" i="1" s="1"/>
  <c r="W260" i="1" s="1"/>
  <c r="CQ260" i="1"/>
  <c r="CS260" i="1"/>
  <c r="V366" i="6" s="1"/>
  <c r="CU260" i="1"/>
  <c r="T260" i="1" s="1"/>
  <c r="FR260" i="1"/>
  <c r="GL260" i="1"/>
  <c r="GN260" i="1"/>
  <c r="GO260" i="1"/>
  <c r="GV260" i="1"/>
  <c r="HC260" i="1" s="1"/>
  <c r="GX260" i="1"/>
  <c r="D261" i="1"/>
  <c r="AC261" i="1"/>
  <c r="AD261" i="1"/>
  <c r="AB261" i="1" s="1"/>
  <c r="AE261" i="1"/>
  <c r="U372" i="6" s="1"/>
  <c r="AF261" i="1"/>
  <c r="AG261" i="1"/>
  <c r="CU261" i="1" s="1"/>
  <c r="T261" i="1" s="1"/>
  <c r="AH261" i="1"/>
  <c r="CV261" i="1" s="1"/>
  <c r="U261" i="1" s="1"/>
  <c r="K377" i="6" s="1"/>
  <c r="AI261" i="1"/>
  <c r="AJ261" i="1"/>
  <c r="CQ261" i="1"/>
  <c r="P261" i="1" s="1"/>
  <c r="CR261" i="1"/>
  <c r="Q261" i="1" s="1"/>
  <c r="CS261" i="1"/>
  <c r="V372" i="6" s="1"/>
  <c r="CW261" i="1"/>
  <c r="V261" i="1" s="1"/>
  <c r="CX261" i="1"/>
  <c r="W261" i="1" s="1"/>
  <c r="FR261" i="1"/>
  <c r="GL261" i="1"/>
  <c r="GN261" i="1"/>
  <c r="GO261" i="1"/>
  <c r="GV261" i="1"/>
  <c r="HC261" i="1" s="1"/>
  <c r="GX261" i="1" s="1"/>
  <c r="I262" i="1"/>
  <c r="W262" i="1"/>
  <c r="AC262" i="1"/>
  <c r="AE262" i="1"/>
  <c r="AF262" i="1"/>
  <c r="AG262" i="1"/>
  <c r="CU262" i="1" s="1"/>
  <c r="T262" i="1" s="1"/>
  <c r="AH262" i="1"/>
  <c r="AI262" i="1"/>
  <c r="CW262" i="1" s="1"/>
  <c r="AJ262" i="1"/>
  <c r="CX262" i="1" s="1"/>
  <c r="CT262" i="1"/>
  <c r="S262" i="1" s="1"/>
  <c r="CV262" i="1"/>
  <c r="FR262" i="1"/>
  <c r="GL262" i="1"/>
  <c r="GN262" i="1"/>
  <c r="GO262" i="1"/>
  <c r="GV262" i="1"/>
  <c r="HC262" i="1" s="1"/>
  <c r="GX262" i="1" s="1"/>
  <c r="B264" i="1"/>
  <c r="B253" i="1" s="1"/>
  <c r="C264" i="1"/>
  <c r="C253" i="1" s="1"/>
  <c r="D264" i="1"/>
  <c r="D253" i="1" s="1"/>
  <c r="F264" i="1"/>
  <c r="F253" i="1" s="1"/>
  <c r="G264" i="1"/>
  <c r="BX264" i="1"/>
  <c r="CB264" i="1"/>
  <c r="CB253" i="1" s="1"/>
  <c r="CK264" i="1"/>
  <c r="BB264" i="1" s="1"/>
  <c r="BB253" i="1" s="1"/>
  <c r="CL264" i="1"/>
  <c r="CM264" i="1"/>
  <c r="D294" i="1"/>
  <c r="E296" i="1"/>
  <c r="Z296" i="1"/>
  <c r="AA296" i="1"/>
  <c r="AM296" i="1"/>
  <c r="AN296" i="1"/>
  <c r="BE296" i="1"/>
  <c r="BF296" i="1"/>
  <c r="BG296" i="1"/>
  <c r="BH296" i="1"/>
  <c r="BI296" i="1"/>
  <c r="BJ296" i="1"/>
  <c r="BK296" i="1"/>
  <c r="BL296" i="1"/>
  <c r="BM296" i="1"/>
  <c r="BN296" i="1"/>
  <c r="BO296" i="1"/>
  <c r="BP296" i="1"/>
  <c r="BQ296" i="1"/>
  <c r="BR296" i="1"/>
  <c r="BS296" i="1"/>
  <c r="BT296" i="1"/>
  <c r="BU296" i="1"/>
  <c r="BV296" i="1"/>
  <c r="BW296" i="1"/>
  <c r="CN296" i="1"/>
  <c r="CO296" i="1"/>
  <c r="CP296" i="1"/>
  <c r="CQ296" i="1"/>
  <c r="CR296" i="1"/>
  <c r="CS296" i="1"/>
  <c r="CT296" i="1"/>
  <c r="CU296" i="1"/>
  <c r="CV296" i="1"/>
  <c r="CW296" i="1"/>
  <c r="CX296" i="1"/>
  <c r="CY296" i="1"/>
  <c r="CZ296" i="1"/>
  <c r="DA296" i="1"/>
  <c r="DB296" i="1"/>
  <c r="DC296" i="1"/>
  <c r="DD296" i="1"/>
  <c r="DE296" i="1"/>
  <c r="DF296" i="1"/>
  <c r="DG296" i="1"/>
  <c r="DH296" i="1"/>
  <c r="DI296" i="1"/>
  <c r="DJ296" i="1"/>
  <c r="DK296" i="1"/>
  <c r="DL296" i="1"/>
  <c r="DM296" i="1"/>
  <c r="DN296" i="1"/>
  <c r="DO296" i="1"/>
  <c r="DP296" i="1"/>
  <c r="DQ296" i="1"/>
  <c r="DR296" i="1"/>
  <c r="DS296" i="1"/>
  <c r="DT296" i="1"/>
  <c r="DU296" i="1"/>
  <c r="DV296" i="1"/>
  <c r="DW296" i="1"/>
  <c r="DX296" i="1"/>
  <c r="DY296" i="1"/>
  <c r="DZ296" i="1"/>
  <c r="EA296" i="1"/>
  <c r="EB296" i="1"/>
  <c r="EC296" i="1"/>
  <c r="ED296" i="1"/>
  <c r="EE296" i="1"/>
  <c r="EF296" i="1"/>
  <c r="EG296" i="1"/>
  <c r="EH296" i="1"/>
  <c r="EI296" i="1"/>
  <c r="EJ296" i="1"/>
  <c r="EK296" i="1"/>
  <c r="EL296" i="1"/>
  <c r="EM296" i="1"/>
  <c r="EN296" i="1"/>
  <c r="EO296" i="1"/>
  <c r="EP296" i="1"/>
  <c r="EQ296" i="1"/>
  <c r="ER296" i="1"/>
  <c r="ES296" i="1"/>
  <c r="ET296" i="1"/>
  <c r="EU296" i="1"/>
  <c r="EV296" i="1"/>
  <c r="EW296" i="1"/>
  <c r="EX296" i="1"/>
  <c r="EY296" i="1"/>
  <c r="EZ296" i="1"/>
  <c r="FA296" i="1"/>
  <c r="FB296" i="1"/>
  <c r="FC296" i="1"/>
  <c r="FD296" i="1"/>
  <c r="FE296" i="1"/>
  <c r="FF296" i="1"/>
  <c r="FG296" i="1"/>
  <c r="FH296" i="1"/>
  <c r="FI296" i="1"/>
  <c r="FJ296" i="1"/>
  <c r="FK296" i="1"/>
  <c r="FL296" i="1"/>
  <c r="FM296" i="1"/>
  <c r="FN296" i="1"/>
  <c r="FO296" i="1"/>
  <c r="FP296" i="1"/>
  <c r="FQ296" i="1"/>
  <c r="FR296" i="1"/>
  <c r="FS296" i="1"/>
  <c r="FT296" i="1"/>
  <c r="FU296" i="1"/>
  <c r="FV296" i="1"/>
  <c r="FW296" i="1"/>
  <c r="FX296" i="1"/>
  <c r="FY296" i="1"/>
  <c r="FZ296" i="1"/>
  <c r="GA296" i="1"/>
  <c r="GB296" i="1"/>
  <c r="GC296" i="1"/>
  <c r="GD296" i="1"/>
  <c r="GE296" i="1"/>
  <c r="GF296" i="1"/>
  <c r="GG296" i="1"/>
  <c r="GH296" i="1"/>
  <c r="GI296" i="1"/>
  <c r="GJ296" i="1"/>
  <c r="GK296" i="1"/>
  <c r="GL296" i="1"/>
  <c r="GM296" i="1"/>
  <c r="GN296" i="1"/>
  <c r="GO296" i="1"/>
  <c r="GP296" i="1"/>
  <c r="GQ296" i="1"/>
  <c r="GR296" i="1"/>
  <c r="GS296" i="1"/>
  <c r="GT296" i="1"/>
  <c r="GU296" i="1"/>
  <c r="GV296" i="1"/>
  <c r="GW296" i="1"/>
  <c r="GX296" i="1"/>
  <c r="D298" i="1"/>
  <c r="AC298" i="1"/>
  <c r="CQ298" i="1" s="1"/>
  <c r="P298" i="1" s="1"/>
  <c r="J388" i="6" s="1"/>
  <c r="AE298" i="1"/>
  <c r="U384" i="6" s="1"/>
  <c r="AF298" i="1"/>
  <c r="AG298" i="1"/>
  <c r="AH298" i="1"/>
  <c r="CV298" i="1" s="1"/>
  <c r="U298" i="1" s="1"/>
  <c r="K392" i="6" s="1"/>
  <c r="AI298" i="1"/>
  <c r="CW298" i="1" s="1"/>
  <c r="V298" i="1" s="1"/>
  <c r="AJ298" i="1"/>
  <c r="CT298" i="1"/>
  <c r="S298" i="1" s="1"/>
  <c r="CU298" i="1"/>
  <c r="T298" i="1" s="1"/>
  <c r="CX298" i="1"/>
  <c r="W298" i="1" s="1"/>
  <c r="FR298" i="1"/>
  <c r="GL298" i="1"/>
  <c r="GN298" i="1"/>
  <c r="GO298" i="1"/>
  <c r="GV298" i="1"/>
  <c r="HC298" i="1" s="1"/>
  <c r="GX298" i="1" s="1"/>
  <c r="D299" i="1"/>
  <c r="AC299" i="1"/>
  <c r="AE299" i="1"/>
  <c r="AF299" i="1"/>
  <c r="AG299" i="1"/>
  <c r="CU299" i="1" s="1"/>
  <c r="T299" i="1" s="1"/>
  <c r="AH299" i="1"/>
  <c r="AI299" i="1"/>
  <c r="CW299" i="1" s="1"/>
  <c r="V299" i="1" s="1"/>
  <c r="AJ299" i="1"/>
  <c r="CX299" i="1" s="1"/>
  <c r="W299" i="1" s="1"/>
  <c r="CR299" i="1"/>
  <c r="Q299" i="1" s="1"/>
  <c r="J396" i="6" s="1"/>
  <c r="CT299" i="1"/>
  <c r="S299" i="1" s="1"/>
  <c r="J395" i="6" s="1"/>
  <c r="CV299" i="1"/>
  <c r="U299" i="1" s="1"/>
  <c r="K402" i="6" s="1"/>
  <c r="FR299" i="1"/>
  <c r="GL299" i="1"/>
  <c r="BZ306" i="1" s="1"/>
  <c r="GN299" i="1"/>
  <c r="GO299" i="1"/>
  <c r="GV299" i="1"/>
  <c r="HC299" i="1"/>
  <c r="GX299" i="1" s="1"/>
  <c r="D300" i="1"/>
  <c r="AC300" i="1"/>
  <c r="CQ300" i="1" s="1"/>
  <c r="P300" i="1" s="1"/>
  <c r="J408" i="6" s="1"/>
  <c r="AE300" i="1"/>
  <c r="U404" i="6" s="1"/>
  <c r="AF300" i="1"/>
  <c r="CT300" i="1" s="1"/>
  <c r="S300" i="1" s="1"/>
  <c r="AG300" i="1"/>
  <c r="AH300" i="1"/>
  <c r="AI300" i="1"/>
  <c r="CW300" i="1" s="1"/>
  <c r="V300" i="1" s="1"/>
  <c r="AJ300" i="1"/>
  <c r="CX300" i="1" s="1"/>
  <c r="W300" i="1" s="1"/>
  <c r="CU300" i="1"/>
  <c r="T300" i="1" s="1"/>
  <c r="CV300" i="1"/>
  <c r="U300" i="1" s="1"/>
  <c r="K412" i="6" s="1"/>
  <c r="FR300" i="1"/>
  <c r="GL300" i="1"/>
  <c r="GN300" i="1"/>
  <c r="GO300" i="1"/>
  <c r="GV300" i="1"/>
  <c r="HC300" i="1" s="1"/>
  <c r="GX300" i="1" s="1"/>
  <c r="D301" i="1"/>
  <c r="AC301" i="1"/>
  <c r="AE301" i="1"/>
  <c r="AF301" i="1"/>
  <c r="CT301" i="1" s="1"/>
  <c r="S301" i="1" s="1"/>
  <c r="J415" i="6" s="1"/>
  <c r="AG301" i="1"/>
  <c r="CU301" i="1" s="1"/>
  <c r="T301" i="1" s="1"/>
  <c r="AH301" i="1"/>
  <c r="AI301" i="1"/>
  <c r="CW301" i="1" s="1"/>
  <c r="V301" i="1" s="1"/>
  <c r="AJ301" i="1"/>
  <c r="CX301" i="1" s="1"/>
  <c r="W301" i="1" s="1"/>
  <c r="CV301" i="1"/>
  <c r="U301" i="1" s="1"/>
  <c r="K422" i="6" s="1"/>
  <c r="FR301" i="1"/>
  <c r="GL301" i="1"/>
  <c r="GN301" i="1"/>
  <c r="GO301" i="1"/>
  <c r="GV301" i="1"/>
  <c r="HC301" i="1" s="1"/>
  <c r="GX301" i="1" s="1"/>
  <c r="D302" i="1"/>
  <c r="Y302" i="1"/>
  <c r="T424" i="6" s="1"/>
  <c r="J430" i="6" s="1"/>
  <c r="AC302" i="1"/>
  <c r="CQ302" i="1" s="1"/>
  <c r="P302" i="1" s="1"/>
  <c r="J428" i="6" s="1"/>
  <c r="AE302" i="1"/>
  <c r="U424" i="6" s="1"/>
  <c r="AF302" i="1"/>
  <c r="AG302" i="1"/>
  <c r="CU302" i="1" s="1"/>
  <c r="T302" i="1" s="1"/>
  <c r="AH302" i="1"/>
  <c r="CV302" i="1" s="1"/>
  <c r="U302" i="1" s="1"/>
  <c r="K432" i="6" s="1"/>
  <c r="AI302" i="1"/>
  <c r="CW302" i="1" s="1"/>
  <c r="V302" i="1" s="1"/>
  <c r="AJ302" i="1"/>
  <c r="CR302" i="1"/>
  <c r="Q302" i="1" s="1"/>
  <c r="J426" i="6" s="1"/>
  <c r="CT302" i="1"/>
  <c r="S302" i="1" s="1"/>
  <c r="CX302" i="1"/>
  <c r="W302" i="1" s="1"/>
  <c r="CZ302" i="1"/>
  <c r="FR302" i="1"/>
  <c r="GL302" i="1"/>
  <c r="GN302" i="1"/>
  <c r="GO302" i="1"/>
  <c r="GV302" i="1"/>
  <c r="HC302" i="1" s="1"/>
  <c r="GX302" i="1" s="1"/>
  <c r="D303" i="1"/>
  <c r="AC303" i="1"/>
  <c r="AE303" i="1"/>
  <c r="AF303" i="1"/>
  <c r="AG303" i="1"/>
  <c r="CU303" i="1" s="1"/>
  <c r="T303" i="1" s="1"/>
  <c r="AH303" i="1"/>
  <c r="AI303" i="1"/>
  <c r="AJ303" i="1"/>
  <c r="CX303" i="1" s="1"/>
  <c r="W303" i="1" s="1"/>
  <c r="CR303" i="1"/>
  <c r="Q303" i="1" s="1"/>
  <c r="CS303" i="1"/>
  <c r="CV303" i="1"/>
  <c r="U303" i="1" s="1"/>
  <c r="K439" i="6" s="1"/>
  <c r="CW303" i="1"/>
  <c r="V303" i="1" s="1"/>
  <c r="FR303" i="1"/>
  <c r="GL303" i="1"/>
  <c r="GN303" i="1"/>
  <c r="GO303" i="1"/>
  <c r="GV303" i="1"/>
  <c r="HC303" i="1"/>
  <c r="GX303" i="1" s="1"/>
  <c r="D304" i="1"/>
  <c r="AC304" i="1"/>
  <c r="CQ304" i="1" s="1"/>
  <c r="P304" i="1" s="1"/>
  <c r="J443" i="6" s="1"/>
  <c r="AE304" i="1"/>
  <c r="U441" i="6" s="1"/>
  <c r="AF304" i="1"/>
  <c r="AG304" i="1"/>
  <c r="AH304" i="1"/>
  <c r="CV304" i="1" s="1"/>
  <c r="U304" i="1" s="1"/>
  <c r="K446" i="6" s="1"/>
  <c r="AI304" i="1"/>
  <c r="CW304" i="1" s="1"/>
  <c r="V304" i="1" s="1"/>
  <c r="AJ304" i="1"/>
  <c r="CX304" i="1" s="1"/>
  <c r="W304" i="1" s="1"/>
  <c r="CT304" i="1"/>
  <c r="S304" i="1" s="1"/>
  <c r="CU304" i="1"/>
  <c r="T304" i="1" s="1"/>
  <c r="CZ304" i="1"/>
  <c r="Y304" i="1" s="1"/>
  <c r="T441" i="6" s="1"/>
  <c r="J445" i="6" s="1"/>
  <c r="FR304" i="1"/>
  <c r="GL304" i="1"/>
  <c r="GN304" i="1"/>
  <c r="GO304" i="1"/>
  <c r="GV304" i="1"/>
  <c r="HC304" i="1" s="1"/>
  <c r="GX304" i="1" s="1"/>
  <c r="B306" i="1"/>
  <c r="B296" i="1" s="1"/>
  <c r="C306" i="1"/>
  <c r="C296" i="1" s="1"/>
  <c r="D306" i="1"/>
  <c r="D296" i="1" s="1"/>
  <c r="F306" i="1"/>
  <c r="F296" i="1" s="1"/>
  <c r="G306" i="1"/>
  <c r="BX306" i="1"/>
  <c r="AO306" i="1" s="1"/>
  <c r="AO296" i="1" s="1"/>
  <c r="BY306" i="1"/>
  <c r="BY296" i="1" s="1"/>
  <c r="CK306" i="1"/>
  <c r="CK296" i="1" s="1"/>
  <c r="CL306" i="1"/>
  <c r="CL296" i="1" s="1"/>
  <c r="CM306" i="1"/>
  <c r="CM296" i="1" s="1"/>
  <c r="D336" i="1"/>
  <c r="E338" i="1"/>
  <c r="Z338" i="1"/>
  <c r="AA338" i="1"/>
  <c r="AM338" i="1"/>
  <c r="AN338" i="1"/>
  <c r="BE338" i="1"/>
  <c r="BF338" i="1"/>
  <c r="BG338" i="1"/>
  <c r="BH338" i="1"/>
  <c r="BI338" i="1"/>
  <c r="BJ338" i="1"/>
  <c r="BK338" i="1"/>
  <c r="BL338" i="1"/>
  <c r="BM338" i="1"/>
  <c r="BN338" i="1"/>
  <c r="BO338" i="1"/>
  <c r="BP338" i="1"/>
  <c r="BQ338" i="1"/>
  <c r="BR338" i="1"/>
  <c r="BS338" i="1"/>
  <c r="BT338" i="1"/>
  <c r="BU338" i="1"/>
  <c r="BV338" i="1"/>
  <c r="BW338" i="1"/>
  <c r="CN338" i="1"/>
  <c r="CO338" i="1"/>
  <c r="CP338" i="1"/>
  <c r="CQ338" i="1"/>
  <c r="CR338" i="1"/>
  <c r="CS338" i="1"/>
  <c r="CT338" i="1"/>
  <c r="CU338" i="1"/>
  <c r="CV338" i="1"/>
  <c r="CW338" i="1"/>
  <c r="CX338" i="1"/>
  <c r="CY338" i="1"/>
  <c r="CZ338" i="1"/>
  <c r="DA338" i="1"/>
  <c r="DB338" i="1"/>
  <c r="DC338" i="1"/>
  <c r="DD338" i="1"/>
  <c r="DE338" i="1"/>
  <c r="DF338" i="1"/>
  <c r="DG338" i="1"/>
  <c r="DH338" i="1"/>
  <c r="DI338" i="1"/>
  <c r="DJ338" i="1"/>
  <c r="DK338" i="1"/>
  <c r="DL338" i="1"/>
  <c r="DM338" i="1"/>
  <c r="DN338" i="1"/>
  <c r="DO338" i="1"/>
  <c r="DP338" i="1"/>
  <c r="DQ338" i="1"/>
  <c r="DR338" i="1"/>
  <c r="DS338" i="1"/>
  <c r="DT338" i="1"/>
  <c r="DU338" i="1"/>
  <c r="DV338" i="1"/>
  <c r="DW338" i="1"/>
  <c r="DX338" i="1"/>
  <c r="DY338" i="1"/>
  <c r="DZ338" i="1"/>
  <c r="EA338" i="1"/>
  <c r="EB338" i="1"/>
  <c r="EC338" i="1"/>
  <c r="ED338" i="1"/>
  <c r="EE338" i="1"/>
  <c r="EF338" i="1"/>
  <c r="EG338" i="1"/>
  <c r="EH338" i="1"/>
  <c r="EI338" i="1"/>
  <c r="EJ338" i="1"/>
  <c r="EK338" i="1"/>
  <c r="EL338" i="1"/>
  <c r="EM338" i="1"/>
  <c r="EN338" i="1"/>
  <c r="EO338" i="1"/>
  <c r="EP338" i="1"/>
  <c r="EQ338" i="1"/>
  <c r="ER338" i="1"/>
  <c r="ES338" i="1"/>
  <c r="ET338" i="1"/>
  <c r="EU338" i="1"/>
  <c r="EV338" i="1"/>
  <c r="EW338" i="1"/>
  <c r="EX338" i="1"/>
  <c r="EY338" i="1"/>
  <c r="EZ338" i="1"/>
  <c r="FA338" i="1"/>
  <c r="FB338" i="1"/>
  <c r="FC338" i="1"/>
  <c r="FD338" i="1"/>
  <c r="FE338" i="1"/>
  <c r="FF338" i="1"/>
  <c r="FG338" i="1"/>
  <c r="FH338" i="1"/>
  <c r="FI338" i="1"/>
  <c r="FJ338" i="1"/>
  <c r="FK338" i="1"/>
  <c r="FL338" i="1"/>
  <c r="FM338" i="1"/>
  <c r="FN338" i="1"/>
  <c r="FO338" i="1"/>
  <c r="FP338" i="1"/>
  <c r="FQ338" i="1"/>
  <c r="FR338" i="1"/>
  <c r="FS338" i="1"/>
  <c r="FT338" i="1"/>
  <c r="FU338" i="1"/>
  <c r="FV338" i="1"/>
  <c r="FW338" i="1"/>
  <c r="FX338" i="1"/>
  <c r="FY338" i="1"/>
  <c r="FZ338" i="1"/>
  <c r="GA338" i="1"/>
  <c r="GB338" i="1"/>
  <c r="GC338" i="1"/>
  <c r="GD338" i="1"/>
  <c r="GE338" i="1"/>
  <c r="GF338" i="1"/>
  <c r="GG338" i="1"/>
  <c r="GH338" i="1"/>
  <c r="GI338" i="1"/>
  <c r="GJ338" i="1"/>
  <c r="GK338" i="1"/>
  <c r="GL338" i="1"/>
  <c r="GM338" i="1"/>
  <c r="GN338" i="1"/>
  <c r="GO338" i="1"/>
  <c r="GP338" i="1"/>
  <c r="GQ338" i="1"/>
  <c r="GR338" i="1"/>
  <c r="GS338" i="1"/>
  <c r="GT338" i="1"/>
  <c r="GU338" i="1"/>
  <c r="GV338" i="1"/>
  <c r="GW338" i="1"/>
  <c r="GX338" i="1"/>
  <c r="D340" i="1"/>
  <c r="I340" i="1"/>
  <c r="I342" i="1" s="1"/>
  <c r="K340" i="1"/>
  <c r="AC340" i="1"/>
  <c r="AE340" i="1"/>
  <c r="U453" i="6" s="1"/>
  <c r="AF340" i="1"/>
  <c r="AG340" i="1"/>
  <c r="AH340" i="1"/>
  <c r="CV340" i="1" s="1"/>
  <c r="AI340" i="1"/>
  <c r="CW340" i="1" s="1"/>
  <c r="V340" i="1" s="1"/>
  <c r="AJ340" i="1"/>
  <c r="CQ340" i="1"/>
  <c r="CT340" i="1"/>
  <c r="CU340" i="1"/>
  <c r="CX340" i="1"/>
  <c r="W340" i="1" s="1"/>
  <c r="FR340" i="1"/>
  <c r="GL340" i="1"/>
  <c r="BZ351" i="1" s="1"/>
  <c r="GN340" i="1"/>
  <c r="GO340" i="1"/>
  <c r="GV340" i="1"/>
  <c r="HC340" i="1"/>
  <c r="I341" i="1"/>
  <c r="AC341" i="1"/>
  <c r="AE341" i="1"/>
  <c r="AF341" i="1"/>
  <c r="AG341" i="1"/>
  <c r="CU341" i="1" s="1"/>
  <c r="AH341" i="1"/>
  <c r="AI341" i="1"/>
  <c r="AJ341" i="1"/>
  <c r="CX341" i="1" s="1"/>
  <c r="CQ341" i="1"/>
  <c r="CR341" i="1"/>
  <c r="CS341" i="1"/>
  <c r="CV341" i="1"/>
  <c r="CW341" i="1"/>
  <c r="FR341" i="1"/>
  <c r="GL341" i="1"/>
  <c r="GN341" i="1"/>
  <c r="GO341" i="1"/>
  <c r="GV341" i="1"/>
  <c r="HC341" i="1" s="1"/>
  <c r="AC342" i="1"/>
  <c r="AE342" i="1"/>
  <c r="AF342" i="1"/>
  <c r="AG342" i="1"/>
  <c r="AH342" i="1"/>
  <c r="CV342" i="1" s="1"/>
  <c r="AI342" i="1"/>
  <c r="CW342" i="1" s="1"/>
  <c r="AJ342" i="1"/>
  <c r="CX342" i="1" s="1"/>
  <c r="CQ342" i="1"/>
  <c r="CS342" i="1"/>
  <c r="CU342" i="1"/>
  <c r="FR342" i="1"/>
  <c r="GL342" i="1"/>
  <c r="GN342" i="1"/>
  <c r="GO342" i="1"/>
  <c r="CC351" i="1" s="1"/>
  <c r="CC338" i="1" s="1"/>
  <c r="GV342" i="1"/>
  <c r="HC342" i="1" s="1"/>
  <c r="AC343" i="1"/>
  <c r="AE343" i="1"/>
  <c r="AF343" i="1"/>
  <c r="AG343" i="1"/>
  <c r="AH343" i="1"/>
  <c r="AI343" i="1"/>
  <c r="CW343" i="1" s="1"/>
  <c r="AJ343" i="1"/>
  <c r="CX343" i="1" s="1"/>
  <c r="CQ343" i="1"/>
  <c r="CS343" i="1"/>
  <c r="CU343" i="1"/>
  <c r="CV343" i="1"/>
  <c r="FR343" i="1"/>
  <c r="GL343" i="1"/>
  <c r="GN343" i="1"/>
  <c r="GO343" i="1"/>
  <c r="GV343" i="1"/>
  <c r="HC343" i="1" s="1"/>
  <c r="AC344" i="1"/>
  <c r="AE344" i="1"/>
  <c r="AD344" i="1" s="1"/>
  <c r="AF344" i="1"/>
  <c r="AG344" i="1"/>
  <c r="AH344" i="1"/>
  <c r="CV344" i="1" s="1"/>
  <c r="AI344" i="1"/>
  <c r="CW344" i="1" s="1"/>
  <c r="AJ344" i="1"/>
  <c r="CQ344" i="1"/>
  <c r="CS344" i="1"/>
  <c r="CT344" i="1"/>
  <c r="CU344" i="1"/>
  <c r="CX344" i="1"/>
  <c r="FR344" i="1"/>
  <c r="GL344" i="1"/>
  <c r="GN344" i="1"/>
  <c r="GO344" i="1"/>
  <c r="GV344" i="1"/>
  <c r="HC344" i="1"/>
  <c r="D345" i="1"/>
  <c r="AC345" i="1"/>
  <c r="AE345" i="1"/>
  <c r="AF345" i="1"/>
  <c r="AG345" i="1"/>
  <c r="CU345" i="1" s="1"/>
  <c r="T345" i="1" s="1"/>
  <c r="AH345" i="1"/>
  <c r="AI345" i="1"/>
  <c r="AJ345" i="1"/>
  <c r="CX345" i="1" s="1"/>
  <c r="W345" i="1" s="1"/>
  <c r="CQ345" i="1"/>
  <c r="P345" i="1" s="1"/>
  <c r="J472" i="6" s="1"/>
  <c r="CR345" i="1"/>
  <c r="Q345" i="1" s="1"/>
  <c r="J470" i="6" s="1"/>
  <c r="CS345" i="1"/>
  <c r="CV345" i="1"/>
  <c r="U345" i="1" s="1"/>
  <c r="K477" i="6" s="1"/>
  <c r="CW345" i="1"/>
  <c r="V345" i="1" s="1"/>
  <c r="FR345" i="1"/>
  <c r="GL345" i="1"/>
  <c r="GN345" i="1"/>
  <c r="GO345" i="1"/>
  <c r="GV345" i="1"/>
  <c r="HC345" i="1" s="1"/>
  <c r="GX345" i="1" s="1"/>
  <c r="I346" i="1"/>
  <c r="P346" i="1"/>
  <c r="AC346" i="1"/>
  <c r="AE346" i="1"/>
  <c r="AD346" i="1" s="1"/>
  <c r="AF346" i="1"/>
  <c r="AG346" i="1"/>
  <c r="AH346" i="1"/>
  <c r="CV346" i="1" s="1"/>
  <c r="U346" i="1" s="1"/>
  <c r="AI346" i="1"/>
  <c r="CW346" i="1" s="1"/>
  <c r="V346" i="1" s="1"/>
  <c r="AJ346" i="1"/>
  <c r="CQ346" i="1"/>
  <c r="CS346" i="1"/>
  <c r="CT346" i="1"/>
  <c r="CU346" i="1"/>
  <c r="CX346" i="1"/>
  <c r="W346" i="1" s="1"/>
  <c r="FR346" i="1"/>
  <c r="GL346" i="1"/>
  <c r="GN346" i="1"/>
  <c r="GO346" i="1"/>
  <c r="GV346" i="1"/>
  <c r="HC346" i="1"/>
  <c r="GX346" i="1" s="1"/>
  <c r="D347" i="1"/>
  <c r="AC347" i="1"/>
  <c r="AE347" i="1"/>
  <c r="CR347" i="1" s="1"/>
  <c r="Q347" i="1" s="1"/>
  <c r="AF347" i="1"/>
  <c r="AG347" i="1"/>
  <c r="AH347" i="1"/>
  <c r="CV347" i="1" s="1"/>
  <c r="U347" i="1" s="1"/>
  <c r="K484" i="6" s="1"/>
  <c r="AI347" i="1"/>
  <c r="CW347" i="1" s="1"/>
  <c r="V347" i="1" s="1"/>
  <c r="AJ347" i="1"/>
  <c r="CX347" i="1" s="1"/>
  <c r="W347" i="1" s="1"/>
  <c r="CS347" i="1"/>
  <c r="CU347" i="1"/>
  <c r="T347" i="1" s="1"/>
  <c r="FR347" i="1"/>
  <c r="GL347" i="1"/>
  <c r="GN347" i="1"/>
  <c r="GO347" i="1"/>
  <c r="GV347" i="1"/>
  <c r="HC347" i="1" s="1"/>
  <c r="GX347" i="1" s="1"/>
  <c r="D348" i="1"/>
  <c r="AC348" i="1"/>
  <c r="AD348" i="1"/>
  <c r="AE348" i="1"/>
  <c r="U486" i="6" s="1"/>
  <c r="AF348" i="1"/>
  <c r="AG348" i="1"/>
  <c r="AH348" i="1"/>
  <c r="CV348" i="1" s="1"/>
  <c r="U348" i="1" s="1"/>
  <c r="K492" i="6" s="1"/>
  <c r="AI348" i="1"/>
  <c r="AJ348" i="1"/>
  <c r="CQ348" i="1"/>
  <c r="P348" i="1" s="1"/>
  <c r="CR348" i="1"/>
  <c r="Q348" i="1" s="1"/>
  <c r="CS348" i="1"/>
  <c r="CT348" i="1"/>
  <c r="S348" i="1" s="1"/>
  <c r="CU348" i="1"/>
  <c r="T348" i="1" s="1"/>
  <c r="CW348" i="1"/>
  <c r="V348" i="1" s="1"/>
  <c r="CX348" i="1"/>
  <c r="W348" i="1" s="1"/>
  <c r="CY348" i="1"/>
  <c r="X348" i="1" s="1"/>
  <c r="R486" i="6" s="1"/>
  <c r="FR348" i="1"/>
  <c r="GL348" i="1"/>
  <c r="GN348" i="1"/>
  <c r="GO348" i="1"/>
  <c r="GV348" i="1"/>
  <c r="HC348" i="1"/>
  <c r="GX348" i="1" s="1"/>
  <c r="I349" i="1"/>
  <c r="AC349" i="1"/>
  <c r="AE349" i="1"/>
  <c r="AF349" i="1"/>
  <c r="AG349" i="1"/>
  <c r="AH349" i="1"/>
  <c r="AI349" i="1"/>
  <c r="CW349" i="1" s="1"/>
  <c r="V349" i="1" s="1"/>
  <c r="AJ349" i="1"/>
  <c r="CX349" i="1" s="1"/>
  <c r="CQ349" i="1"/>
  <c r="CS349" i="1"/>
  <c r="CU349" i="1"/>
  <c r="CV349" i="1"/>
  <c r="FR349" i="1"/>
  <c r="GL349" i="1"/>
  <c r="GN349" i="1"/>
  <c r="GO349" i="1"/>
  <c r="GV349" i="1"/>
  <c r="HC349" i="1" s="1"/>
  <c r="GX349" i="1" s="1"/>
  <c r="B351" i="1"/>
  <c r="B338" i="1" s="1"/>
  <c r="C351" i="1"/>
  <c r="C338" i="1" s="1"/>
  <c r="D351" i="1"/>
  <c r="D338" i="1" s="1"/>
  <c r="F351" i="1"/>
  <c r="F338" i="1" s="1"/>
  <c r="G351" i="1"/>
  <c r="BX351" i="1"/>
  <c r="BX338" i="1" s="1"/>
  <c r="CK351" i="1"/>
  <c r="CL351" i="1"/>
  <c r="CL338" i="1" s="1"/>
  <c r="CM351" i="1"/>
  <c r="BD351" i="1" s="1"/>
  <c r="D381" i="1"/>
  <c r="E383" i="1"/>
  <c r="Z383" i="1"/>
  <c r="AA383" i="1"/>
  <c r="AM383" i="1"/>
  <c r="AN383" i="1"/>
  <c r="BE383" i="1"/>
  <c r="BF383" i="1"/>
  <c r="BG383" i="1"/>
  <c r="BH383" i="1"/>
  <c r="BI383" i="1"/>
  <c r="BJ383" i="1"/>
  <c r="BK383" i="1"/>
  <c r="BL383" i="1"/>
  <c r="BM383" i="1"/>
  <c r="BN383" i="1"/>
  <c r="BO383" i="1"/>
  <c r="BP383" i="1"/>
  <c r="BQ383" i="1"/>
  <c r="BR383" i="1"/>
  <c r="BS383" i="1"/>
  <c r="BT383" i="1"/>
  <c r="BU383" i="1"/>
  <c r="BV383" i="1"/>
  <c r="BW383" i="1"/>
  <c r="CN383" i="1"/>
  <c r="CO383" i="1"/>
  <c r="CP383" i="1"/>
  <c r="CQ383" i="1"/>
  <c r="CR383" i="1"/>
  <c r="CS383" i="1"/>
  <c r="CT383" i="1"/>
  <c r="CU383" i="1"/>
  <c r="CV383" i="1"/>
  <c r="CW383" i="1"/>
  <c r="CX383" i="1"/>
  <c r="CY383" i="1"/>
  <c r="CZ383" i="1"/>
  <c r="DA383" i="1"/>
  <c r="DB383" i="1"/>
  <c r="DC383" i="1"/>
  <c r="DD383" i="1"/>
  <c r="DE383" i="1"/>
  <c r="DF383" i="1"/>
  <c r="DG383" i="1"/>
  <c r="DH383" i="1"/>
  <c r="DI383" i="1"/>
  <c r="DJ383" i="1"/>
  <c r="DK383" i="1"/>
  <c r="DL383" i="1"/>
  <c r="DM383" i="1"/>
  <c r="DN383" i="1"/>
  <c r="DO383" i="1"/>
  <c r="DP383" i="1"/>
  <c r="DQ383" i="1"/>
  <c r="DR383" i="1"/>
  <c r="DS383" i="1"/>
  <c r="DT383" i="1"/>
  <c r="DU383" i="1"/>
  <c r="DV383" i="1"/>
  <c r="DW383" i="1"/>
  <c r="DX383" i="1"/>
  <c r="DY383" i="1"/>
  <c r="DZ383" i="1"/>
  <c r="EA383" i="1"/>
  <c r="EB383" i="1"/>
  <c r="EC383" i="1"/>
  <c r="ED383" i="1"/>
  <c r="EE383" i="1"/>
  <c r="EF383" i="1"/>
  <c r="EG383" i="1"/>
  <c r="EH383" i="1"/>
  <c r="EI383" i="1"/>
  <c r="EJ383" i="1"/>
  <c r="EK383" i="1"/>
  <c r="EL383" i="1"/>
  <c r="EM383" i="1"/>
  <c r="EN383" i="1"/>
  <c r="EO383" i="1"/>
  <c r="EP383" i="1"/>
  <c r="EQ383" i="1"/>
  <c r="ER383" i="1"/>
  <c r="ES383" i="1"/>
  <c r="ET383" i="1"/>
  <c r="EU383" i="1"/>
  <c r="EV383" i="1"/>
  <c r="EW383" i="1"/>
  <c r="EX383" i="1"/>
  <c r="EY383" i="1"/>
  <c r="EZ383" i="1"/>
  <c r="FA383" i="1"/>
  <c r="FB383" i="1"/>
  <c r="FC383" i="1"/>
  <c r="FD383" i="1"/>
  <c r="FE383" i="1"/>
  <c r="FF383" i="1"/>
  <c r="FG383" i="1"/>
  <c r="FH383" i="1"/>
  <c r="FI383" i="1"/>
  <c r="FJ383" i="1"/>
  <c r="FK383" i="1"/>
  <c r="FL383" i="1"/>
  <c r="FM383" i="1"/>
  <c r="FN383" i="1"/>
  <c r="FO383" i="1"/>
  <c r="FP383" i="1"/>
  <c r="FQ383" i="1"/>
  <c r="FR383" i="1"/>
  <c r="FS383" i="1"/>
  <c r="FT383" i="1"/>
  <c r="FU383" i="1"/>
  <c r="FV383" i="1"/>
  <c r="FW383" i="1"/>
  <c r="FX383" i="1"/>
  <c r="FY383" i="1"/>
  <c r="FZ383" i="1"/>
  <c r="GA383" i="1"/>
  <c r="GB383" i="1"/>
  <c r="GC383" i="1"/>
  <c r="GD383" i="1"/>
  <c r="GE383" i="1"/>
  <c r="GF383" i="1"/>
  <c r="GG383" i="1"/>
  <c r="GH383" i="1"/>
  <c r="GI383" i="1"/>
  <c r="GJ383" i="1"/>
  <c r="GK383" i="1"/>
  <c r="GL383" i="1"/>
  <c r="GM383" i="1"/>
  <c r="GN383" i="1"/>
  <c r="GO383" i="1"/>
  <c r="GP383" i="1"/>
  <c r="GQ383" i="1"/>
  <c r="GR383" i="1"/>
  <c r="GS383" i="1"/>
  <c r="GT383" i="1"/>
  <c r="GU383" i="1"/>
  <c r="GV383" i="1"/>
  <c r="GW383" i="1"/>
  <c r="GX383" i="1"/>
  <c r="D385" i="1"/>
  <c r="AC385" i="1"/>
  <c r="CQ385" i="1" s="1"/>
  <c r="P385" i="1" s="1"/>
  <c r="AE385" i="1"/>
  <c r="AF385" i="1"/>
  <c r="AG385" i="1"/>
  <c r="CU385" i="1" s="1"/>
  <c r="T385" i="1" s="1"/>
  <c r="AH385" i="1"/>
  <c r="AI385" i="1"/>
  <c r="CW385" i="1" s="1"/>
  <c r="V385" i="1" s="1"/>
  <c r="AJ385" i="1"/>
  <c r="CX385" i="1" s="1"/>
  <c r="W385" i="1" s="1"/>
  <c r="CV385" i="1"/>
  <c r="U385" i="1" s="1"/>
  <c r="K503" i="6" s="1"/>
  <c r="FR385" i="1"/>
  <c r="GL385" i="1"/>
  <c r="GN385" i="1"/>
  <c r="GO385" i="1"/>
  <c r="GV385" i="1"/>
  <c r="HC385" i="1" s="1"/>
  <c r="GX385" i="1" s="1"/>
  <c r="D386" i="1"/>
  <c r="AC386" i="1"/>
  <c r="AD386" i="1"/>
  <c r="AE386" i="1"/>
  <c r="AF386" i="1"/>
  <c r="AG386" i="1"/>
  <c r="CU386" i="1" s="1"/>
  <c r="T386" i="1" s="1"/>
  <c r="AH386" i="1"/>
  <c r="CV386" i="1" s="1"/>
  <c r="U386" i="1" s="1"/>
  <c r="K510" i="6" s="1"/>
  <c r="AI386" i="1"/>
  <c r="CW386" i="1" s="1"/>
  <c r="V386" i="1" s="1"/>
  <c r="AJ386" i="1"/>
  <c r="CQ386" i="1"/>
  <c r="P386" i="1" s="1"/>
  <c r="CR386" i="1"/>
  <c r="Q386" i="1" s="1"/>
  <c r="CT386" i="1"/>
  <c r="S386" i="1" s="1"/>
  <c r="J506" i="6" s="1"/>
  <c r="CX386" i="1"/>
  <c r="W386" i="1" s="1"/>
  <c r="FR386" i="1"/>
  <c r="GL386" i="1"/>
  <c r="GN386" i="1"/>
  <c r="GO386" i="1"/>
  <c r="GV386" i="1"/>
  <c r="HC386" i="1"/>
  <c r="GX386" i="1" s="1"/>
  <c r="I387" i="1"/>
  <c r="AC387" i="1"/>
  <c r="AE387" i="1"/>
  <c r="AF387" i="1"/>
  <c r="AG387" i="1"/>
  <c r="CU387" i="1" s="1"/>
  <c r="AH387" i="1"/>
  <c r="AI387" i="1"/>
  <c r="CW387" i="1" s="1"/>
  <c r="AJ387" i="1"/>
  <c r="CV387" i="1"/>
  <c r="CX387" i="1"/>
  <c r="W387" i="1" s="1"/>
  <c r="FR387" i="1"/>
  <c r="GL387" i="1"/>
  <c r="GN387" i="1"/>
  <c r="GO387" i="1"/>
  <c r="CC394" i="1" s="1"/>
  <c r="CC383" i="1" s="1"/>
  <c r="GV387" i="1"/>
  <c r="HC387" i="1" s="1"/>
  <c r="GX387" i="1" s="1"/>
  <c r="D388" i="1"/>
  <c r="AC388" i="1"/>
  <c r="AE388" i="1"/>
  <c r="AD388" i="1" s="1"/>
  <c r="AF388" i="1"/>
  <c r="AG388" i="1"/>
  <c r="AH388" i="1"/>
  <c r="CV388" i="1" s="1"/>
  <c r="U388" i="1" s="1"/>
  <c r="K520" i="6" s="1"/>
  <c r="AI388" i="1"/>
  <c r="CW388" i="1" s="1"/>
  <c r="V388" i="1" s="1"/>
  <c r="AJ388" i="1"/>
  <c r="CQ388" i="1"/>
  <c r="P388" i="1" s="1"/>
  <c r="J516" i="6" s="1"/>
  <c r="CT388" i="1"/>
  <c r="S388" i="1" s="1"/>
  <c r="J513" i="6" s="1"/>
  <c r="CU388" i="1"/>
  <c r="T388" i="1" s="1"/>
  <c r="CX388" i="1"/>
  <c r="W388" i="1" s="1"/>
  <c r="FR388" i="1"/>
  <c r="GL388" i="1"/>
  <c r="GN388" i="1"/>
  <c r="GO388" i="1"/>
  <c r="GV388" i="1"/>
  <c r="HC388" i="1" s="1"/>
  <c r="GX388" i="1" s="1"/>
  <c r="D389" i="1"/>
  <c r="AC389" i="1"/>
  <c r="CQ389" i="1" s="1"/>
  <c r="P389" i="1" s="1"/>
  <c r="AE389" i="1"/>
  <c r="AF389" i="1"/>
  <c r="AG389" i="1"/>
  <c r="CU389" i="1" s="1"/>
  <c r="T389" i="1" s="1"/>
  <c r="AH389" i="1"/>
  <c r="AI389" i="1"/>
  <c r="CW389" i="1" s="1"/>
  <c r="V389" i="1" s="1"/>
  <c r="AJ389" i="1"/>
  <c r="CT389" i="1"/>
  <c r="S389" i="1" s="1"/>
  <c r="J523" i="6" s="1"/>
  <c r="CV389" i="1"/>
  <c r="U389" i="1" s="1"/>
  <c r="K527" i="6" s="1"/>
  <c r="CX389" i="1"/>
  <c r="W389" i="1" s="1"/>
  <c r="FR389" i="1"/>
  <c r="GL389" i="1"/>
  <c r="GN389" i="1"/>
  <c r="GO389" i="1"/>
  <c r="GV389" i="1"/>
  <c r="HC389" i="1" s="1"/>
  <c r="GX389" i="1" s="1"/>
  <c r="I390" i="1"/>
  <c r="AC390" i="1"/>
  <c r="AE390" i="1"/>
  <c r="AF390" i="1"/>
  <c r="AG390" i="1"/>
  <c r="AH390" i="1"/>
  <c r="AI390" i="1"/>
  <c r="CW390" i="1" s="1"/>
  <c r="V390" i="1" s="1"/>
  <c r="AJ390" i="1"/>
  <c r="CX390" i="1" s="1"/>
  <c r="W390" i="1" s="1"/>
  <c r="CQ390" i="1"/>
  <c r="CU390" i="1"/>
  <c r="T390" i="1" s="1"/>
  <c r="CV390" i="1"/>
  <c r="FR390" i="1"/>
  <c r="GL390" i="1"/>
  <c r="GN390" i="1"/>
  <c r="GO390" i="1"/>
  <c r="GV390" i="1"/>
  <c r="HC390" i="1" s="1"/>
  <c r="GX390" i="1" s="1"/>
  <c r="D391" i="1"/>
  <c r="AC391" i="1"/>
  <c r="CQ391" i="1" s="1"/>
  <c r="P391" i="1" s="1"/>
  <c r="AE391" i="1"/>
  <c r="AF391" i="1"/>
  <c r="AG391" i="1"/>
  <c r="CU391" i="1" s="1"/>
  <c r="T391" i="1" s="1"/>
  <c r="AH391" i="1"/>
  <c r="CV391" i="1" s="1"/>
  <c r="U391" i="1" s="1"/>
  <c r="K534" i="6" s="1"/>
  <c r="AI391" i="1"/>
  <c r="CW391" i="1" s="1"/>
  <c r="V391" i="1" s="1"/>
  <c r="AJ391" i="1"/>
  <c r="CX391" i="1" s="1"/>
  <c r="W391" i="1" s="1"/>
  <c r="CS391" i="1"/>
  <c r="CT391" i="1"/>
  <c r="S391" i="1" s="1"/>
  <c r="J530" i="6" s="1"/>
  <c r="FR391" i="1"/>
  <c r="GL391" i="1"/>
  <c r="GN391" i="1"/>
  <c r="GO391" i="1"/>
  <c r="GV391" i="1"/>
  <c r="HC391" i="1"/>
  <c r="GX391" i="1" s="1"/>
  <c r="I392" i="1"/>
  <c r="AC392" i="1"/>
  <c r="AD392" i="1"/>
  <c r="AE392" i="1"/>
  <c r="AF392" i="1"/>
  <c r="AG392" i="1"/>
  <c r="CU392" i="1" s="1"/>
  <c r="T392" i="1" s="1"/>
  <c r="AH392" i="1"/>
  <c r="CV392" i="1" s="1"/>
  <c r="U392" i="1" s="1"/>
  <c r="AI392" i="1"/>
  <c r="CW392" i="1" s="1"/>
  <c r="AJ392" i="1"/>
  <c r="CQ392" i="1"/>
  <c r="CR392" i="1"/>
  <c r="Q392" i="1" s="1"/>
  <c r="CT392" i="1"/>
  <c r="CX392" i="1"/>
  <c r="W392" i="1" s="1"/>
  <c r="FR392" i="1"/>
  <c r="GL392" i="1"/>
  <c r="GN392" i="1"/>
  <c r="GO392" i="1"/>
  <c r="GV392" i="1"/>
  <c r="HC392" i="1" s="1"/>
  <c r="B394" i="1"/>
  <c r="B383" i="1" s="1"/>
  <c r="C394" i="1"/>
  <c r="C383" i="1" s="1"/>
  <c r="D394" i="1"/>
  <c r="D383" i="1" s="1"/>
  <c r="F394" i="1"/>
  <c r="F383" i="1" s="1"/>
  <c r="G394" i="1"/>
  <c r="BX394" i="1"/>
  <c r="AO394" i="1" s="1"/>
  <c r="CK394" i="1"/>
  <c r="CK383" i="1" s="1"/>
  <c r="CL394" i="1"/>
  <c r="BC394" i="1" s="1"/>
  <c r="CM394" i="1"/>
  <c r="CM383" i="1" s="1"/>
  <c r="B424" i="1"/>
  <c r="B249" i="1" s="1"/>
  <c r="C424" i="1"/>
  <c r="C249" i="1" s="1"/>
  <c r="D424" i="1"/>
  <c r="D249" i="1" s="1"/>
  <c r="F424" i="1"/>
  <c r="F249" i="1" s="1"/>
  <c r="G424" i="1"/>
  <c r="D454" i="1"/>
  <c r="E456" i="1"/>
  <c r="Z456" i="1"/>
  <c r="AA456" i="1"/>
  <c r="AM456" i="1"/>
  <c r="AN456" i="1"/>
  <c r="BE456" i="1"/>
  <c r="BF456" i="1"/>
  <c r="BG456" i="1"/>
  <c r="BH456" i="1"/>
  <c r="BI456" i="1"/>
  <c r="BJ456" i="1"/>
  <c r="BK456" i="1"/>
  <c r="BL456" i="1"/>
  <c r="BM456" i="1"/>
  <c r="BN456" i="1"/>
  <c r="BO456" i="1"/>
  <c r="BP456" i="1"/>
  <c r="BQ456" i="1"/>
  <c r="BR456" i="1"/>
  <c r="BS456" i="1"/>
  <c r="BT456" i="1"/>
  <c r="BU456" i="1"/>
  <c r="BV456" i="1"/>
  <c r="BW456" i="1"/>
  <c r="CN456" i="1"/>
  <c r="CO456" i="1"/>
  <c r="CP456" i="1"/>
  <c r="CQ456" i="1"/>
  <c r="CR456" i="1"/>
  <c r="CS456" i="1"/>
  <c r="CT456" i="1"/>
  <c r="CU456" i="1"/>
  <c r="CV456" i="1"/>
  <c r="CW456" i="1"/>
  <c r="CX456" i="1"/>
  <c r="CY456" i="1"/>
  <c r="CZ456" i="1"/>
  <c r="DA456" i="1"/>
  <c r="DB456" i="1"/>
  <c r="DC456" i="1"/>
  <c r="DD456" i="1"/>
  <c r="DE456" i="1"/>
  <c r="DF456" i="1"/>
  <c r="DG456" i="1"/>
  <c r="DH456" i="1"/>
  <c r="DI456" i="1"/>
  <c r="DJ456" i="1"/>
  <c r="DK456" i="1"/>
  <c r="DL456" i="1"/>
  <c r="DM456" i="1"/>
  <c r="DN456" i="1"/>
  <c r="DO456" i="1"/>
  <c r="DP456" i="1"/>
  <c r="DQ456" i="1"/>
  <c r="DR456" i="1"/>
  <c r="DS456" i="1"/>
  <c r="DT456" i="1"/>
  <c r="DU456" i="1"/>
  <c r="DV456" i="1"/>
  <c r="DW456" i="1"/>
  <c r="DX456" i="1"/>
  <c r="DY456" i="1"/>
  <c r="DZ456" i="1"/>
  <c r="EA456" i="1"/>
  <c r="EB456" i="1"/>
  <c r="EC456" i="1"/>
  <c r="ED456" i="1"/>
  <c r="EE456" i="1"/>
  <c r="EF456" i="1"/>
  <c r="EG456" i="1"/>
  <c r="EH456" i="1"/>
  <c r="EI456" i="1"/>
  <c r="EJ456" i="1"/>
  <c r="EK456" i="1"/>
  <c r="EL456" i="1"/>
  <c r="EM456" i="1"/>
  <c r="EN456" i="1"/>
  <c r="EO456" i="1"/>
  <c r="EP456" i="1"/>
  <c r="EQ456" i="1"/>
  <c r="ER456" i="1"/>
  <c r="ES456" i="1"/>
  <c r="ET456" i="1"/>
  <c r="EU456" i="1"/>
  <c r="EV456" i="1"/>
  <c r="EW456" i="1"/>
  <c r="EX456" i="1"/>
  <c r="EY456" i="1"/>
  <c r="EZ456" i="1"/>
  <c r="FA456" i="1"/>
  <c r="FB456" i="1"/>
  <c r="FC456" i="1"/>
  <c r="FD456" i="1"/>
  <c r="FE456" i="1"/>
  <c r="FF456" i="1"/>
  <c r="FG456" i="1"/>
  <c r="FH456" i="1"/>
  <c r="FI456" i="1"/>
  <c r="FJ456" i="1"/>
  <c r="FK456" i="1"/>
  <c r="FL456" i="1"/>
  <c r="FM456" i="1"/>
  <c r="FN456" i="1"/>
  <c r="FO456" i="1"/>
  <c r="FP456" i="1"/>
  <c r="FQ456" i="1"/>
  <c r="FR456" i="1"/>
  <c r="FS456" i="1"/>
  <c r="FT456" i="1"/>
  <c r="FU456" i="1"/>
  <c r="FV456" i="1"/>
  <c r="FW456" i="1"/>
  <c r="FX456" i="1"/>
  <c r="FY456" i="1"/>
  <c r="FZ456" i="1"/>
  <c r="GA456" i="1"/>
  <c r="GB456" i="1"/>
  <c r="GC456" i="1"/>
  <c r="GD456" i="1"/>
  <c r="GE456" i="1"/>
  <c r="GF456" i="1"/>
  <c r="GG456" i="1"/>
  <c r="GH456" i="1"/>
  <c r="GI456" i="1"/>
  <c r="GJ456" i="1"/>
  <c r="GK456" i="1"/>
  <c r="GL456" i="1"/>
  <c r="GM456" i="1"/>
  <c r="GN456" i="1"/>
  <c r="GO456" i="1"/>
  <c r="GP456" i="1"/>
  <c r="GQ456" i="1"/>
  <c r="GR456" i="1"/>
  <c r="GS456" i="1"/>
  <c r="GT456" i="1"/>
  <c r="GU456" i="1"/>
  <c r="GV456" i="1"/>
  <c r="GW456" i="1"/>
  <c r="GX456" i="1"/>
  <c r="D458" i="1"/>
  <c r="AC458" i="1"/>
  <c r="AD458" i="1"/>
  <c r="AE458" i="1"/>
  <c r="U544" i="6" s="1"/>
  <c r="AF458" i="1"/>
  <c r="AG458" i="1"/>
  <c r="AH458" i="1"/>
  <c r="CV458" i="1" s="1"/>
  <c r="U458" i="1" s="1"/>
  <c r="AI458" i="1"/>
  <c r="AJ458" i="1"/>
  <c r="CQ458" i="1"/>
  <c r="P458" i="1" s="1"/>
  <c r="CR458" i="1"/>
  <c r="Q458" i="1" s="1"/>
  <c r="J545" i="6" s="1"/>
  <c r="CS458" i="1"/>
  <c r="CT458" i="1"/>
  <c r="S458" i="1" s="1"/>
  <c r="CU458" i="1"/>
  <c r="T458" i="1" s="1"/>
  <c r="CW458" i="1"/>
  <c r="V458" i="1" s="1"/>
  <c r="CX458" i="1"/>
  <c r="W458" i="1" s="1"/>
  <c r="CY458" i="1"/>
  <c r="X458" i="1" s="1"/>
  <c r="R544" i="6" s="1"/>
  <c r="FR458" i="1"/>
  <c r="GL458" i="1"/>
  <c r="GN458" i="1"/>
  <c r="GO458" i="1"/>
  <c r="GV458" i="1"/>
  <c r="HC458" i="1"/>
  <c r="GX458" i="1" s="1"/>
  <c r="D459" i="1"/>
  <c r="AC459" i="1"/>
  <c r="CQ459" i="1" s="1"/>
  <c r="P459" i="1" s="1"/>
  <c r="AE459" i="1"/>
  <c r="AF459" i="1"/>
  <c r="AG459" i="1"/>
  <c r="AH459" i="1"/>
  <c r="CV459" i="1" s="1"/>
  <c r="U459" i="1" s="1"/>
  <c r="AI459" i="1"/>
  <c r="CW459" i="1" s="1"/>
  <c r="V459" i="1" s="1"/>
  <c r="AJ459" i="1"/>
  <c r="CX459" i="1" s="1"/>
  <c r="W459" i="1" s="1"/>
  <c r="CS459" i="1"/>
  <c r="CU459" i="1"/>
  <c r="T459" i="1" s="1"/>
  <c r="FR459" i="1"/>
  <c r="BY462" i="1" s="1"/>
  <c r="AP462" i="1" s="1"/>
  <c r="AP456" i="1" s="1"/>
  <c r="GL459" i="1"/>
  <c r="GN459" i="1"/>
  <c r="GO459" i="1"/>
  <c r="CC462" i="1" s="1"/>
  <c r="AT462" i="1" s="1"/>
  <c r="GV459" i="1"/>
  <c r="HC459" i="1" s="1"/>
  <c r="GX459" i="1" s="1"/>
  <c r="D460" i="1"/>
  <c r="AC460" i="1"/>
  <c r="AE460" i="1"/>
  <c r="U553" i="6" s="1"/>
  <c r="AF460" i="1"/>
  <c r="AG460" i="1"/>
  <c r="CU460" i="1" s="1"/>
  <c r="T460" i="1" s="1"/>
  <c r="AH460" i="1"/>
  <c r="AI460" i="1"/>
  <c r="CW460" i="1" s="1"/>
  <c r="V460" i="1" s="1"/>
  <c r="AJ460" i="1"/>
  <c r="CX460" i="1" s="1"/>
  <c r="W460" i="1" s="1"/>
  <c r="CQ460" i="1"/>
  <c r="P460" i="1" s="1"/>
  <c r="CR460" i="1"/>
  <c r="Q460" i="1" s="1"/>
  <c r="CV460" i="1"/>
  <c r="U460" i="1" s="1"/>
  <c r="FR460" i="1"/>
  <c r="GL460" i="1"/>
  <c r="GN460" i="1"/>
  <c r="GO460" i="1"/>
  <c r="GV460" i="1"/>
  <c r="HC460" i="1" s="1"/>
  <c r="GX460" i="1" s="1"/>
  <c r="B462" i="1"/>
  <c r="B456" i="1" s="1"/>
  <c r="C462" i="1"/>
  <c r="C456" i="1" s="1"/>
  <c r="D462" i="1"/>
  <c r="D456" i="1" s="1"/>
  <c r="F462" i="1"/>
  <c r="F456" i="1" s="1"/>
  <c r="G462" i="1"/>
  <c r="BX462" i="1"/>
  <c r="AO462" i="1" s="1"/>
  <c r="F466" i="1" s="1"/>
  <c r="CK462" i="1"/>
  <c r="BB462" i="1" s="1"/>
  <c r="BB456" i="1" s="1"/>
  <c r="CL462" i="1"/>
  <c r="CL456" i="1" s="1"/>
  <c r="CM462" i="1"/>
  <c r="CM456" i="1" s="1"/>
  <c r="B492" i="1"/>
  <c r="B22" i="1" s="1"/>
  <c r="C492" i="1"/>
  <c r="C22" i="1" s="1"/>
  <c r="D492" i="1"/>
  <c r="D22" i="1" s="1"/>
  <c r="F492" i="1"/>
  <c r="F22" i="1" s="1"/>
  <c r="G492" i="1"/>
  <c r="B522" i="1"/>
  <c r="B18" i="1" s="1"/>
  <c r="C522" i="1"/>
  <c r="C18" i="1" s="1"/>
  <c r="D522" i="1"/>
  <c r="D18" i="1" s="1"/>
  <c r="F522" i="1"/>
  <c r="F18" i="1" s="1"/>
  <c r="G522" i="1"/>
  <c r="F551" i="1"/>
  <c r="I565" i="6" s="1"/>
  <c r="F552" i="1"/>
  <c r="I566" i="6" s="1"/>
  <c r="D95" i="7" l="1"/>
  <c r="I28" i="9"/>
  <c r="D38" i="8" s="1"/>
  <c r="E460" i="6"/>
  <c r="T342" i="1"/>
  <c r="GX342" i="1"/>
  <c r="W342" i="1"/>
  <c r="CY300" i="1"/>
  <c r="X300" i="1" s="1"/>
  <c r="R404" i="6" s="1"/>
  <c r="J409" i="6" s="1"/>
  <c r="J405" i="6"/>
  <c r="CZ300" i="1"/>
  <c r="Y300" i="1" s="1"/>
  <c r="T404" i="6" s="1"/>
  <c r="J410" i="6" s="1"/>
  <c r="V342" i="1"/>
  <c r="BZ338" i="1"/>
  <c r="CG351" i="1"/>
  <c r="CG338" i="1" s="1"/>
  <c r="AH462" i="1"/>
  <c r="AH456" i="1" s="1"/>
  <c r="G456" i="1"/>
  <c r="A47" i="8" s="1"/>
  <c r="A558" i="6"/>
  <c r="R459" i="1"/>
  <c r="J551" i="6" s="1"/>
  <c r="V549" i="6"/>
  <c r="E531" i="6"/>
  <c r="D111" i="7"/>
  <c r="I35" i="9"/>
  <c r="D45" i="8" s="1"/>
  <c r="S524" i="6"/>
  <c r="Q524" i="6"/>
  <c r="S507" i="6"/>
  <c r="Q507" i="6"/>
  <c r="E459" i="6"/>
  <c r="D94" i="7"/>
  <c r="CS340" i="1"/>
  <c r="AD136" i="1"/>
  <c r="AB136" i="1" s="1"/>
  <c r="U256" i="6"/>
  <c r="CR136" i="1"/>
  <c r="Q136" i="1" s="1"/>
  <c r="S219" i="6"/>
  <c r="Q219" i="6"/>
  <c r="CT129" i="1"/>
  <c r="S129" i="1" s="1"/>
  <c r="J220" i="6" s="1"/>
  <c r="CQ126" i="1"/>
  <c r="N13" i="9"/>
  <c r="K13" i="9"/>
  <c r="G75" i="1"/>
  <c r="A11" i="8" s="1"/>
  <c r="A185" i="6"/>
  <c r="U139" i="6"/>
  <c r="AD81" i="1"/>
  <c r="CR81" i="1"/>
  <c r="Q81" i="1" s="1"/>
  <c r="J141" i="6" s="1"/>
  <c r="U115" i="6"/>
  <c r="AD78" i="1"/>
  <c r="CR78" i="1"/>
  <c r="Q78" i="1" s="1"/>
  <c r="J117" i="6" s="1"/>
  <c r="S553" i="6"/>
  <c r="Q553" i="6"/>
  <c r="G383" i="1"/>
  <c r="A41" i="8" s="1"/>
  <c r="A537" i="6"/>
  <c r="P392" i="1"/>
  <c r="CP392" i="1" s="1"/>
  <c r="O392" i="1" s="1"/>
  <c r="J531" i="6" s="1"/>
  <c r="N35" i="9"/>
  <c r="K35" i="9"/>
  <c r="R391" i="1"/>
  <c r="GK391" i="1" s="1"/>
  <c r="V529" i="6"/>
  <c r="CT390" i="1"/>
  <c r="S390" i="1" s="1"/>
  <c r="CS390" i="1"/>
  <c r="P34" i="9"/>
  <c r="R34" i="9" s="1"/>
  <c r="U524" i="6"/>
  <c r="S34" i="9"/>
  <c r="D109" i="7"/>
  <c r="E524" i="6"/>
  <c r="I34" i="9"/>
  <c r="D44" i="8" s="1"/>
  <c r="CR388" i="1"/>
  <c r="Q388" i="1" s="1"/>
  <c r="J514" i="6" s="1"/>
  <c r="CB394" i="1"/>
  <c r="U387" i="1"/>
  <c r="V387" i="1"/>
  <c r="AD387" i="1"/>
  <c r="AB387" i="1" s="1"/>
  <c r="P33" i="9"/>
  <c r="U507" i="6"/>
  <c r="S33" i="9"/>
  <c r="BZ394" i="1"/>
  <c r="AD385" i="1"/>
  <c r="U499" i="6"/>
  <c r="R349" i="1"/>
  <c r="GK349" i="1" s="1"/>
  <c r="V489" i="6"/>
  <c r="AD349" i="1"/>
  <c r="AB349" i="1" s="1"/>
  <c r="S31" i="9"/>
  <c r="T31" i="9" s="1"/>
  <c r="P31" i="9"/>
  <c r="U489" i="6"/>
  <c r="CP348" i="1"/>
  <c r="O348" i="1" s="1"/>
  <c r="J488" i="6"/>
  <c r="AB348" i="1"/>
  <c r="CR346" i="1"/>
  <c r="Q346" i="1" s="1"/>
  <c r="D99" i="7"/>
  <c r="I30" i="9"/>
  <c r="D37" i="8" s="1"/>
  <c r="E473" i="6"/>
  <c r="CT345" i="1"/>
  <c r="S345" i="1" s="1"/>
  <c r="J469" i="6" s="1"/>
  <c r="Q468" i="6"/>
  <c r="S468" i="6"/>
  <c r="CR344" i="1"/>
  <c r="AD343" i="1"/>
  <c r="AB343" i="1" s="1"/>
  <c r="I343" i="1"/>
  <c r="R342" i="1"/>
  <c r="GK342" i="1" s="1"/>
  <c r="V460" i="6"/>
  <c r="S28" i="9"/>
  <c r="T28" i="9" s="1"/>
  <c r="P28" i="9"/>
  <c r="R28" i="9" s="1"/>
  <c r="U460" i="6"/>
  <c r="CT341" i="1"/>
  <c r="Q459" i="6"/>
  <c r="S459" i="6"/>
  <c r="GX340" i="1"/>
  <c r="CR340" i="1"/>
  <c r="Q340" i="1" s="1"/>
  <c r="J456" i="6" s="1"/>
  <c r="U340" i="1"/>
  <c r="K466" i="6" s="1"/>
  <c r="AD340" i="1"/>
  <c r="AB340" i="1" s="1"/>
  <c r="CY304" i="1"/>
  <c r="X304" i="1" s="1"/>
  <c r="R441" i="6" s="1"/>
  <c r="J444" i="6" s="1"/>
  <c r="I447" i="6" s="1"/>
  <c r="J442" i="6"/>
  <c r="S434" i="6"/>
  <c r="Q434" i="6"/>
  <c r="AD301" i="1"/>
  <c r="U414" i="6"/>
  <c r="CZ298" i="1"/>
  <c r="Y298" i="1" s="1"/>
  <c r="T384" i="6" s="1"/>
  <c r="J390" i="6" s="1"/>
  <c r="J385" i="6"/>
  <c r="CM253" i="1"/>
  <c r="BD264" i="1"/>
  <c r="R258" i="1"/>
  <c r="GK258" i="1" s="1"/>
  <c r="CT256" i="1"/>
  <c r="S256" i="1" s="1"/>
  <c r="S348" i="6"/>
  <c r="Q348" i="6"/>
  <c r="U341" i="6"/>
  <c r="AD255" i="1"/>
  <c r="CR255" i="1"/>
  <c r="Q255" i="1" s="1"/>
  <c r="J343" i="6" s="1"/>
  <c r="CY185" i="1"/>
  <c r="X185" i="1" s="1"/>
  <c r="R326" i="6" s="1"/>
  <c r="CZ185" i="1"/>
  <c r="Y185" i="1" s="1"/>
  <c r="T326" i="6" s="1"/>
  <c r="R178" i="1"/>
  <c r="GK178" i="1" s="1"/>
  <c r="V308" i="6"/>
  <c r="CT175" i="1"/>
  <c r="S175" i="1" s="1"/>
  <c r="S282" i="6"/>
  <c r="Q282" i="6"/>
  <c r="Q276" i="6"/>
  <c r="S276" i="6"/>
  <c r="CT174" i="1"/>
  <c r="S174" i="1" s="1"/>
  <c r="CZ135" i="1"/>
  <c r="Y135" i="1" s="1"/>
  <c r="T251" i="6" s="1"/>
  <c r="CY127" i="1"/>
  <c r="X127" i="1" s="1"/>
  <c r="R204" i="6" s="1"/>
  <c r="J208" i="6" s="1"/>
  <c r="J205" i="6"/>
  <c r="CZ127" i="1"/>
  <c r="Y127" i="1" s="1"/>
  <c r="T204" i="6" s="1"/>
  <c r="J209" i="6" s="1"/>
  <c r="AD86" i="1"/>
  <c r="S10" i="9"/>
  <c r="P10" i="9"/>
  <c r="U179" i="6"/>
  <c r="CS86" i="1"/>
  <c r="R82" i="1"/>
  <c r="V149" i="6"/>
  <c r="J156" i="6" s="1"/>
  <c r="CS81" i="1"/>
  <c r="CS78" i="1"/>
  <c r="U105" i="6"/>
  <c r="AD77" i="1"/>
  <c r="AB77" i="1" s="1"/>
  <c r="CR77" i="1"/>
  <c r="Q77" i="1" s="1"/>
  <c r="J107" i="6" s="1"/>
  <c r="AD41" i="1"/>
  <c r="U91" i="6"/>
  <c r="CR41" i="1"/>
  <c r="Q41" i="1" s="1"/>
  <c r="J93" i="6" s="1"/>
  <c r="R39" i="1"/>
  <c r="GK39" i="1" s="1"/>
  <c r="V76" i="6"/>
  <c r="CC43" i="1"/>
  <c r="CC30" i="1" s="1"/>
  <c r="BZ462" i="1"/>
  <c r="D106" i="7"/>
  <c r="E507" i="6"/>
  <c r="I33" i="9"/>
  <c r="D43" i="8" s="1"/>
  <c r="G338" i="1"/>
  <c r="A34" i="8" s="1"/>
  <c r="A495" i="6"/>
  <c r="AD347" i="1"/>
  <c r="AB347" i="1" s="1"/>
  <c r="U479" i="6"/>
  <c r="S30" i="9"/>
  <c r="P30" i="9"/>
  <c r="R30" i="9" s="1"/>
  <c r="U473" i="6"/>
  <c r="CT343" i="1"/>
  <c r="S461" i="6"/>
  <c r="S460" i="6"/>
  <c r="Q460" i="6"/>
  <c r="CP261" i="1"/>
  <c r="O261" i="1" s="1"/>
  <c r="S20" i="9"/>
  <c r="P20" i="9"/>
  <c r="U317" i="6"/>
  <c r="CR181" i="1"/>
  <c r="Q181" i="1" s="1"/>
  <c r="CP181" i="1" s="1"/>
  <c r="O181" i="1" s="1"/>
  <c r="J317" i="6" s="1"/>
  <c r="AO172" i="1"/>
  <c r="R138" i="1"/>
  <c r="GK138" i="1" s="1"/>
  <c r="V264" i="6"/>
  <c r="CY131" i="1"/>
  <c r="X131" i="1" s="1"/>
  <c r="R230" i="6" s="1"/>
  <c r="J231" i="6"/>
  <c r="AD130" i="1"/>
  <c r="P14" i="9"/>
  <c r="S14" i="9"/>
  <c r="U224" i="6"/>
  <c r="CS130" i="1"/>
  <c r="R128" i="1"/>
  <c r="GK128" i="1" s="1"/>
  <c r="V212" i="6"/>
  <c r="J127" i="6"/>
  <c r="BY75" i="1"/>
  <c r="AP88" i="1"/>
  <c r="G22" i="1"/>
  <c r="A8" i="8" s="1"/>
  <c r="A561" i="6"/>
  <c r="AG462" i="1"/>
  <c r="AB458" i="1"/>
  <c r="F475" i="1"/>
  <c r="CT460" i="1"/>
  <c r="S460" i="1" s="1"/>
  <c r="S544" i="6"/>
  <c r="Q544" i="6"/>
  <c r="CK456" i="1"/>
  <c r="GX392" i="1"/>
  <c r="CJ394" i="1" s="1"/>
  <c r="Q531" i="6"/>
  <c r="S531" i="6"/>
  <c r="S529" i="6"/>
  <c r="Q529" i="6"/>
  <c r="CR390" i="1"/>
  <c r="Q390" i="1" s="1"/>
  <c r="AD390" i="1"/>
  <c r="Q522" i="6"/>
  <c r="S522" i="6"/>
  <c r="CT387" i="1"/>
  <c r="S387" i="1" s="1"/>
  <c r="CQ387" i="1"/>
  <c r="N33" i="9"/>
  <c r="K33" i="9"/>
  <c r="M33" i="9" s="1"/>
  <c r="S505" i="6"/>
  <c r="Q505" i="6"/>
  <c r="CR349" i="1"/>
  <c r="Q349" i="1" s="1"/>
  <c r="K31" i="9"/>
  <c r="M31" i="9" s="1"/>
  <c r="N31" i="9"/>
  <c r="CZ348" i="1"/>
  <c r="Y348" i="1" s="1"/>
  <c r="T486" i="6" s="1"/>
  <c r="J487" i="6"/>
  <c r="S486" i="6"/>
  <c r="Q486" i="6"/>
  <c r="CQ347" i="1"/>
  <c r="P347" i="1" s="1"/>
  <c r="K30" i="9"/>
  <c r="M30" i="9" s="1"/>
  <c r="N30" i="9"/>
  <c r="R345" i="1"/>
  <c r="V468" i="6"/>
  <c r="AD345" i="1"/>
  <c r="AB345" i="1" s="1"/>
  <c r="U468" i="6"/>
  <c r="AB344" i="1"/>
  <c r="K29" i="9"/>
  <c r="N29" i="9"/>
  <c r="CR343" i="1"/>
  <c r="CR342" i="1"/>
  <c r="Q342" i="1" s="1"/>
  <c r="U342" i="1"/>
  <c r="AD342" i="1"/>
  <c r="GX341" i="1"/>
  <c r="R341" i="1"/>
  <c r="GK341" i="1" s="1"/>
  <c r="V459" i="6"/>
  <c r="AD341" i="1"/>
  <c r="AB341" i="1" s="1"/>
  <c r="U459" i="6"/>
  <c r="T340" i="1"/>
  <c r="P340" i="1"/>
  <c r="J458" i="6" s="1"/>
  <c r="BC306" i="1"/>
  <c r="CT303" i="1"/>
  <c r="S303" i="1" s="1"/>
  <c r="J435" i="6" s="1"/>
  <c r="AD303" i="1"/>
  <c r="U434" i="6"/>
  <c r="S424" i="6"/>
  <c r="Q424" i="6"/>
  <c r="CS301" i="1"/>
  <c r="Q394" i="6"/>
  <c r="S394" i="6"/>
  <c r="G253" i="1"/>
  <c r="A32" i="8" s="1"/>
  <c r="A380" i="6"/>
  <c r="S374" i="6"/>
  <c r="Q374" i="6"/>
  <c r="D83" i="7"/>
  <c r="E374" i="6"/>
  <c r="Q258" i="1"/>
  <c r="U258" i="1"/>
  <c r="CS255" i="1"/>
  <c r="S23" i="9"/>
  <c r="P23" i="9"/>
  <c r="R23" i="9" s="1"/>
  <c r="U326" i="6"/>
  <c r="BZ187" i="1"/>
  <c r="CS136" i="1"/>
  <c r="AD134" i="1"/>
  <c r="AB134" i="1" s="1"/>
  <c r="U248" i="6"/>
  <c r="CS134" i="1"/>
  <c r="U241" i="6"/>
  <c r="CR133" i="1"/>
  <c r="Q133" i="1" s="1"/>
  <c r="CP133" i="1" s="1"/>
  <c r="O133" i="1" s="1"/>
  <c r="CZ131" i="1"/>
  <c r="Y131" i="1" s="1"/>
  <c r="T230" i="6" s="1"/>
  <c r="D52" i="7"/>
  <c r="E224" i="6"/>
  <c r="I14" i="9"/>
  <c r="D18" i="8" s="1"/>
  <c r="BB75" i="1"/>
  <c r="F101" i="1"/>
  <c r="U176" i="6"/>
  <c r="AD85" i="1"/>
  <c r="CR85" i="1"/>
  <c r="Q85" i="1" s="1"/>
  <c r="Q159" i="6"/>
  <c r="S159" i="6"/>
  <c r="CS77" i="1"/>
  <c r="Q51" i="6"/>
  <c r="S51" i="6"/>
  <c r="D23" i="7"/>
  <c r="E44" i="6"/>
  <c r="C45" i="6"/>
  <c r="G18" i="1"/>
  <c r="A564" i="6"/>
  <c r="A3" i="8"/>
  <c r="AF564" i="6"/>
  <c r="AD459" i="1"/>
  <c r="AB459" i="1" s="1"/>
  <c r="U549" i="6"/>
  <c r="CS388" i="1"/>
  <c r="U512" i="6"/>
  <c r="Q499" i="6"/>
  <c r="S499" i="6"/>
  <c r="CT349" i="1"/>
  <c r="Q489" i="6"/>
  <c r="S489" i="6"/>
  <c r="R347" i="1"/>
  <c r="GK347" i="1" s="1"/>
  <c r="V479" i="6"/>
  <c r="R346" i="1"/>
  <c r="GK346" i="1" s="1"/>
  <c r="V473" i="6"/>
  <c r="R344" i="1"/>
  <c r="GK344" i="1" s="1"/>
  <c r="S29" i="9"/>
  <c r="P29" i="9"/>
  <c r="U462" i="6"/>
  <c r="CT342" i="1"/>
  <c r="S342" i="1" s="1"/>
  <c r="D93" i="7"/>
  <c r="E453" i="6"/>
  <c r="C454" i="6"/>
  <c r="AG306" i="1"/>
  <c r="S414" i="6"/>
  <c r="Q414" i="6"/>
  <c r="S404" i="6"/>
  <c r="Q404" i="6"/>
  <c r="V361" i="6"/>
  <c r="J369" i="6" s="1"/>
  <c r="R259" i="1"/>
  <c r="D79" i="7"/>
  <c r="E356" i="6"/>
  <c r="CS127" i="1"/>
  <c r="U204" i="6"/>
  <c r="AD127" i="1"/>
  <c r="CR127" i="1"/>
  <c r="Q127" i="1" s="1"/>
  <c r="J206" i="6" s="1"/>
  <c r="CR459" i="1"/>
  <c r="Q459" i="1" s="1"/>
  <c r="J550" i="6" s="1"/>
  <c r="I552" i="6" s="1"/>
  <c r="BD462" i="1"/>
  <c r="BD456" i="1" s="1"/>
  <c r="J554" i="6"/>
  <c r="I556" i="6" s="1"/>
  <c r="CT459" i="1"/>
  <c r="S459" i="1" s="1"/>
  <c r="CY459" i="1" s="1"/>
  <c r="X459" i="1" s="1"/>
  <c r="Q549" i="6"/>
  <c r="S549" i="6"/>
  <c r="R458" i="1"/>
  <c r="J546" i="6" s="1"/>
  <c r="V544" i="6"/>
  <c r="J547" i="6" s="1"/>
  <c r="I548" i="6" s="1"/>
  <c r="BX456" i="1"/>
  <c r="G249" i="1"/>
  <c r="A31" i="8" s="1"/>
  <c r="A540" i="6"/>
  <c r="S392" i="1"/>
  <c r="CY392" i="1" s="1"/>
  <c r="X392" i="1" s="1"/>
  <c r="R531" i="6" s="1"/>
  <c r="V392" i="1"/>
  <c r="CS392" i="1"/>
  <c r="P35" i="9"/>
  <c r="U531" i="6"/>
  <c r="S35" i="9"/>
  <c r="AD391" i="1"/>
  <c r="AB391" i="1" s="1"/>
  <c r="U529" i="6"/>
  <c r="U390" i="1"/>
  <c r="P390" i="1"/>
  <c r="N34" i="9"/>
  <c r="K34" i="9"/>
  <c r="M34" i="9" s="1"/>
  <c r="AD389" i="1"/>
  <c r="AB389" i="1" s="1"/>
  <c r="U522" i="6"/>
  <c r="Q512" i="6"/>
  <c r="S512" i="6"/>
  <c r="BY394" i="1"/>
  <c r="CI394" i="1" s="1"/>
  <c r="CS387" i="1"/>
  <c r="T387" i="1"/>
  <c r="CS386" i="1"/>
  <c r="U505" i="6"/>
  <c r="CT385" i="1"/>
  <c r="S385" i="1" s="1"/>
  <c r="J500" i="6" s="1"/>
  <c r="CL383" i="1"/>
  <c r="I31" i="9"/>
  <c r="D39" i="8" s="1"/>
  <c r="E489" i="6"/>
  <c r="D102" i="7"/>
  <c r="R348" i="1"/>
  <c r="GK348" i="1" s="1"/>
  <c r="V486" i="6"/>
  <c r="CT347" i="1"/>
  <c r="S347" i="1" s="1"/>
  <c r="J480" i="6" s="1"/>
  <c r="Q479" i="6"/>
  <c r="S479" i="6"/>
  <c r="S346" i="1"/>
  <c r="S473" i="6"/>
  <c r="Q473" i="6"/>
  <c r="T346" i="1"/>
  <c r="S462" i="6"/>
  <c r="I344" i="1"/>
  <c r="V344" i="1" s="1"/>
  <c r="P343" i="1"/>
  <c r="P342" i="1"/>
  <c r="K28" i="9"/>
  <c r="M28" i="9" s="1"/>
  <c r="N28" i="9"/>
  <c r="V341" i="1"/>
  <c r="Q341" i="1"/>
  <c r="S340" i="1"/>
  <c r="S453" i="6"/>
  <c r="Q453" i="6"/>
  <c r="F310" i="1"/>
  <c r="G296" i="1"/>
  <c r="A33" i="8" s="1"/>
  <c r="A449" i="6"/>
  <c r="Q441" i="6"/>
  <c r="S441" i="6"/>
  <c r="CB306" i="1"/>
  <c r="R303" i="1"/>
  <c r="GK303" i="1" s="1"/>
  <c r="V434" i="6"/>
  <c r="CY302" i="1"/>
  <c r="X302" i="1" s="1"/>
  <c r="R424" i="6" s="1"/>
  <c r="J429" i="6" s="1"/>
  <c r="J425" i="6"/>
  <c r="CR301" i="1"/>
  <c r="Q301" i="1" s="1"/>
  <c r="J416" i="6" s="1"/>
  <c r="CR300" i="1"/>
  <c r="Q300" i="1" s="1"/>
  <c r="J406" i="6" s="1"/>
  <c r="AD299" i="1"/>
  <c r="U394" i="6"/>
  <c r="CS299" i="1"/>
  <c r="CT260" i="1"/>
  <c r="S260" i="1" s="1"/>
  <c r="CY260" i="1" s="1"/>
  <c r="X260" i="1" s="1"/>
  <c r="R366" i="6" s="1"/>
  <c r="S366" i="6"/>
  <c r="Q366" i="6"/>
  <c r="U361" i="6"/>
  <c r="AD259" i="1"/>
  <c r="AB259" i="1" s="1"/>
  <c r="CR259" i="1"/>
  <c r="Q259" i="1" s="1"/>
  <c r="J363" i="6" s="1"/>
  <c r="GX258" i="1"/>
  <c r="P258" i="1"/>
  <c r="T258" i="1"/>
  <c r="AG264" i="1" s="1"/>
  <c r="CC264" i="1"/>
  <c r="CS184" i="1"/>
  <c r="S22" i="9"/>
  <c r="P22" i="9"/>
  <c r="R22" i="9" s="1"/>
  <c r="U325" i="6"/>
  <c r="CR184" i="1"/>
  <c r="Q184" i="1" s="1"/>
  <c r="BD140" i="1"/>
  <c r="CS135" i="1"/>
  <c r="P16" i="9"/>
  <c r="S16" i="9"/>
  <c r="U251" i="6"/>
  <c r="AD135" i="1"/>
  <c r="AB135" i="1" s="1"/>
  <c r="CR135" i="1"/>
  <c r="Q135" i="1" s="1"/>
  <c r="CS85" i="1"/>
  <c r="CT83" i="1"/>
  <c r="S83" i="1" s="1"/>
  <c r="J160" i="6" s="1"/>
  <c r="CS41" i="1"/>
  <c r="AD39" i="1"/>
  <c r="U76" i="6"/>
  <c r="CR39" i="1"/>
  <c r="Q39" i="1" s="1"/>
  <c r="CT34" i="1"/>
  <c r="S34" i="1" s="1"/>
  <c r="J52" i="6" s="1"/>
  <c r="GX33" i="1"/>
  <c r="V33" i="1"/>
  <c r="AD33" i="1"/>
  <c r="AB33" i="1" s="1"/>
  <c r="U44" i="6"/>
  <c r="CS33" i="1"/>
  <c r="BZ264" i="1"/>
  <c r="V258" i="1"/>
  <c r="CT257" i="1"/>
  <c r="S257" i="1" s="1"/>
  <c r="J355" i="6" s="1"/>
  <c r="S354" i="6"/>
  <c r="Q354" i="6"/>
  <c r="G172" i="1"/>
  <c r="A23" i="8" s="1"/>
  <c r="A332" i="6"/>
  <c r="CQ185" i="1"/>
  <c r="P185" i="1" s="1"/>
  <c r="K23" i="9"/>
  <c r="N23" i="9"/>
  <c r="K22" i="9"/>
  <c r="M22" i="9" s="1"/>
  <c r="N22" i="9"/>
  <c r="S323" i="6"/>
  <c r="Q323" i="6"/>
  <c r="S318" i="6"/>
  <c r="Q318" i="6"/>
  <c r="I21" i="9"/>
  <c r="D26" i="8" s="1"/>
  <c r="D70" i="7"/>
  <c r="E318" i="6"/>
  <c r="CQ181" i="1"/>
  <c r="P181" i="1" s="1"/>
  <c r="K20" i="9"/>
  <c r="N20" i="9"/>
  <c r="CT179" i="1"/>
  <c r="S179" i="1" s="1"/>
  <c r="CP179" i="1" s="1"/>
  <c r="O179" i="1" s="1"/>
  <c r="J310" i="6" s="1"/>
  <c r="Q310" i="6"/>
  <c r="S310" i="6"/>
  <c r="D67" i="7"/>
  <c r="I19" i="9"/>
  <c r="D27" i="8" s="1"/>
  <c r="E310" i="6"/>
  <c r="S288" i="6"/>
  <c r="Q288" i="6"/>
  <c r="BY187" i="1"/>
  <c r="CI187" i="1" s="1"/>
  <c r="AD175" i="1"/>
  <c r="AB175" i="1" s="1"/>
  <c r="U282" i="6"/>
  <c r="Q259" i="6"/>
  <c r="S259" i="6"/>
  <c r="D59" i="7"/>
  <c r="I17" i="9"/>
  <c r="D21" i="8" s="1"/>
  <c r="E259" i="6"/>
  <c r="CB140" i="1"/>
  <c r="CB120" i="1" s="1"/>
  <c r="D57" i="7"/>
  <c r="I16" i="9"/>
  <c r="D20" i="8" s="1"/>
  <c r="E251" i="6"/>
  <c r="S235" i="6"/>
  <c r="Q235" i="6"/>
  <c r="D54" i="7"/>
  <c r="I15" i="9"/>
  <c r="E235" i="6"/>
  <c r="AB131" i="1"/>
  <c r="S130" i="1"/>
  <c r="CQ130" i="1"/>
  <c r="N14" i="9"/>
  <c r="K14" i="9"/>
  <c r="CR129" i="1"/>
  <c r="Q129" i="1" s="1"/>
  <c r="J221" i="6" s="1"/>
  <c r="U219" i="6"/>
  <c r="GX126" i="1"/>
  <c r="I13" i="9"/>
  <c r="D17" i="8" s="1"/>
  <c r="E198" i="6"/>
  <c r="D48" i="7"/>
  <c r="S196" i="6"/>
  <c r="Q196" i="6"/>
  <c r="D46" i="7"/>
  <c r="I12" i="9"/>
  <c r="D19" i="8" s="1"/>
  <c r="E196" i="6"/>
  <c r="Q189" i="6"/>
  <c r="S189" i="6"/>
  <c r="K10" i="9"/>
  <c r="N10" i="9"/>
  <c r="CT84" i="1"/>
  <c r="S84" i="1" s="1"/>
  <c r="Q166" i="6"/>
  <c r="S166" i="6"/>
  <c r="GK84" i="1"/>
  <c r="J169" i="6"/>
  <c r="CT80" i="1"/>
  <c r="S80" i="1" s="1"/>
  <c r="J133" i="6" s="1"/>
  <c r="S132" i="6"/>
  <c r="Q132" i="6"/>
  <c r="CT79" i="1"/>
  <c r="S79" i="1" s="1"/>
  <c r="S125" i="6"/>
  <c r="Q125" i="6"/>
  <c r="Q82" i="6"/>
  <c r="S82" i="6"/>
  <c r="S70" i="6"/>
  <c r="Q70" i="6"/>
  <c r="D28" i="7"/>
  <c r="E70" i="6"/>
  <c r="CT37" i="1"/>
  <c r="S37" i="1" s="1"/>
  <c r="Q65" i="6"/>
  <c r="S65" i="6"/>
  <c r="CB43" i="1"/>
  <c r="Q58" i="6"/>
  <c r="S58" i="6"/>
  <c r="T35" i="1"/>
  <c r="D25" i="7"/>
  <c r="E53" i="6"/>
  <c r="BY43" i="1"/>
  <c r="CT32" i="1"/>
  <c r="S32" i="1" s="1"/>
  <c r="S37" i="6"/>
  <c r="Q37" i="6"/>
  <c r="Q384" i="6"/>
  <c r="S384" i="6"/>
  <c r="V262" i="1"/>
  <c r="U374" i="6"/>
  <c r="CT261" i="1"/>
  <c r="S261" i="1" s="1"/>
  <c r="J373" i="6" s="1"/>
  <c r="Q372" i="6"/>
  <c r="S372" i="6"/>
  <c r="CR260" i="1"/>
  <c r="Q260" i="1" s="1"/>
  <c r="AD260" i="1"/>
  <c r="AB260" i="1" s="1"/>
  <c r="D81" i="7"/>
  <c r="E366" i="6"/>
  <c r="CP259" i="1"/>
  <c r="O259" i="1" s="1"/>
  <c r="J365" i="6"/>
  <c r="W258" i="1"/>
  <c r="CT258" i="1"/>
  <c r="S258" i="1" s="1"/>
  <c r="CY258" i="1" s="1"/>
  <c r="X258" i="1" s="1"/>
  <c r="R356" i="6" s="1"/>
  <c r="S356" i="6"/>
  <c r="Q356" i="6"/>
  <c r="R257" i="1"/>
  <c r="GK257" i="1" s="1"/>
  <c r="V354" i="6"/>
  <c r="CR256" i="1"/>
  <c r="Q256" i="1" s="1"/>
  <c r="CP256" i="1" s="1"/>
  <c r="O256" i="1" s="1"/>
  <c r="AD256" i="1"/>
  <c r="AB256" i="1" s="1"/>
  <c r="CK253" i="1"/>
  <c r="GX185" i="1"/>
  <c r="T185" i="1"/>
  <c r="I22" i="9"/>
  <c r="D28" i="8" s="1"/>
  <c r="D72" i="7"/>
  <c r="E325" i="6"/>
  <c r="V182" i="1"/>
  <c r="AI187" i="1" s="1"/>
  <c r="CS182" i="1"/>
  <c r="S21" i="9"/>
  <c r="T21" i="9" s="1"/>
  <c r="P21" i="9"/>
  <c r="R21" i="9" s="1"/>
  <c r="U318" i="6"/>
  <c r="I20" i="9"/>
  <c r="D25" i="8" s="1"/>
  <c r="D69" i="7"/>
  <c r="E317" i="6"/>
  <c r="S315" i="6"/>
  <c r="Q315" i="6"/>
  <c r="V179" i="1"/>
  <c r="AD179" i="1"/>
  <c r="AB179" i="1" s="1"/>
  <c r="S19" i="9"/>
  <c r="T19" i="9" s="1"/>
  <c r="P19" i="9"/>
  <c r="U310" i="6"/>
  <c r="S308" i="6"/>
  <c r="Q308" i="6"/>
  <c r="CT177" i="1"/>
  <c r="S177" i="1" s="1"/>
  <c r="S298" i="6"/>
  <c r="Q298" i="6"/>
  <c r="CT176" i="1"/>
  <c r="S176" i="1" s="1"/>
  <c r="J289" i="6" s="1"/>
  <c r="CS175" i="1"/>
  <c r="CS174" i="1"/>
  <c r="AD174" i="1"/>
  <c r="S264" i="6"/>
  <c r="Q264" i="6"/>
  <c r="GX137" i="1"/>
  <c r="V137" i="1"/>
  <c r="CS137" i="1"/>
  <c r="P17" i="9"/>
  <c r="R17" i="9" s="1"/>
  <c r="S17" i="9"/>
  <c r="T17" i="9" s="1"/>
  <c r="U259" i="6"/>
  <c r="CP136" i="1"/>
  <c r="O136" i="1" s="1"/>
  <c r="P135" i="1"/>
  <c r="N16" i="9"/>
  <c r="K16" i="9"/>
  <c r="M16" i="9" s="1"/>
  <c r="V132" i="1"/>
  <c r="P15" i="9"/>
  <c r="R15" i="9" s="1"/>
  <c r="S15" i="9"/>
  <c r="T15" i="9" s="1"/>
  <c r="U235" i="6"/>
  <c r="S230" i="6"/>
  <c r="Q230" i="6"/>
  <c r="T130" i="1"/>
  <c r="AB130" i="1"/>
  <c r="S212" i="6"/>
  <c r="Q212" i="6"/>
  <c r="W126" i="1"/>
  <c r="S198" i="6"/>
  <c r="Q198" i="6"/>
  <c r="R124" i="1"/>
  <c r="GK124" i="1" s="1"/>
  <c r="V196" i="6"/>
  <c r="AD124" i="1"/>
  <c r="AB124" i="1" s="1"/>
  <c r="P12" i="9"/>
  <c r="R12" i="9" s="1"/>
  <c r="S12" i="9"/>
  <c r="T12" i="9" s="1"/>
  <c r="U196" i="6"/>
  <c r="CT123" i="1"/>
  <c r="CS123" i="1"/>
  <c r="GK122" i="1"/>
  <c r="CT122" i="1"/>
  <c r="S122" i="1" s="1"/>
  <c r="J191" i="6" s="1"/>
  <c r="AD122" i="1"/>
  <c r="U189" i="6"/>
  <c r="CQ86" i="1"/>
  <c r="P86" i="1" s="1"/>
  <c r="AC88" i="1" s="1"/>
  <c r="J178" i="6"/>
  <c r="CR83" i="1"/>
  <c r="Q83" i="1" s="1"/>
  <c r="AD83" i="1"/>
  <c r="AB83" i="1" s="1"/>
  <c r="R83" i="1"/>
  <c r="GK83" i="1" s="1"/>
  <c r="CT82" i="1"/>
  <c r="S82" i="1" s="1"/>
  <c r="S149" i="6"/>
  <c r="Q149" i="6"/>
  <c r="R80" i="1"/>
  <c r="GK80" i="1" s="1"/>
  <c r="R79" i="1"/>
  <c r="GK79" i="1" s="1"/>
  <c r="J119" i="6"/>
  <c r="BC43" i="1"/>
  <c r="CT40" i="1"/>
  <c r="S40" i="1" s="1"/>
  <c r="J83" i="6" s="1"/>
  <c r="V70" i="6"/>
  <c r="U70" i="6"/>
  <c r="AD37" i="1"/>
  <c r="AB37" i="1" s="1"/>
  <c r="U65" i="6"/>
  <c r="CT36" i="1"/>
  <c r="S36" i="1" s="1"/>
  <c r="J59" i="6" s="1"/>
  <c r="CT35" i="1"/>
  <c r="S35" i="1" s="1"/>
  <c r="CP35" i="1" s="1"/>
  <c r="O35" i="1" s="1"/>
  <c r="J53" i="6" s="1"/>
  <c r="S53" i="6"/>
  <c r="Q53" i="6"/>
  <c r="CR34" i="1"/>
  <c r="Q34" i="1" s="1"/>
  <c r="AD34" i="1"/>
  <c r="AB34" i="1" s="1"/>
  <c r="R34" i="1"/>
  <c r="GK34" i="1" s="1"/>
  <c r="AD32" i="1"/>
  <c r="AB32" i="1" s="1"/>
  <c r="U37" i="6"/>
  <c r="U262" i="1"/>
  <c r="AH264" i="1" s="1"/>
  <c r="R261" i="1"/>
  <c r="GK261" i="1" s="1"/>
  <c r="CT259" i="1"/>
  <c r="S259" i="1" s="1"/>
  <c r="J362" i="6" s="1"/>
  <c r="S361" i="6"/>
  <c r="Q361" i="6"/>
  <c r="V356" i="6"/>
  <c r="U356" i="6"/>
  <c r="S341" i="6"/>
  <c r="Q341" i="6"/>
  <c r="G26" i="1"/>
  <c r="A9" i="8" s="1"/>
  <c r="A335" i="6"/>
  <c r="S326" i="6"/>
  <c r="Q326" i="6"/>
  <c r="I23" i="9"/>
  <c r="D29" i="8" s="1"/>
  <c r="D73" i="7"/>
  <c r="E326" i="6"/>
  <c r="Q325" i="6"/>
  <c r="S325" i="6"/>
  <c r="CT183" i="1"/>
  <c r="S183" i="1" s="1"/>
  <c r="CT182" i="1"/>
  <c r="S182" i="1" s="1"/>
  <c r="K21" i="9"/>
  <c r="M21" i="9" s="1"/>
  <c r="N21" i="9"/>
  <c r="S317" i="6"/>
  <c r="Q317" i="6"/>
  <c r="CS180" i="1"/>
  <c r="U315" i="6"/>
  <c r="GX179" i="1"/>
  <c r="R179" i="1"/>
  <c r="GK179" i="1" s="1"/>
  <c r="V310" i="6"/>
  <c r="K19" i="9"/>
  <c r="N19" i="9"/>
  <c r="CZ178" i="1"/>
  <c r="Y178" i="1" s="1"/>
  <c r="T308" i="6" s="1"/>
  <c r="J309" i="6"/>
  <c r="R176" i="1"/>
  <c r="CB187" i="1"/>
  <c r="CR174" i="1"/>
  <c r="Q174" i="1" s="1"/>
  <c r="AD138" i="1"/>
  <c r="U264" i="6"/>
  <c r="CT137" i="1"/>
  <c r="S137" i="1" s="1"/>
  <c r="N17" i="9"/>
  <c r="K17" i="9"/>
  <c r="M17" i="9" s="1"/>
  <c r="Q256" i="6"/>
  <c r="S256" i="6"/>
  <c r="T135" i="1"/>
  <c r="S251" i="6"/>
  <c r="Q251" i="6"/>
  <c r="S248" i="6"/>
  <c r="Q248" i="6"/>
  <c r="BZ140" i="1"/>
  <c r="S241" i="6"/>
  <c r="Q241" i="6"/>
  <c r="U132" i="1"/>
  <c r="N15" i="9"/>
  <c r="O15" i="9" s="1"/>
  <c r="K15" i="9"/>
  <c r="M15" i="9" s="1"/>
  <c r="CS131" i="1"/>
  <c r="U230" i="6"/>
  <c r="W130" i="1"/>
  <c r="Q224" i="6"/>
  <c r="S224" i="6"/>
  <c r="AD128" i="1"/>
  <c r="U212" i="6"/>
  <c r="S204" i="6"/>
  <c r="Q204" i="6"/>
  <c r="AD126" i="1"/>
  <c r="P13" i="9"/>
  <c r="R13" i="9" s="1"/>
  <c r="U198" i="6"/>
  <c r="S13" i="9"/>
  <c r="T13" i="9" s="1"/>
  <c r="CQ124" i="1"/>
  <c r="P124" i="1" s="1"/>
  <c r="CP124" i="1" s="1"/>
  <c r="O124" i="1" s="1"/>
  <c r="J196" i="6" s="1"/>
  <c r="N12" i="9"/>
  <c r="K12" i="9"/>
  <c r="M12" i="9" s="1"/>
  <c r="I123" i="1"/>
  <c r="U195" i="6" s="1"/>
  <c r="D44" i="7"/>
  <c r="E189" i="6"/>
  <c r="C190" i="6"/>
  <c r="G120" i="1"/>
  <c r="A15" i="8" s="1"/>
  <c r="CT86" i="1"/>
  <c r="S86" i="1" s="1"/>
  <c r="S179" i="6"/>
  <c r="Q179" i="6"/>
  <c r="I10" i="9"/>
  <c r="D13" i="8" s="1"/>
  <c r="D42" i="7"/>
  <c r="E179" i="6"/>
  <c r="CT85" i="1"/>
  <c r="S85" i="1" s="1"/>
  <c r="J177" i="6" s="1"/>
  <c r="Q176" i="6"/>
  <c r="S176" i="6"/>
  <c r="AB84" i="1"/>
  <c r="AD82" i="1"/>
  <c r="AB82" i="1" s="1"/>
  <c r="U149" i="6"/>
  <c r="CT81" i="1"/>
  <c r="S81" i="1" s="1"/>
  <c r="J140" i="6" s="1"/>
  <c r="S139" i="6"/>
  <c r="Q139" i="6"/>
  <c r="CT78" i="1"/>
  <c r="S78" i="1" s="1"/>
  <c r="CP78" i="1" s="1"/>
  <c r="O78" i="1" s="1"/>
  <c r="S115" i="6"/>
  <c r="Q115" i="6"/>
  <c r="CT77" i="1"/>
  <c r="S77" i="1" s="1"/>
  <c r="Q105" i="6"/>
  <c r="S105" i="6"/>
  <c r="CP77" i="1"/>
  <c r="O77" i="1" s="1"/>
  <c r="J109" i="6"/>
  <c r="G30" i="1"/>
  <c r="A10" i="8" s="1"/>
  <c r="A101" i="6"/>
  <c r="CT41" i="1"/>
  <c r="S41" i="1" s="1"/>
  <c r="J92" i="6" s="1"/>
  <c r="Q91" i="6"/>
  <c r="S91" i="6"/>
  <c r="R40" i="1"/>
  <c r="V82" i="6"/>
  <c r="J88" i="6" s="1"/>
  <c r="CT39" i="1"/>
  <c r="S39" i="1" s="1"/>
  <c r="J77" i="6" s="1"/>
  <c r="Q76" i="6"/>
  <c r="S76" i="6"/>
  <c r="V38" i="1"/>
  <c r="U38" i="1"/>
  <c r="R37" i="1"/>
  <c r="V65" i="6"/>
  <c r="R36" i="1"/>
  <c r="GK36" i="1" s="1"/>
  <c r="V58" i="6"/>
  <c r="V35" i="1"/>
  <c r="CS35" i="1"/>
  <c r="U53" i="6"/>
  <c r="W33" i="1"/>
  <c r="CT33" i="1"/>
  <c r="S33" i="1" s="1"/>
  <c r="Q44" i="6"/>
  <c r="S44" i="6"/>
  <c r="R32" i="1"/>
  <c r="GK32" i="1" s="1"/>
  <c r="V37" i="6"/>
  <c r="CP458" i="1"/>
  <c r="O458" i="1" s="1"/>
  <c r="AC462" i="1"/>
  <c r="AG456" i="1"/>
  <c r="T462" i="1"/>
  <c r="CI462" i="1"/>
  <c r="CY391" i="1"/>
  <c r="X391" i="1" s="1"/>
  <c r="R529" i="6" s="1"/>
  <c r="CZ391" i="1"/>
  <c r="Y391" i="1" s="1"/>
  <c r="T529" i="6" s="1"/>
  <c r="CS460" i="1"/>
  <c r="AD460" i="1"/>
  <c r="AB460" i="1" s="1"/>
  <c r="AT456" i="1"/>
  <c r="F480" i="1"/>
  <c r="CZ458" i="1"/>
  <c r="Y458" i="1" s="1"/>
  <c r="T544" i="6" s="1"/>
  <c r="BC383" i="1"/>
  <c r="F410" i="1"/>
  <c r="CZ390" i="1"/>
  <c r="Y390" i="1" s="1"/>
  <c r="T524" i="6" s="1"/>
  <c r="CY390" i="1"/>
  <c r="X390" i="1" s="1"/>
  <c r="R524" i="6" s="1"/>
  <c r="CY389" i="1"/>
  <c r="X389" i="1" s="1"/>
  <c r="R522" i="6" s="1"/>
  <c r="CZ389" i="1"/>
  <c r="Y389" i="1" s="1"/>
  <c r="T522" i="6" s="1"/>
  <c r="J526" i="6" s="1"/>
  <c r="CB383" i="1"/>
  <c r="AS394" i="1"/>
  <c r="CG394" i="1"/>
  <c r="BZ383" i="1"/>
  <c r="AQ394" i="1"/>
  <c r="CP386" i="1"/>
  <c r="O386" i="1" s="1"/>
  <c r="AJ394" i="1"/>
  <c r="AI394" i="1"/>
  <c r="BD338" i="1"/>
  <c r="F376" i="1"/>
  <c r="GM348" i="1"/>
  <c r="GP348" i="1" s="1"/>
  <c r="CY301" i="1"/>
  <c r="X301" i="1" s="1"/>
  <c r="R414" i="6" s="1"/>
  <c r="J419" i="6" s="1"/>
  <c r="CZ301" i="1"/>
  <c r="Y301" i="1" s="1"/>
  <c r="T414" i="6" s="1"/>
  <c r="J420" i="6" s="1"/>
  <c r="CJ462" i="1"/>
  <c r="CB462" i="1"/>
  <c r="AJ462" i="1"/>
  <c r="GK458" i="1"/>
  <c r="CC456" i="1"/>
  <c r="CP388" i="1"/>
  <c r="O388" i="1" s="1"/>
  <c r="CY387" i="1"/>
  <c r="X387" i="1" s="1"/>
  <c r="R507" i="6" s="1"/>
  <c r="CZ387" i="1"/>
  <c r="Y387" i="1" s="1"/>
  <c r="T507" i="6" s="1"/>
  <c r="AG394" i="1"/>
  <c r="AH394" i="1"/>
  <c r="CP340" i="1"/>
  <c r="O340" i="1" s="1"/>
  <c r="AO383" i="1"/>
  <c r="F398" i="1"/>
  <c r="CY388" i="1"/>
  <c r="X388" i="1" s="1"/>
  <c r="R512" i="6" s="1"/>
  <c r="J517" i="6" s="1"/>
  <c r="CZ388" i="1"/>
  <c r="Y388" i="1" s="1"/>
  <c r="T512" i="6" s="1"/>
  <c r="J518" i="6" s="1"/>
  <c r="T306" i="1"/>
  <c r="AG296" i="1"/>
  <c r="F487" i="1"/>
  <c r="F471" i="1"/>
  <c r="CP460" i="1"/>
  <c r="O460" i="1" s="1"/>
  <c r="BZ456" i="1"/>
  <c r="CG462" i="1"/>
  <c r="AQ462" i="1"/>
  <c r="AI462" i="1"/>
  <c r="BY456" i="1"/>
  <c r="AO456" i="1"/>
  <c r="CP390" i="1"/>
  <c r="O390" i="1" s="1"/>
  <c r="BY383" i="1"/>
  <c r="CZ386" i="1"/>
  <c r="Y386" i="1" s="1"/>
  <c r="T505" i="6" s="1"/>
  <c r="CY386" i="1"/>
  <c r="X386" i="1" s="1"/>
  <c r="R505" i="6" s="1"/>
  <c r="J508" i="6" s="1"/>
  <c r="CY385" i="1"/>
  <c r="X385" i="1" s="1"/>
  <c r="R499" i="6" s="1"/>
  <c r="J501" i="6" s="1"/>
  <c r="CZ385" i="1"/>
  <c r="Y385" i="1" s="1"/>
  <c r="T499" i="6" s="1"/>
  <c r="J502" i="6" s="1"/>
  <c r="CY299" i="1"/>
  <c r="X299" i="1" s="1"/>
  <c r="R394" i="6" s="1"/>
  <c r="J399" i="6" s="1"/>
  <c r="CZ299" i="1"/>
  <c r="Y299" i="1" s="1"/>
  <c r="BY351" i="1"/>
  <c r="CS298" i="1"/>
  <c r="AD298" i="1"/>
  <c r="GK256" i="1"/>
  <c r="BC462" i="1"/>
  <c r="AB392" i="1"/>
  <c r="CR389" i="1"/>
  <c r="Q389" i="1" s="1"/>
  <c r="CP389" i="1" s="1"/>
  <c r="O389" i="1" s="1"/>
  <c r="AB388" i="1"/>
  <c r="CR385" i="1"/>
  <c r="Q385" i="1" s="1"/>
  <c r="CK338" i="1"/>
  <c r="BB351" i="1"/>
  <c r="CY347" i="1"/>
  <c r="X347" i="1" s="1"/>
  <c r="R479" i="6" s="1"/>
  <c r="J482" i="6" s="1"/>
  <c r="CP346" i="1"/>
  <c r="O346" i="1" s="1"/>
  <c r="CZ340" i="1"/>
  <c r="Y340" i="1" s="1"/>
  <c r="T453" i="6" s="1"/>
  <c r="BZ296" i="1"/>
  <c r="CG306" i="1"/>
  <c r="CS304" i="1"/>
  <c r="AD304" i="1"/>
  <c r="AB304" i="1" s="1"/>
  <c r="CQ299" i="1"/>
  <c r="P299" i="1" s="1"/>
  <c r="J398" i="6" s="1"/>
  <c r="AB299" i="1"/>
  <c r="AJ306" i="1"/>
  <c r="CR298" i="1"/>
  <c r="Q298" i="1" s="1"/>
  <c r="J386" i="6" s="1"/>
  <c r="AB298" i="1"/>
  <c r="BD253" i="1"/>
  <c r="F289" i="1"/>
  <c r="AB178" i="1"/>
  <c r="CQ178" i="1"/>
  <c r="P178" i="1" s="1"/>
  <c r="CP178" i="1" s="1"/>
  <c r="O178" i="1" s="1"/>
  <c r="AH187" i="1"/>
  <c r="BD394" i="1"/>
  <c r="CS389" i="1"/>
  <c r="AX351" i="1"/>
  <c r="CQ301" i="1"/>
  <c r="P301" i="1" s="1"/>
  <c r="AB301" i="1"/>
  <c r="CY298" i="1"/>
  <c r="X298" i="1" s="1"/>
  <c r="R384" i="6" s="1"/>
  <c r="J389" i="6" s="1"/>
  <c r="CL253" i="1"/>
  <c r="BC264" i="1"/>
  <c r="BZ253" i="1"/>
  <c r="AQ264" i="1"/>
  <c r="BZ120" i="1"/>
  <c r="AQ140" i="1"/>
  <c r="BB394" i="1"/>
  <c r="AT394" i="1"/>
  <c r="AB385" i="1"/>
  <c r="BX383" i="1"/>
  <c r="AQ351" i="1"/>
  <c r="U349" i="1"/>
  <c r="P349" i="1"/>
  <c r="AB346" i="1"/>
  <c r="CP345" i="1"/>
  <c r="O345" i="1" s="1"/>
  <c r="AB342" i="1"/>
  <c r="CB351" i="1"/>
  <c r="U341" i="1"/>
  <c r="P341" i="1"/>
  <c r="CM338" i="1"/>
  <c r="CI306" i="1"/>
  <c r="CR304" i="1"/>
  <c r="Q304" i="1" s="1"/>
  <c r="CB296" i="1"/>
  <c r="AS306" i="1"/>
  <c r="CS302" i="1"/>
  <c r="AD302" i="1"/>
  <c r="CJ306" i="1"/>
  <c r="CY262" i="1"/>
  <c r="X262" i="1" s="1"/>
  <c r="R374" i="6" s="1"/>
  <c r="CZ262" i="1"/>
  <c r="Y262" i="1" s="1"/>
  <c r="T374" i="6" s="1"/>
  <c r="CJ264" i="1"/>
  <c r="CP258" i="1"/>
  <c r="O258" i="1" s="1"/>
  <c r="J356" i="6" s="1"/>
  <c r="CL172" i="1"/>
  <c r="BC187" i="1"/>
  <c r="CS385" i="1"/>
  <c r="BC351" i="1"/>
  <c r="CP302" i="1"/>
  <c r="O302" i="1" s="1"/>
  <c r="AI306" i="1"/>
  <c r="AT264" i="1"/>
  <c r="CC253" i="1"/>
  <c r="CZ133" i="1"/>
  <c r="Y133" i="1" s="1"/>
  <c r="T241" i="6" s="1"/>
  <c r="J245" i="6" s="1"/>
  <c r="CY133" i="1"/>
  <c r="X133" i="1" s="1"/>
  <c r="R241" i="6" s="1"/>
  <c r="J244" i="6" s="1"/>
  <c r="I247" i="6" s="1"/>
  <c r="CR391" i="1"/>
  <c r="Q391" i="1" s="1"/>
  <c r="CP391" i="1" s="1"/>
  <c r="O391" i="1" s="1"/>
  <c r="AB390" i="1"/>
  <c r="CR387" i="1"/>
  <c r="Q387" i="1" s="1"/>
  <c r="P387" i="1"/>
  <c r="AC394" i="1" s="1"/>
  <c r="AB386" i="1"/>
  <c r="T349" i="1"/>
  <c r="W349" i="1"/>
  <c r="S349" i="1"/>
  <c r="CY345" i="1"/>
  <c r="X345" i="1" s="1"/>
  <c r="R468" i="6" s="1"/>
  <c r="CZ345" i="1"/>
  <c r="Y345" i="1" s="1"/>
  <c r="T468" i="6" s="1"/>
  <c r="T341" i="1"/>
  <c r="W341" i="1"/>
  <c r="S341" i="1"/>
  <c r="AQ306" i="1"/>
  <c r="CP304" i="1"/>
  <c r="O304" i="1" s="1"/>
  <c r="CQ303" i="1"/>
  <c r="P303" i="1" s="1"/>
  <c r="AB303" i="1"/>
  <c r="AB302" i="1"/>
  <c r="CS300" i="1"/>
  <c r="AD300" i="1"/>
  <c r="AB300" i="1" s="1"/>
  <c r="CC306" i="1"/>
  <c r="AH306" i="1"/>
  <c r="AS264" i="1"/>
  <c r="CZ182" i="1"/>
  <c r="Y182" i="1" s="1"/>
  <c r="T318" i="6" s="1"/>
  <c r="CY182" i="1"/>
  <c r="X182" i="1" s="1"/>
  <c r="R318" i="6" s="1"/>
  <c r="BB306" i="1"/>
  <c r="AP306" i="1"/>
  <c r="BX296" i="1"/>
  <c r="AD262" i="1"/>
  <c r="AB262" i="1" s="1"/>
  <c r="CS262" i="1"/>
  <c r="CZ259" i="1"/>
  <c r="Y259" i="1" s="1"/>
  <c r="T361" i="6" s="1"/>
  <c r="CY259" i="1"/>
  <c r="X259" i="1" s="1"/>
  <c r="AB258" i="1"/>
  <c r="CY181" i="1"/>
  <c r="X181" i="1" s="1"/>
  <c r="R317" i="6" s="1"/>
  <c r="CZ181" i="1"/>
  <c r="Y181" i="1" s="1"/>
  <c r="T317" i="6" s="1"/>
  <c r="AG187" i="1"/>
  <c r="AT351" i="1"/>
  <c r="F277" i="1"/>
  <c r="CR262" i="1"/>
  <c r="Q262" i="1" s="1"/>
  <c r="CQ262" i="1"/>
  <c r="P262" i="1" s="1"/>
  <c r="AC264" i="1" s="1"/>
  <c r="CZ261" i="1"/>
  <c r="Y261" i="1" s="1"/>
  <c r="T372" i="6" s="1"/>
  <c r="J376" i="6" s="1"/>
  <c r="CY261" i="1"/>
  <c r="X261" i="1" s="1"/>
  <c r="AB257" i="1"/>
  <c r="CP255" i="1"/>
  <c r="O255" i="1" s="1"/>
  <c r="AB255" i="1"/>
  <c r="BZ172" i="1"/>
  <c r="AQ187" i="1"/>
  <c r="CY130" i="1"/>
  <c r="X130" i="1" s="1"/>
  <c r="R224" i="6" s="1"/>
  <c r="CZ130" i="1"/>
  <c r="Y130" i="1" s="1"/>
  <c r="T224" i="6" s="1"/>
  <c r="AO351" i="1"/>
  <c r="BD306" i="1"/>
  <c r="CG264" i="1"/>
  <c r="BX253" i="1"/>
  <c r="AO264" i="1"/>
  <c r="CZ258" i="1"/>
  <c r="Y258" i="1" s="1"/>
  <c r="T356" i="6" s="1"/>
  <c r="BY264" i="1"/>
  <c r="CZ255" i="1"/>
  <c r="Y255" i="1" s="1"/>
  <c r="T341" i="6" s="1"/>
  <c r="J345" i="6" s="1"/>
  <c r="CY255" i="1"/>
  <c r="X255" i="1" s="1"/>
  <c r="R341" i="6" s="1"/>
  <c r="J344" i="6" s="1"/>
  <c r="AJ264" i="1"/>
  <c r="CZ184" i="1"/>
  <c r="Y184" i="1" s="1"/>
  <c r="T325" i="6" s="1"/>
  <c r="CY184" i="1"/>
  <c r="X184" i="1" s="1"/>
  <c r="R325" i="6" s="1"/>
  <c r="CB172" i="1"/>
  <c r="AS187" i="1"/>
  <c r="AJ187" i="1"/>
  <c r="CZ138" i="1"/>
  <c r="Y138" i="1" s="1"/>
  <c r="T264" i="6" s="1"/>
  <c r="J268" i="6" s="1"/>
  <c r="CY138" i="1"/>
  <c r="X138" i="1" s="1"/>
  <c r="R264" i="6" s="1"/>
  <c r="J267" i="6" s="1"/>
  <c r="I270" i="6" s="1"/>
  <c r="BB172" i="1"/>
  <c r="F200" i="1"/>
  <c r="AD185" i="1"/>
  <c r="CS185" i="1"/>
  <c r="CQ184" i="1"/>
  <c r="P184" i="1" s="1"/>
  <c r="CP184" i="1" s="1"/>
  <c r="O184" i="1" s="1"/>
  <c r="J325" i="6" s="1"/>
  <c r="CZ180" i="1"/>
  <c r="Y180" i="1" s="1"/>
  <c r="T315" i="6" s="1"/>
  <c r="CY180" i="1"/>
  <c r="X180" i="1" s="1"/>
  <c r="R315" i="6" s="1"/>
  <c r="AD177" i="1"/>
  <c r="AB177" i="1" s="1"/>
  <c r="CR177" i="1"/>
  <c r="Q177" i="1" s="1"/>
  <c r="J300" i="6" s="1"/>
  <c r="AP187" i="1"/>
  <c r="CJ187" i="1"/>
  <c r="AB174" i="1"/>
  <c r="CQ174" i="1"/>
  <c r="P174" i="1" s="1"/>
  <c r="CP138" i="1"/>
  <c r="O138" i="1" s="1"/>
  <c r="CY132" i="1"/>
  <c r="X132" i="1" s="1"/>
  <c r="R235" i="6" s="1"/>
  <c r="CZ132" i="1"/>
  <c r="Y132" i="1" s="1"/>
  <c r="T235" i="6" s="1"/>
  <c r="CZ129" i="1"/>
  <c r="Y129" i="1" s="1"/>
  <c r="T219" i="6" s="1"/>
  <c r="J226" i="6" s="1"/>
  <c r="CQ128" i="1"/>
  <c r="P128" i="1" s="1"/>
  <c r="J214" i="6" s="1"/>
  <c r="I218" i="6" s="1"/>
  <c r="AB128" i="1"/>
  <c r="CP127" i="1"/>
  <c r="O127" i="1" s="1"/>
  <c r="U126" i="1"/>
  <c r="CY39" i="1"/>
  <c r="X39" i="1" s="1"/>
  <c r="R76" i="6" s="1"/>
  <c r="J78" i="6" s="1"/>
  <c r="CZ39" i="1"/>
  <c r="Y39" i="1" s="1"/>
  <c r="T76" i="6" s="1"/>
  <c r="J79" i="6" s="1"/>
  <c r="CP260" i="1"/>
  <c r="O260" i="1" s="1"/>
  <c r="J366" i="6" s="1"/>
  <c r="AD183" i="1"/>
  <c r="AB183" i="1" s="1"/>
  <c r="CS183" i="1"/>
  <c r="CQ182" i="1"/>
  <c r="P182" i="1" s="1"/>
  <c r="CP182" i="1" s="1"/>
  <c r="O182" i="1" s="1"/>
  <c r="CY178" i="1"/>
  <c r="X178" i="1" s="1"/>
  <c r="R308" i="6" s="1"/>
  <c r="CS177" i="1"/>
  <c r="CY176" i="1"/>
  <c r="X176" i="1" s="1"/>
  <c r="R288" i="6" s="1"/>
  <c r="J293" i="6" s="1"/>
  <c r="CL120" i="1"/>
  <c r="BC140" i="1"/>
  <c r="CP135" i="1"/>
  <c r="O135" i="1" s="1"/>
  <c r="CR185" i="1"/>
  <c r="Q185" i="1" s="1"/>
  <c r="CP185" i="1" s="1"/>
  <c r="O185" i="1" s="1"/>
  <c r="CP183" i="1"/>
  <c r="O183" i="1" s="1"/>
  <c r="AD181" i="1"/>
  <c r="AB181" i="1" s="1"/>
  <c r="CS181" i="1"/>
  <c r="CC187" i="1"/>
  <c r="CQ180" i="1"/>
  <c r="P180" i="1" s="1"/>
  <c r="CP180" i="1" s="1"/>
  <c r="O180" i="1" s="1"/>
  <c r="CP177" i="1"/>
  <c r="O177" i="1" s="1"/>
  <c r="BD120" i="1"/>
  <c r="F165" i="1"/>
  <c r="AD132" i="1"/>
  <c r="AB132" i="1" s="1"/>
  <c r="CR132" i="1"/>
  <c r="Q132" i="1" s="1"/>
  <c r="CS132" i="1"/>
  <c r="CT126" i="1"/>
  <c r="S126" i="1" s="1"/>
  <c r="AB126" i="1"/>
  <c r="BD187" i="1"/>
  <c r="AB185" i="1"/>
  <c r="AD184" i="1"/>
  <c r="AB184" i="1" s="1"/>
  <c r="AD182" i="1"/>
  <c r="AB182" i="1" s="1"/>
  <c r="AD180" i="1"/>
  <c r="AB180" i="1" s="1"/>
  <c r="CR179" i="1"/>
  <c r="Q179" i="1" s="1"/>
  <c r="AB176" i="1"/>
  <c r="CR175" i="1"/>
  <c r="Q175" i="1" s="1"/>
  <c r="CK172" i="1"/>
  <c r="BX120" i="1"/>
  <c r="CG140" i="1"/>
  <c r="AO140" i="1"/>
  <c r="AB138" i="1"/>
  <c r="CR137" i="1"/>
  <c r="Q137" i="1" s="1"/>
  <c r="CP137" i="1" s="1"/>
  <c r="O137" i="1" s="1"/>
  <c r="AD137" i="1"/>
  <c r="AB137" i="1" s="1"/>
  <c r="CZ136" i="1"/>
  <c r="Y136" i="1" s="1"/>
  <c r="T256" i="6" s="1"/>
  <c r="CY136" i="1"/>
  <c r="X136" i="1" s="1"/>
  <c r="R256" i="6" s="1"/>
  <c r="CT134" i="1"/>
  <c r="S134" i="1" s="1"/>
  <c r="J249" i="6" s="1"/>
  <c r="CS133" i="1"/>
  <c r="AD133" i="1"/>
  <c r="AB133" i="1" s="1"/>
  <c r="CY128" i="1"/>
  <c r="X128" i="1" s="1"/>
  <c r="R212" i="6" s="1"/>
  <c r="J215" i="6" s="1"/>
  <c r="CZ128" i="1"/>
  <c r="Y128" i="1" s="1"/>
  <c r="T212" i="6" s="1"/>
  <c r="J216" i="6" s="1"/>
  <c r="T126" i="1"/>
  <c r="CY122" i="1"/>
  <c r="X122" i="1" s="1"/>
  <c r="R189" i="6" s="1"/>
  <c r="CZ122" i="1"/>
  <c r="Y122" i="1" s="1"/>
  <c r="T189" i="6" s="1"/>
  <c r="AG88" i="1"/>
  <c r="CG187" i="1"/>
  <c r="BX172" i="1"/>
  <c r="CQ132" i="1"/>
  <c r="P132" i="1" s="1"/>
  <c r="CP132" i="1" s="1"/>
  <c r="O132" i="1" s="1"/>
  <c r="CQ131" i="1"/>
  <c r="P131" i="1" s="1"/>
  <c r="CR128" i="1"/>
  <c r="Q128" i="1" s="1"/>
  <c r="AB127" i="1"/>
  <c r="V126" i="1"/>
  <c r="CS125" i="1"/>
  <c r="AD125" i="1"/>
  <c r="AB125" i="1" s="1"/>
  <c r="CY124" i="1"/>
  <c r="X124" i="1" s="1"/>
  <c r="CZ124" i="1"/>
  <c r="Y124" i="1" s="1"/>
  <c r="T196" i="6" s="1"/>
  <c r="GX123" i="1"/>
  <c r="U123" i="1"/>
  <c r="CC75" i="1"/>
  <c r="AT88" i="1"/>
  <c r="AH88" i="1"/>
  <c r="CS129" i="1"/>
  <c r="AD129" i="1"/>
  <c r="AB129" i="1" s="1"/>
  <c r="R126" i="1"/>
  <c r="GK126" i="1" s="1"/>
  <c r="CC140" i="1"/>
  <c r="BY140" i="1"/>
  <c r="CQ122" i="1"/>
  <c r="P122" i="1" s="1"/>
  <c r="J194" i="6" s="1"/>
  <c r="AB122" i="1"/>
  <c r="P123" i="1"/>
  <c r="Q123" i="1"/>
  <c r="AP75" i="1"/>
  <c r="F97" i="1"/>
  <c r="AJ88" i="1"/>
  <c r="BB140" i="1"/>
  <c r="CR134" i="1"/>
  <c r="Q134" i="1" s="1"/>
  <c r="CR130" i="1"/>
  <c r="Q130" i="1" s="1"/>
  <c r="P130" i="1"/>
  <c r="CR126" i="1"/>
  <c r="Q126" i="1" s="1"/>
  <c r="P126" i="1"/>
  <c r="AD123" i="1"/>
  <c r="AB123" i="1" s="1"/>
  <c r="CZ36" i="1"/>
  <c r="Y36" i="1" s="1"/>
  <c r="T58" i="6" s="1"/>
  <c r="J62" i="6" s="1"/>
  <c r="CY36" i="1"/>
  <c r="X36" i="1" s="1"/>
  <c r="R58" i="6" s="1"/>
  <c r="J61" i="6" s="1"/>
  <c r="S123" i="1"/>
  <c r="AB86" i="1"/>
  <c r="CZ85" i="1"/>
  <c r="Y85" i="1" s="1"/>
  <c r="CY85" i="1"/>
  <c r="X85" i="1" s="1"/>
  <c r="R176" i="6" s="1"/>
  <c r="AB85" i="1"/>
  <c r="CP84" i="1"/>
  <c r="O84" i="1" s="1"/>
  <c r="CP83" i="1"/>
  <c r="O83" i="1" s="1"/>
  <c r="CZ80" i="1"/>
  <c r="Y80" i="1" s="1"/>
  <c r="T132" i="6" s="1"/>
  <c r="J136" i="6" s="1"/>
  <c r="AB80" i="1"/>
  <c r="BZ88" i="1"/>
  <c r="GX125" i="1"/>
  <c r="W123" i="1"/>
  <c r="V123" i="1"/>
  <c r="R123" i="1"/>
  <c r="CM75" i="1"/>
  <c r="BD88" i="1"/>
  <c r="CZ83" i="1"/>
  <c r="Y83" i="1" s="1"/>
  <c r="T159" i="6" s="1"/>
  <c r="J163" i="6" s="1"/>
  <c r="CY83" i="1"/>
  <c r="X83" i="1" s="1"/>
  <c r="R159" i="6" s="1"/>
  <c r="J162" i="6" s="1"/>
  <c r="CZ81" i="1"/>
  <c r="Y81" i="1" s="1"/>
  <c r="T139" i="6" s="1"/>
  <c r="J145" i="6" s="1"/>
  <c r="CY81" i="1"/>
  <c r="X81" i="1" s="1"/>
  <c r="R139" i="6" s="1"/>
  <c r="J144" i="6" s="1"/>
  <c r="AB81" i="1"/>
  <c r="BZ30" i="1"/>
  <c r="AQ43" i="1"/>
  <c r="CG43" i="1"/>
  <c r="AG43" i="1"/>
  <c r="CY34" i="1"/>
  <c r="X34" i="1" s="1"/>
  <c r="R51" i="6" s="1"/>
  <c r="BY30" i="1"/>
  <c r="AP43" i="1"/>
  <c r="CI43" i="1"/>
  <c r="AB79" i="1"/>
  <c r="AB78" i="1"/>
  <c r="CJ88" i="1"/>
  <c r="CB88" i="1"/>
  <c r="AI88" i="1"/>
  <c r="CK30" i="1"/>
  <c r="BB43" i="1"/>
  <c r="AB39" i="1"/>
  <c r="CR86" i="1"/>
  <c r="Q86" i="1" s="1"/>
  <c r="CR82" i="1"/>
  <c r="Q82" i="1" s="1"/>
  <c r="J151" i="6" s="1"/>
  <c r="BC30" i="1"/>
  <c r="F59" i="1"/>
  <c r="AB41" i="1"/>
  <c r="CZ40" i="1"/>
  <c r="Y40" i="1" s="1"/>
  <c r="T82" i="6" s="1"/>
  <c r="J87" i="6" s="1"/>
  <c r="CY40" i="1"/>
  <c r="X40" i="1" s="1"/>
  <c r="R82" i="6" s="1"/>
  <c r="J86" i="6" s="1"/>
  <c r="R38" i="1"/>
  <c r="GK38" i="1" s="1"/>
  <c r="S38" i="1"/>
  <c r="I125" i="1"/>
  <c r="Q197" i="6" s="1"/>
  <c r="BC88" i="1"/>
  <c r="AF88" i="1"/>
  <c r="CY79" i="1"/>
  <c r="X79" i="1" s="1"/>
  <c r="CY78" i="1"/>
  <c r="X78" i="1" s="1"/>
  <c r="R115" i="6" s="1"/>
  <c r="J120" i="6" s="1"/>
  <c r="AO88" i="1"/>
  <c r="BD43" i="1"/>
  <c r="AT43" i="1"/>
  <c r="CP41" i="1"/>
  <c r="O41" i="1" s="1"/>
  <c r="CP39" i="1"/>
  <c r="O39" i="1" s="1"/>
  <c r="GX38" i="1"/>
  <c r="W38" i="1"/>
  <c r="CP37" i="1"/>
  <c r="O37" i="1" s="1"/>
  <c r="AB36" i="1"/>
  <c r="CQ36" i="1"/>
  <c r="P36" i="1" s="1"/>
  <c r="GX35" i="1"/>
  <c r="CJ43" i="1" s="1"/>
  <c r="U35" i="1"/>
  <c r="AH43" i="1" s="1"/>
  <c r="CQ40" i="1"/>
  <c r="P40" i="1" s="1"/>
  <c r="CP40" i="1" s="1"/>
  <c r="O40" i="1" s="1"/>
  <c r="T38" i="1"/>
  <c r="P38" i="1"/>
  <c r="AC43" i="1" s="1"/>
  <c r="AB38" i="1"/>
  <c r="CB30" i="1"/>
  <c r="AS43" i="1"/>
  <c r="AD35" i="1"/>
  <c r="AB35" i="1" s="1"/>
  <c r="CR35" i="1"/>
  <c r="Q35" i="1" s="1"/>
  <c r="AI43" i="1"/>
  <c r="AO43" i="1"/>
  <c r="Q38" i="1"/>
  <c r="CR37" i="1"/>
  <c r="Q37" i="1" s="1"/>
  <c r="J67" i="6" s="1"/>
  <c r="W35" i="1"/>
  <c r="AJ43" i="1" s="1"/>
  <c r="CR33" i="1"/>
  <c r="Q33" i="1" s="1"/>
  <c r="CP33" i="1" s="1"/>
  <c r="O33" i="1" s="1"/>
  <c r="CR32" i="1"/>
  <c r="Q32" i="1" s="1"/>
  <c r="K447" i="6" l="1"/>
  <c r="P447" i="6"/>
  <c r="AG253" i="1"/>
  <c r="T264" i="1"/>
  <c r="K218" i="6"/>
  <c r="P218" i="6"/>
  <c r="P247" i="6"/>
  <c r="K247" i="6"/>
  <c r="AC75" i="1"/>
  <c r="CF88" i="1"/>
  <c r="P88" i="1"/>
  <c r="CE88" i="1"/>
  <c r="CE75" i="1" s="1"/>
  <c r="K548" i="6"/>
  <c r="P548" i="6"/>
  <c r="R549" i="6"/>
  <c r="J326" i="6"/>
  <c r="J259" i="6"/>
  <c r="BA394" i="1"/>
  <c r="CJ383" i="1"/>
  <c r="J260" i="6"/>
  <c r="R132" i="1"/>
  <c r="GK132" i="1" s="1"/>
  <c r="V235" i="6"/>
  <c r="GM182" i="1"/>
  <c r="GP182" i="1" s="1"/>
  <c r="J318" i="6"/>
  <c r="R385" i="1"/>
  <c r="V499" i="6"/>
  <c r="R298" i="1"/>
  <c r="J387" i="6" s="1"/>
  <c r="V384" i="6"/>
  <c r="J391" i="6" s="1"/>
  <c r="I297" i="6"/>
  <c r="R41" i="1"/>
  <c r="V91" i="6"/>
  <c r="J97" i="6" s="1"/>
  <c r="R135" i="1"/>
  <c r="GK135" i="1" s="1"/>
  <c r="GM135" i="1" s="1"/>
  <c r="GP135" i="1" s="1"/>
  <c r="V251" i="6"/>
  <c r="R14" i="9"/>
  <c r="J277" i="6"/>
  <c r="CY174" i="1"/>
  <c r="X174" i="1" s="1"/>
  <c r="R276" i="6" s="1"/>
  <c r="J278" i="6" s="1"/>
  <c r="I281" i="6" s="1"/>
  <c r="D96" i="7"/>
  <c r="E461" i="6"/>
  <c r="GX343" i="1"/>
  <c r="R343" i="1"/>
  <c r="GK343" i="1" s="1"/>
  <c r="V343" i="1"/>
  <c r="AI351" i="1" s="1"/>
  <c r="AD43" i="1"/>
  <c r="J39" i="6"/>
  <c r="CZ41" i="1"/>
  <c r="Y41" i="1" s="1"/>
  <c r="T91" i="6" s="1"/>
  <c r="J96" i="6" s="1"/>
  <c r="I99" i="6" s="1"/>
  <c r="CZ34" i="1"/>
  <c r="Y34" i="1" s="1"/>
  <c r="T51" i="6" s="1"/>
  <c r="I165" i="6"/>
  <c r="CP82" i="1"/>
  <c r="O82" i="1" s="1"/>
  <c r="CP130" i="1"/>
  <c r="O130" i="1" s="1"/>
  <c r="CJ140" i="1"/>
  <c r="V197" i="6"/>
  <c r="R133" i="1"/>
  <c r="GK133" i="1" s="1"/>
  <c r="V241" i="6"/>
  <c r="AD187" i="1"/>
  <c r="R181" i="1"/>
  <c r="GK181" i="1" s="1"/>
  <c r="V317" i="6"/>
  <c r="CP129" i="1"/>
  <c r="O129" i="1" s="1"/>
  <c r="BY172" i="1"/>
  <c r="CZ176" i="1"/>
  <c r="Y176" i="1" s="1"/>
  <c r="T288" i="6" s="1"/>
  <c r="J294" i="6" s="1"/>
  <c r="R183" i="1"/>
  <c r="GK183" i="1" s="1"/>
  <c r="GM183" i="1" s="1"/>
  <c r="GP183" i="1" s="1"/>
  <c r="V323" i="6"/>
  <c r="CY257" i="1"/>
  <c r="X257" i="1" s="1"/>
  <c r="R361" i="6"/>
  <c r="J367" i="6" s="1"/>
  <c r="J320" i="6"/>
  <c r="AF394" i="1"/>
  <c r="S394" i="1" s="1"/>
  <c r="J509" i="6"/>
  <c r="J524" i="6"/>
  <c r="AF462" i="1"/>
  <c r="AF456" i="1" s="1"/>
  <c r="CY33" i="1"/>
  <c r="X33" i="1" s="1"/>
  <c r="R44" i="6" s="1"/>
  <c r="J47" i="6" s="1"/>
  <c r="J46" i="6"/>
  <c r="CZ33" i="1"/>
  <c r="Y33" i="1" s="1"/>
  <c r="T44" i="6" s="1"/>
  <c r="J48" i="6" s="1"/>
  <c r="R35" i="1"/>
  <c r="GK35" i="1" s="1"/>
  <c r="V53" i="6"/>
  <c r="J85" i="6"/>
  <c r="GK40" i="1"/>
  <c r="CY86" i="1"/>
  <c r="X86" i="1" s="1"/>
  <c r="R179" i="6" s="1"/>
  <c r="CZ86" i="1"/>
  <c r="Y86" i="1" s="1"/>
  <c r="T179" i="6" s="1"/>
  <c r="E19" i="8"/>
  <c r="O12" i="9"/>
  <c r="F19" i="8" s="1"/>
  <c r="E21" i="8"/>
  <c r="O17" i="9"/>
  <c r="F21" i="8" s="1"/>
  <c r="I64" i="6"/>
  <c r="J73" i="6"/>
  <c r="CZ79" i="1"/>
  <c r="Y79" i="1" s="1"/>
  <c r="T125" i="6" s="1"/>
  <c r="J129" i="6" s="1"/>
  <c r="J126" i="6"/>
  <c r="CY84" i="1"/>
  <c r="X84" i="1" s="1"/>
  <c r="R166" i="6" s="1"/>
  <c r="J171" i="6" s="1"/>
  <c r="J167" i="6"/>
  <c r="CZ84" i="1"/>
  <c r="Y84" i="1" s="1"/>
  <c r="T166" i="6" s="1"/>
  <c r="J172" i="6" s="1"/>
  <c r="O20" i="9"/>
  <c r="F25" i="8" s="1"/>
  <c r="E25" i="8"/>
  <c r="O23" i="9"/>
  <c r="F29" i="8" s="1"/>
  <c r="E29" i="8"/>
  <c r="AI264" i="1"/>
  <c r="T22" i="9"/>
  <c r="R299" i="1"/>
  <c r="V394" i="6"/>
  <c r="J401" i="6" s="1"/>
  <c r="O28" i="9"/>
  <c r="F38" i="8" s="1"/>
  <c r="E38" i="8"/>
  <c r="U343" i="1"/>
  <c r="S344" i="1"/>
  <c r="CZ346" i="1"/>
  <c r="Y346" i="1" s="1"/>
  <c r="T473" i="6" s="1"/>
  <c r="J475" i="6" s="1"/>
  <c r="CY346" i="1"/>
  <c r="X346" i="1" s="1"/>
  <c r="R473" i="6" s="1"/>
  <c r="R386" i="1"/>
  <c r="GK386" i="1" s="1"/>
  <c r="V505" i="6"/>
  <c r="R35" i="9"/>
  <c r="P556" i="6"/>
  <c r="K556" i="6"/>
  <c r="R127" i="1"/>
  <c r="GK127" i="1" s="1"/>
  <c r="V204" i="6"/>
  <c r="R136" i="1"/>
  <c r="GK136" i="1" s="1"/>
  <c r="GM136" i="1" s="1"/>
  <c r="GP136" i="1" s="1"/>
  <c r="V256" i="6"/>
  <c r="T23" i="9"/>
  <c r="BC296" i="1"/>
  <c r="F322" i="1"/>
  <c r="Q343" i="1"/>
  <c r="AD351" i="1" s="1"/>
  <c r="P344" i="1"/>
  <c r="CP344" i="1" s="1"/>
  <c r="O344" i="1" s="1"/>
  <c r="J476" i="6"/>
  <c r="CP347" i="1"/>
  <c r="O347" i="1" s="1"/>
  <c r="J481" i="6"/>
  <c r="I485" i="6" s="1"/>
  <c r="E43" i="8"/>
  <c r="O33" i="9"/>
  <c r="F43" i="8" s="1"/>
  <c r="R130" i="1"/>
  <c r="GK130" i="1" s="1"/>
  <c r="V224" i="6"/>
  <c r="Q461" i="6"/>
  <c r="T30" i="9"/>
  <c r="R10" i="9"/>
  <c r="I211" i="6"/>
  <c r="J283" i="6"/>
  <c r="CY175" i="1"/>
  <c r="X175" i="1" s="1"/>
  <c r="R282" i="6" s="1"/>
  <c r="J284" i="6" s="1"/>
  <c r="CZ175" i="1"/>
  <c r="Y175" i="1" s="1"/>
  <c r="T282" i="6" s="1"/>
  <c r="J285" i="6" s="1"/>
  <c r="U461" i="6"/>
  <c r="U344" i="1"/>
  <c r="R33" i="9"/>
  <c r="R390" i="1"/>
  <c r="GK390" i="1" s="1"/>
  <c r="GM390" i="1" s="1"/>
  <c r="GP390" i="1" s="1"/>
  <c r="V524" i="6"/>
  <c r="M13" i="9"/>
  <c r="W343" i="1"/>
  <c r="AJ351" i="1" s="1"/>
  <c r="R300" i="1"/>
  <c r="V404" i="6"/>
  <c r="J411" i="6" s="1"/>
  <c r="R304" i="1"/>
  <c r="GK304" i="1" s="1"/>
  <c r="GM304" i="1" s="1"/>
  <c r="GP304" i="1" s="1"/>
  <c r="V441" i="6"/>
  <c r="J532" i="6"/>
  <c r="R180" i="1"/>
  <c r="GK180" i="1" s="1"/>
  <c r="V315" i="6"/>
  <c r="R137" i="1"/>
  <c r="GK137" i="1" s="1"/>
  <c r="V259" i="6"/>
  <c r="V139" i="6"/>
  <c r="J146" i="6" s="1"/>
  <c r="I148" i="6" s="1"/>
  <c r="R81" i="1"/>
  <c r="CP34" i="1"/>
  <c r="O34" i="1" s="1"/>
  <c r="CY41" i="1"/>
  <c r="X41" i="1" s="1"/>
  <c r="R91" i="6" s="1"/>
  <c r="J95" i="6" s="1"/>
  <c r="J180" i="6"/>
  <c r="V125" i="1"/>
  <c r="J251" i="6"/>
  <c r="R177" i="1"/>
  <c r="V298" i="6"/>
  <c r="J305" i="6" s="1"/>
  <c r="R185" i="1"/>
  <c r="GK185" i="1" s="1"/>
  <c r="GM185" i="1" s="1"/>
  <c r="GP185" i="1" s="1"/>
  <c r="V326" i="6"/>
  <c r="K270" i="6"/>
  <c r="P270" i="6"/>
  <c r="CZ257" i="1"/>
  <c r="Y257" i="1" s="1"/>
  <c r="T354" i="6" s="1"/>
  <c r="J358" i="6" s="1"/>
  <c r="AS140" i="1"/>
  <c r="R302" i="1"/>
  <c r="V424" i="6"/>
  <c r="J431" i="6" s="1"/>
  <c r="CP301" i="1"/>
  <c r="O301" i="1" s="1"/>
  <c r="J418" i="6"/>
  <c r="I423" i="6" s="1"/>
  <c r="R389" i="1"/>
  <c r="GK389" i="1" s="1"/>
  <c r="GM389" i="1" s="1"/>
  <c r="GP389" i="1" s="1"/>
  <c r="V522" i="6"/>
  <c r="CP300" i="1"/>
  <c r="O300" i="1" s="1"/>
  <c r="J473" i="6"/>
  <c r="T394" i="6"/>
  <c r="J400" i="6" s="1"/>
  <c r="I403" i="6" s="1"/>
  <c r="AP394" i="1"/>
  <c r="CZ392" i="1"/>
  <c r="Y392" i="1" s="1"/>
  <c r="T531" i="6" s="1"/>
  <c r="J533" i="6" s="1"/>
  <c r="I535" i="6" s="1"/>
  <c r="CZ459" i="1"/>
  <c r="Y459" i="1" s="1"/>
  <c r="T549" i="6" s="1"/>
  <c r="CZ303" i="1"/>
  <c r="Y303" i="1" s="1"/>
  <c r="T434" i="6" s="1"/>
  <c r="J438" i="6" s="1"/>
  <c r="R460" i="1"/>
  <c r="V553" i="6"/>
  <c r="U462" i="1"/>
  <c r="GK37" i="1"/>
  <c r="J68" i="6"/>
  <c r="CZ78" i="1"/>
  <c r="Y78" i="1" s="1"/>
  <c r="T115" i="6" s="1"/>
  <c r="J121" i="6" s="1"/>
  <c r="J116" i="6"/>
  <c r="D45" i="7"/>
  <c r="E195" i="6"/>
  <c r="CZ137" i="1"/>
  <c r="Y137" i="1" s="1"/>
  <c r="T259" i="6" s="1"/>
  <c r="J261" i="6" s="1"/>
  <c r="CY137" i="1"/>
  <c r="X137" i="1" s="1"/>
  <c r="R259" i="6" s="1"/>
  <c r="O19" i="9"/>
  <c r="F27" i="8" s="1"/>
  <c r="E27" i="8"/>
  <c r="CY183" i="1"/>
  <c r="X183" i="1" s="1"/>
  <c r="R323" i="6" s="1"/>
  <c r="J327" i="6" s="1"/>
  <c r="J324" i="6"/>
  <c r="CZ183" i="1"/>
  <c r="Y183" i="1" s="1"/>
  <c r="T323" i="6" s="1"/>
  <c r="I371" i="6"/>
  <c r="I90" i="6"/>
  <c r="CY82" i="1"/>
  <c r="X82" i="1" s="1"/>
  <c r="R149" i="6" s="1"/>
  <c r="J154" i="6" s="1"/>
  <c r="J150" i="6"/>
  <c r="CZ82" i="1"/>
  <c r="Y82" i="1" s="1"/>
  <c r="T149" i="6" s="1"/>
  <c r="J155" i="6" s="1"/>
  <c r="I158" i="6" s="1"/>
  <c r="V195" i="6"/>
  <c r="J201" i="6" s="1"/>
  <c r="E20" i="8"/>
  <c r="O16" i="9"/>
  <c r="F20" i="8" s="1"/>
  <c r="R174" i="1"/>
  <c r="GK174" i="1" s="1"/>
  <c r="V276" i="6"/>
  <c r="CY32" i="1"/>
  <c r="X32" i="1" s="1"/>
  <c r="R37" i="6" s="1"/>
  <c r="J40" i="6" s="1"/>
  <c r="J38" i="6"/>
  <c r="CZ32" i="1"/>
  <c r="Y32" i="1" s="1"/>
  <c r="T37" i="6" s="1"/>
  <c r="J41" i="6" s="1"/>
  <c r="I43" i="6" s="1"/>
  <c r="E13" i="8"/>
  <c r="O10" i="9"/>
  <c r="F13" i="8" s="1"/>
  <c r="E14" i="8" s="1"/>
  <c r="Q195" i="6"/>
  <c r="M20" i="9"/>
  <c r="M23" i="9"/>
  <c r="R85" i="1"/>
  <c r="GK85" i="1" s="1"/>
  <c r="V176" i="6"/>
  <c r="T16" i="9"/>
  <c r="R184" i="1"/>
  <c r="GK184" i="1" s="1"/>
  <c r="V325" i="6"/>
  <c r="I433" i="6"/>
  <c r="J455" i="6"/>
  <c r="CY340" i="1"/>
  <c r="X340" i="1" s="1"/>
  <c r="R453" i="6" s="1"/>
  <c r="I29" i="9"/>
  <c r="D36" i="8" s="1"/>
  <c r="D97" i="7"/>
  <c r="E462" i="6"/>
  <c r="E44" i="8"/>
  <c r="O34" i="9"/>
  <c r="F44" i="8" s="1"/>
  <c r="R392" i="1"/>
  <c r="GK392" i="1" s="1"/>
  <c r="V531" i="6"/>
  <c r="AD462" i="1"/>
  <c r="CZ342" i="1"/>
  <c r="Y342" i="1" s="1"/>
  <c r="T460" i="6" s="1"/>
  <c r="CY342" i="1"/>
  <c r="X342" i="1" s="1"/>
  <c r="R460" i="6" s="1"/>
  <c r="T29" i="9"/>
  <c r="R134" i="1"/>
  <c r="GK134" i="1" s="1"/>
  <c r="V248" i="6"/>
  <c r="V341" i="6"/>
  <c r="R255" i="1"/>
  <c r="GK255" i="1" s="1"/>
  <c r="GM255" i="1" s="1"/>
  <c r="E36" i="8"/>
  <c r="T344" i="1"/>
  <c r="GK345" i="1"/>
  <c r="GM345" i="1" s="1"/>
  <c r="GP345" i="1" s="1"/>
  <c r="J471" i="6"/>
  <c r="CP79" i="1"/>
  <c r="O79" i="1" s="1"/>
  <c r="R20" i="9"/>
  <c r="S343" i="1"/>
  <c r="GK82" i="1"/>
  <c r="J152" i="6"/>
  <c r="T10" i="9"/>
  <c r="I347" i="6"/>
  <c r="Q344" i="1"/>
  <c r="T34" i="9"/>
  <c r="M35" i="9"/>
  <c r="E17" i="8"/>
  <c r="O13" i="9"/>
  <c r="F17" i="8" s="1"/>
  <c r="E22" i="8" s="1"/>
  <c r="R340" i="1"/>
  <c r="V453" i="6"/>
  <c r="J465" i="6" s="1"/>
  <c r="W344" i="1"/>
  <c r="GM84" i="1"/>
  <c r="GP84" i="1" s="1"/>
  <c r="GM132" i="1"/>
  <c r="GP132" i="1" s="1"/>
  <c r="J235" i="6"/>
  <c r="GM127" i="1"/>
  <c r="GP127" i="1" s="1"/>
  <c r="J328" i="6"/>
  <c r="R131" i="1"/>
  <c r="V230" i="6"/>
  <c r="CY37" i="1"/>
  <c r="X37" i="1" s="1"/>
  <c r="R65" i="6" s="1"/>
  <c r="J66" i="6"/>
  <c r="CZ37" i="1"/>
  <c r="Y37" i="1" s="1"/>
  <c r="T65" i="6" s="1"/>
  <c r="J72" i="6" s="1"/>
  <c r="E18" i="8"/>
  <c r="O14" i="9"/>
  <c r="F18" i="8" s="1"/>
  <c r="CP343" i="1"/>
  <c r="O343" i="1" s="1"/>
  <c r="K552" i="6"/>
  <c r="P552" i="6"/>
  <c r="GK259" i="1"/>
  <c r="GM259" i="1" s="1"/>
  <c r="GP259" i="1" s="1"/>
  <c r="J364" i="6"/>
  <c r="CP257" i="1"/>
  <c r="O257" i="1" s="1"/>
  <c r="CY460" i="1"/>
  <c r="X460" i="1" s="1"/>
  <c r="R553" i="6" s="1"/>
  <c r="CZ460" i="1"/>
  <c r="Y460" i="1" s="1"/>
  <c r="T553" i="6" s="1"/>
  <c r="CP36" i="1"/>
  <c r="O36" i="1" s="1"/>
  <c r="GM36" i="1" s="1"/>
  <c r="GP36" i="1" s="1"/>
  <c r="J60" i="6"/>
  <c r="P125" i="1"/>
  <c r="D47" i="7"/>
  <c r="E197" i="6"/>
  <c r="CP80" i="1"/>
  <c r="O80" i="1" s="1"/>
  <c r="R129" i="1"/>
  <c r="V219" i="6"/>
  <c r="J227" i="6" s="1"/>
  <c r="CP131" i="1"/>
  <c r="O131" i="1" s="1"/>
  <c r="J234" i="6"/>
  <c r="GM39" i="1"/>
  <c r="GP39" i="1" s="1"/>
  <c r="GM79" i="1"/>
  <c r="GP79" i="1" s="1"/>
  <c r="R125" i="6"/>
  <c r="J128" i="6" s="1"/>
  <c r="CP86" i="1"/>
  <c r="O86" i="1" s="1"/>
  <c r="CP81" i="1"/>
  <c r="O81" i="1" s="1"/>
  <c r="AJ140" i="1"/>
  <c r="AJ120" i="1" s="1"/>
  <c r="CY80" i="1"/>
  <c r="X80" i="1" s="1"/>
  <c r="R132" i="6" s="1"/>
  <c r="J135" i="6" s="1"/>
  <c r="I138" i="6" s="1"/>
  <c r="GM83" i="1"/>
  <c r="GP83" i="1" s="1"/>
  <c r="T176" i="6"/>
  <c r="J181" i="6" s="1"/>
  <c r="W125" i="1"/>
  <c r="GM124" i="1"/>
  <c r="GP124" i="1" s="1"/>
  <c r="R196" i="6"/>
  <c r="CP176" i="1"/>
  <c r="O176" i="1" s="1"/>
  <c r="GM176" i="1" s="1"/>
  <c r="GP176" i="1" s="1"/>
  <c r="CZ174" i="1"/>
  <c r="Y174" i="1" s="1"/>
  <c r="T276" i="6" s="1"/>
  <c r="J279" i="6" s="1"/>
  <c r="CY129" i="1"/>
  <c r="X129" i="1" s="1"/>
  <c r="R219" i="6" s="1"/>
  <c r="J225" i="6" s="1"/>
  <c r="J319" i="6"/>
  <c r="AF264" i="1"/>
  <c r="CZ260" i="1"/>
  <c r="Y260" i="1" s="1"/>
  <c r="T366" i="6" s="1"/>
  <c r="J368" i="6" s="1"/>
  <c r="GM261" i="1"/>
  <c r="GP261" i="1" s="1"/>
  <c r="R372" i="6"/>
  <c r="J375" i="6" s="1"/>
  <c r="AD264" i="1"/>
  <c r="R262" i="1"/>
  <c r="GK262" i="1" s="1"/>
  <c r="V374" i="6"/>
  <c r="CP303" i="1"/>
  <c r="O303" i="1" s="1"/>
  <c r="J436" i="6"/>
  <c r="I440" i="6" s="1"/>
  <c r="AF351" i="1"/>
  <c r="J474" i="6"/>
  <c r="I478" i="6" s="1"/>
  <c r="GM391" i="1"/>
  <c r="GP391" i="1" s="1"/>
  <c r="CP298" i="1"/>
  <c r="O298" i="1" s="1"/>
  <c r="AF306" i="1"/>
  <c r="CZ347" i="1"/>
  <c r="Y347" i="1" s="1"/>
  <c r="T479" i="6" s="1"/>
  <c r="J483" i="6" s="1"/>
  <c r="I504" i="6"/>
  <c r="CY303" i="1"/>
  <c r="X303" i="1" s="1"/>
  <c r="R434" i="6" s="1"/>
  <c r="J437" i="6" s="1"/>
  <c r="J525" i="6"/>
  <c r="I528" i="6" s="1"/>
  <c r="I81" i="6"/>
  <c r="CZ77" i="1"/>
  <c r="Y77" i="1" s="1"/>
  <c r="T105" i="6" s="1"/>
  <c r="J111" i="6" s="1"/>
  <c r="J106" i="6"/>
  <c r="CY77" i="1"/>
  <c r="X77" i="1" s="1"/>
  <c r="R105" i="6" s="1"/>
  <c r="J110" i="6" s="1"/>
  <c r="U197" i="6"/>
  <c r="J291" i="6"/>
  <c r="GK176" i="1"/>
  <c r="M19" i="9"/>
  <c r="E26" i="8"/>
  <c r="O21" i="9"/>
  <c r="F26" i="8" s="1"/>
  <c r="CP85" i="1"/>
  <c r="O85" i="1" s="1"/>
  <c r="GM85" i="1" s="1"/>
  <c r="GP85" i="1" s="1"/>
  <c r="S197" i="6"/>
  <c r="R175" i="1"/>
  <c r="GK175" i="1" s="1"/>
  <c r="V282" i="6"/>
  <c r="J299" i="6"/>
  <c r="CY177" i="1"/>
  <c r="X177" i="1" s="1"/>
  <c r="R298" i="6" s="1"/>
  <c r="J303" i="6" s="1"/>
  <c r="CZ177" i="1"/>
  <c r="Y177" i="1" s="1"/>
  <c r="T298" i="6" s="1"/>
  <c r="J304" i="6" s="1"/>
  <c r="R19" i="9"/>
  <c r="R182" i="1"/>
  <c r="GK182" i="1" s="1"/>
  <c r="V318" i="6"/>
  <c r="M10" i="9"/>
  <c r="S195" i="6"/>
  <c r="M14" i="9"/>
  <c r="O22" i="9"/>
  <c r="F28" i="8" s="1"/>
  <c r="E28" i="8"/>
  <c r="R33" i="1"/>
  <c r="GK33" i="1" s="1"/>
  <c r="V44" i="6"/>
  <c r="R16" i="9"/>
  <c r="CP342" i="1"/>
  <c r="O342" i="1" s="1"/>
  <c r="Q462" i="6"/>
  <c r="R387" i="1"/>
  <c r="GK387" i="1" s="1"/>
  <c r="V507" i="6"/>
  <c r="T35" i="9"/>
  <c r="T343" i="1"/>
  <c r="AG351" i="1" s="1"/>
  <c r="V462" i="6"/>
  <c r="R388" i="1"/>
  <c r="V512" i="6"/>
  <c r="J519" i="6" s="1"/>
  <c r="I521" i="6" s="1"/>
  <c r="R77" i="1"/>
  <c r="V105" i="6"/>
  <c r="J112" i="6" s="1"/>
  <c r="T123" i="1"/>
  <c r="J237" i="6"/>
  <c r="R301" i="1"/>
  <c r="V414" i="6"/>
  <c r="J421" i="6" s="1"/>
  <c r="M29" i="9"/>
  <c r="E37" i="8"/>
  <c r="O30" i="9"/>
  <c r="F37" i="8" s="1"/>
  <c r="O31" i="9"/>
  <c r="F39" i="8" s="1"/>
  <c r="E39" i="8"/>
  <c r="T14" i="9"/>
  <c r="J236" i="6"/>
  <c r="T20" i="9"/>
  <c r="V115" i="6"/>
  <c r="J122" i="6" s="1"/>
  <c r="R78" i="1"/>
  <c r="R86" i="1"/>
  <c r="GK86" i="1" s="1"/>
  <c r="V179" i="6"/>
  <c r="CY256" i="1"/>
  <c r="X256" i="1" s="1"/>
  <c r="R348" i="6" s="1"/>
  <c r="J350" i="6" s="1"/>
  <c r="J349" i="6"/>
  <c r="CZ256" i="1"/>
  <c r="Y256" i="1" s="1"/>
  <c r="T348" i="6" s="1"/>
  <c r="J351" i="6" s="1"/>
  <c r="I393" i="6"/>
  <c r="V461" i="6"/>
  <c r="GX344" i="1"/>
  <c r="R31" i="9"/>
  <c r="T33" i="9"/>
  <c r="E45" i="8"/>
  <c r="O35" i="9"/>
  <c r="F45" i="8" s="1"/>
  <c r="CP459" i="1"/>
  <c r="O459" i="1" s="1"/>
  <c r="AB462" i="1" s="1"/>
  <c r="I413" i="6"/>
  <c r="AD253" i="1"/>
  <c r="Q264" i="1"/>
  <c r="AF338" i="1"/>
  <c r="S351" i="1"/>
  <c r="AC253" i="1"/>
  <c r="P264" i="1"/>
  <c r="CE264" i="1"/>
  <c r="CF264" i="1"/>
  <c r="CH264" i="1"/>
  <c r="AC30" i="1"/>
  <c r="CF43" i="1"/>
  <c r="P43" i="1"/>
  <c r="CH43" i="1"/>
  <c r="CE43" i="1"/>
  <c r="CJ120" i="1"/>
  <c r="BA140" i="1"/>
  <c r="CJ30" i="1"/>
  <c r="BA43" i="1"/>
  <c r="AO75" i="1"/>
  <c r="F92" i="1"/>
  <c r="BB30" i="1"/>
  <c r="F56" i="1"/>
  <c r="BB217" i="1"/>
  <c r="CP122" i="1"/>
  <c r="O122" i="1" s="1"/>
  <c r="AC140" i="1"/>
  <c r="AF253" i="1"/>
  <c r="S264" i="1"/>
  <c r="F331" i="1"/>
  <c r="BD296" i="1"/>
  <c r="BD424" i="1"/>
  <c r="AT253" i="1"/>
  <c r="F282" i="1"/>
  <c r="BC172" i="1"/>
  <c r="F203" i="1"/>
  <c r="AX462" i="1"/>
  <c r="CG456" i="1"/>
  <c r="AG383" i="1"/>
  <c r="T394" i="1"/>
  <c r="BA383" i="1"/>
  <c r="F414" i="1"/>
  <c r="AJ30" i="1"/>
  <c r="W43" i="1"/>
  <c r="AH30" i="1"/>
  <c r="U43" i="1"/>
  <c r="AK88" i="1"/>
  <c r="BZ75" i="1"/>
  <c r="CG88" i="1"/>
  <c r="CI88" i="1"/>
  <c r="AQ88" i="1"/>
  <c r="CP126" i="1"/>
  <c r="O126" i="1" s="1"/>
  <c r="J198" i="6" s="1"/>
  <c r="AJ75" i="1"/>
  <c r="W88" i="1"/>
  <c r="BY120" i="1"/>
  <c r="AP140" i="1"/>
  <c r="AP217" i="1" s="1"/>
  <c r="CI140" i="1"/>
  <c r="AD88" i="1"/>
  <c r="CY179" i="1"/>
  <c r="X179" i="1" s="1"/>
  <c r="R310" i="6" s="1"/>
  <c r="J311" i="6" s="1"/>
  <c r="CZ179" i="1"/>
  <c r="Y179" i="1" s="1"/>
  <c r="AG75" i="1"/>
  <c r="T88" i="1"/>
  <c r="AV88" i="1"/>
  <c r="CY134" i="1"/>
  <c r="X134" i="1" s="1"/>
  <c r="R248" i="6" s="1"/>
  <c r="J252" i="6" s="1"/>
  <c r="I255" i="6" s="1"/>
  <c r="CZ134" i="1"/>
  <c r="Y134" i="1" s="1"/>
  <c r="T248" i="6" s="1"/>
  <c r="J253" i="6" s="1"/>
  <c r="AX140" i="1"/>
  <c r="CG120" i="1"/>
  <c r="BD172" i="1"/>
  <c r="F212" i="1"/>
  <c r="CP175" i="1"/>
  <c r="O175" i="1" s="1"/>
  <c r="GM180" i="1"/>
  <c r="GP180" i="1" s="1"/>
  <c r="GM184" i="1"/>
  <c r="GP184" i="1" s="1"/>
  <c r="AJ172" i="1"/>
  <c r="W187" i="1"/>
  <c r="AO253" i="1"/>
  <c r="F268" i="1"/>
  <c r="AO424" i="1"/>
  <c r="AO338" i="1"/>
  <c r="F355" i="1"/>
  <c r="AG172" i="1"/>
  <c r="T187" i="1"/>
  <c r="AS253" i="1"/>
  <c r="F281" i="1"/>
  <c r="CY349" i="1"/>
  <c r="X349" i="1" s="1"/>
  <c r="R489" i="6" s="1"/>
  <c r="J490" i="6" s="1"/>
  <c r="CZ349" i="1"/>
  <c r="Y349" i="1" s="1"/>
  <c r="T489" i="6" s="1"/>
  <c r="J491" i="6" s="1"/>
  <c r="CP387" i="1"/>
  <c r="O387" i="1" s="1"/>
  <c r="CP341" i="1"/>
  <c r="O341" i="1" s="1"/>
  <c r="F361" i="1"/>
  <c r="AQ338" i="1"/>
  <c r="F412" i="1"/>
  <c r="AT383" i="1"/>
  <c r="AQ253" i="1"/>
  <c r="AQ424" i="1"/>
  <c r="F274" i="1"/>
  <c r="AF296" i="1"/>
  <c r="S306" i="1"/>
  <c r="F419" i="1"/>
  <c r="BD383" i="1"/>
  <c r="CP385" i="1"/>
  <c r="O385" i="1" s="1"/>
  <c r="AD394" i="1"/>
  <c r="BC456" i="1"/>
  <c r="F478" i="1"/>
  <c r="F327" i="1"/>
  <c r="T296" i="1"/>
  <c r="BA462" i="1"/>
  <c r="CJ456" i="1"/>
  <c r="GM386" i="1"/>
  <c r="GP386" i="1" s="1"/>
  <c r="AS383" i="1"/>
  <c r="F411" i="1"/>
  <c r="AK462" i="1"/>
  <c r="CZ35" i="1"/>
  <c r="Y35" i="1" s="1"/>
  <c r="CY35" i="1"/>
  <c r="X35" i="1" s="1"/>
  <c r="R53" i="6" s="1"/>
  <c r="J54" i="6" s="1"/>
  <c r="AS30" i="1"/>
  <c r="F60" i="1"/>
  <c r="CJ75" i="1"/>
  <c r="BA88" i="1"/>
  <c r="AD172" i="1"/>
  <c r="Q187" i="1"/>
  <c r="AL187" i="1"/>
  <c r="CP174" i="1"/>
  <c r="O174" i="1" s="1"/>
  <c r="AC187" i="1"/>
  <c r="AP172" i="1"/>
  <c r="F196" i="1"/>
  <c r="F197" i="1"/>
  <c r="AQ172" i="1"/>
  <c r="CY341" i="1"/>
  <c r="X341" i="1" s="1"/>
  <c r="CZ341" i="1"/>
  <c r="Y341" i="1" s="1"/>
  <c r="BY338" i="1"/>
  <c r="AP351" i="1"/>
  <c r="CI351" i="1"/>
  <c r="AC383" i="1"/>
  <c r="CF394" i="1"/>
  <c r="CE394" i="1"/>
  <c r="P394" i="1"/>
  <c r="CH394" i="1"/>
  <c r="CG383" i="1"/>
  <c r="AX394" i="1"/>
  <c r="AF75" i="1"/>
  <c r="S88" i="1"/>
  <c r="AD30" i="1"/>
  <c r="Q43" i="1"/>
  <c r="AF43" i="1"/>
  <c r="AI140" i="1"/>
  <c r="CP123" i="1"/>
  <c r="O123" i="1" s="1"/>
  <c r="J195" i="6" s="1"/>
  <c r="CC120" i="1"/>
  <c r="AT140" i="1"/>
  <c r="AH75" i="1"/>
  <c r="U88" i="1"/>
  <c r="CG172" i="1"/>
  <c r="AX187" i="1"/>
  <c r="CF75" i="1"/>
  <c r="AW88" i="1"/>
  <c r="AI172" i="1"/>
  <c r="V187" i="1"/>
  <c r="GM260" i="1"/>
  <c r="GP260" i="1" s="1"/>
  <c r="CP128" i="1"/>
  <c r="O128" i="1" s="1"/>
  <c r="GM128" i="1" s="1"/>
  <c r="GP128" i="1" s="1"/>
  <c r="BA187" i="1"/>
  <c r="CJ172" i="1"/>
  <c r="AS172" i="1"/>
  <c r="F204" i="1"/>
  <c r="AJ253" i="1"/>
  <c r="W264" i="1"/>
  <c r="AP264" i="1"/>
  <c r="BY253" i="1"/>
  <c r="CI264" i="1"/>
  <c r="F369" i="1"/>
  <c r="AT338" i="1"/>
  <c r="GM181" i="1"/>
  <c r="GP181" i="1" s="1"/>
  <c r="AH296" i="1"/>
  <c r="U306" i="1"/>
  <c r="AQ296" i="1"/>
  <c r="F316" i="1"/>
  <c r="AI296" i="1"/>
  <c r="V306" i="1"/>
  <c r="BC338" i="1"/>
  <c r="F367" i="1"/>
  <c r="AH351" i="1"/>
  <c r="BB383" i="1"/>
  <c r="F407" i="1"/>
  <c r="AX338" i="1"/>
  <c r="F358" i="1"/>
  <c r="AH172" i="1"/>
  <c r="U187" i="1"/>
  <c r="CP299" i="1"/>
  <c r="O299" i="1" s="1"/>
  <c r="AC306" i="1"/>
  <c r="CG296" i="1"/>
  <c r="AX306" i="1"/>
  <c r="F403" i="1"/>
  <c r="AP383" i="1"/>
  <c r="V462" i="1"/>
  <c r="AI456" i="1"/>
  <c r="AI383" i="1"/>
  <c r="V394" i="1"/>
  <c r="F404" i="1"/>
  <c r="AQ383" i="1"/>
  <c r="S462" i="1"/>
  <c r="CI456" i="1"/>
  <c r="AZ462" i="1"/>
  <c r="T456" i="1"/>
  <c r="F483" i="1"/>
  <c r="CF462" i="1"/>
  <c r="CH462" i="1"/>
  <c r="AC456" i="1"/>
  <c r="P462" i="1"/>
  <c r="CE462" i="1"/>
  <c r="AO30" i="1"/>
  <c r="F47" i="1"/>
  <c r="AO217" i="1"/>
  <c r="CZ38" i="1"/>
  <c r="Y38" i="1" s="1"/>
  <c r="T70" i="6" s="1"/>
  <c r="CY38" i="1"/>
  <c r="X38" i="1" s="1"/>
  <c r="R70" i="6" s="1"/>
  <c r="AP30" i="1"/>
  <c r="F52" i="1"/>
  <c r="BB120" i="1"/>
  <c r="F153" i="1"/>
  <c r="P75" i="1"/>
  <c r="F91" i="1"/>
  <c r="AO120" i="1"/>
  <c r="F144" i="1"/>
  <c r="CY126" i="1"/>
  <c r="X126" i="1" s="1"/>
  <c r="R198" i="6" s="1"/>
  <c r="CZ126" i="1"/>
  <c r="Y126" i="1" s="1"/>
  <c r="T198" i="6" s="1"/>
  <c r="BB296" i="1"/>
  <c r="F319" i="1"/>
  <c r="BB424" i="1"/>
  <c r="T253" i="1"/>
  <c r="F285" i="1"/>
  <c r="CJ253" i="1"/>
  <c r="BA264" i="1"/>
  <c r="CJ296" i="1"/>
  <c r="BA306" i="1"/>
  <c r="W306" i="1"/>
  <c r="AJ296" i="1"/>
  <c r="AS462" i="1"/>
  <c r="CB456" i="1"/>
  <c r="AI30" i="1"/>
  <c r="V43" i="1"/>
  <c r="CP38" i="1"/>
  <c r="O38" i="1" s="1"/>
  <c r="AG30" i="1"/>
  <c r="T43" i="1"/>
  <c r="GK123" i="1"/>
  <c r="F61" i="1"/>
  <c r="AT30" i="1"/>
  <c r="AT217" i="1"/>
  <c r="BC75" i="1"/>
  <c r="F104" i="1"/>
  <c r="BC217" i="1"/>
  <c r="AI75" i="1"/>
  <c r="V88" i="1"/>
  <c r="CG30" i="1"/>
  <c r="AX43" i="1"/>
  <c r="CY123" i="1"/>
  <c r="X123" i="1" s="1"/>
  <c r="R195" i="6" s="1"/>
  <c r="CZ123" i="1"/>
  <c r="Y123" i="1" s="1"/>
  <c r="T195" i="6" s="1"/>
  <c r="GM34" i="1"/>
  <c r="GP34" i="1" s="1"/>
  <c r="GM40" i="1"/>
  <c r="GP40" i="1" s="1"/>
  <c r="BD30" i="1"/>
  <c r="F68" i="1"/>
  <c r="BD217" i="1"/>
  <c r="CP32" i="1"/>
  <c r="O32" i="1" s="1"/>
  <c r="S125" i="1"/>
  <c r="T125" i="1"/>
  <c r="AG140" i="1" s="1"/>
  <c r="CB75" i="1"/>
  <c r="AS88" i="1"/>
  <c r="GM80" i="1"/>
  <c r="GP80" i="1" s="1"/>
  <c r="CI30" i="1"/>
  <c r="AZ43" i="1"/>
  <c r="AK43" i="1"/>
  <c r="AQ30" i="1"/>
  <c r="F53" i="1"/>
  <c r="BD75" i="1"/>
  <c r="F113" i="1"/>
  <c r="CP134" i="1"/>
  <c r="O134" i="1" s="1"/>
  <c r="Q125" i="1"/>
  <c r="CP125" i="1" s="1"/>
  <c r="O125" i="1" s="1"/>
  <c r="J197" i="6" s="1"/>
  <c r="AT75" i="1"/>
  <c r="F106" i="1"/>
  <c r="R125" i="1"/>
  <c r="GK125" i="1" s="1"/>
  <c r="GM133" i="1"/>
  <c r="GP133" i="1" s="1"/>
  <c r="AB88" i="1"/>
  <c r="CH88" i="1"/>
  <c r="AF140" i="1"/>
  <c r="U125" i="1"/>
  <c r="AH140" i="1" s="1"/>
  <c r="CC172" i="1"/>
  <c r="AT187" i="1"/>
  <c r="BC120" i="1"/>
  <c r="F156" i="1"/>
  <c r="AF187" i="1"/>
  <c r="GM138" i="1"/>
  <c r="GP138" i="1" s="1"/>
  <c r="CI172" i="1"/>
  <c r="AZ187" i="1"/>
  <c r="AK264" i="1"/>
  <c r="CG253" i="1"/>
  <c r="AX264" i="1"/>
  <c r="CP262" i="1"/>
  <c r="O262" i="1" s="1"/>
  <c r="AS120" i="1"/>
  <c r="F157" i="1"/>
  <c r="AP296" i="1"/>
  <c r="F315" i="1"/>
  <c r="AH253" i="1"/>
  <c r="U264" i="1"/>
  <c r="CC296" i="1"/>
  <c r="AT306" i="1"/>
  <c r="AT424" i="1" s="1"/>
  <c r="GK385" i="1"/>
  <c r="GM258" i="1"/>
  <c r="GP258" i="1" s="1"/>
  <c r="AB306" i="1"/>
  <c r="F323" i="1"/>
  <c r="AS296" i="1"/>
  <c r="CI296" i="1"/>
  <c r="AZ306" i="1"/>
  <c r="CB338" i="1"/>
  <c r="AS351" i="1"/>
  <c r="CP349" i="1"/>
  <c r="O349" i="1" s="1"/>
  <c r="AQ120" i="1"/>
  <c r="F150" i="1"/>
  <c r="BC253" i="1"/>
  <c r="BC424" i="1"/>
  <c r="F280" i="1"/>
  <c r="GM178" i="1"/>
  <c r="GP178" i="1" s="1"/>
  <c r="AD306" i="1"/>
  <c r="BB338" i="1"/>
  <c r="F364" i="1"/>
  <c r="GK298" i="1"/>
  <c r="GM298" i="1" s="1"/>
  <c r="AE306" i="1"/>
  <c r="AK394" i="1"/>
  <c r="AZ394" i="1"/>
  <c r="CI383" i="1"/>
  <c r="F472" i="1"/>
  <c r="AQ456" i="1"/>
  <c r="AH383" i="1"/>
  <c r="U394" i="1"/>
  <c r="AJ456" i="1"/>
  <c r="W462" i="1"/>
  <c r="AJ383" i="1"/>
  <c r="W394" i="1"/>
  <c r="AL462" i="1"/>
  <c r="F484" i="1"/>
  <c r="U456" i="1"/>
  <c r="GM458" i="1"/>
  <c r="W351" i="1" l="1"/>
  <c r="AJ338" i="1"/>
  <c r="T351" i="1"/>
  <c r="T424" i="1" s="1"/>
  <c r="T249" i="1" s="1"/>
  <c r="AG338" i="1"/>
  <c r="P535" i="6"/>
  <c r="K535" i="6"/>
  <c r="I57" i="6"/>
  <c r="K255" i="6"/>
  <c r="P255" i="6"/>
  <c r="P521" i="6"/>
  <c r="K521" i="6"/>
  <c r="K478" i="6"/>
  <c r="P478" i="6"/>
  <c r="I229" i="6"/>
  <c r="P138" i="6"/>
  <c r="K138" i="6"/>
  <c r="I183" i="6"/>
  <c r="P148" i="6"/>
  <c r="K148" i="6"/>
  <c r="K485" i="6"/>
  <c r="P485" i="6"/>
  <c r="Q351" i="1"/>
  <c r="AD338" i="1"/>
  <c r="P440" i="6"/>
  <c r="K440" i="6"/>
  <c r="P423" i="6"/>
  <c r="K423" i="6"/>
  <c r="K528" i="6"/>
  <c r="P528" i="6"/>
  <c r="K403" i="6"/>
  <c r="P403" i="6"/>
  <c r="AI338" i="1"/>
  <c r="V351" i="1"/>
  <c r="AL43" i="1"/>
  <c r="T53" i="6"/>
  <c r="E40" i="8"/>
  <c r="GM130" i="1"/>
  <c r="GP130" i="1" s="1"/>
  <c r="J224" i="6"/>
  <c r="K281" i="6"/>
  <c r="P281" i="6"/>
  <c r="K297" i="6"/>
  <c r="P297" i="6"/>
  <c r="I263" i="6"/>
  <c r="GM256" i="1"/>
  <c r="GP256" i="1" s="1"/>
  <c r="GM459" i="1"/>
  <c r="GP459" i="1" s="1"/>
  <c r="GM349" i="1"/>
  <c r="GP349" i="1" s="1"/>
  <c r="J489" i="6"/>
  <c r="I493" i="6" s="1"/>
  <c r="AL88" i="1"/>
  <c r="AL394" i="1"/>
  <c r="R459" i="6"/>
  <c r="J463" i="6" s="1"/>
  <c r="GM175" i="1"/>
  <c r="GP175" i="1" s="1"/>
  <c r="I353" i="6"/>
  <c r="GK78" i="1"/>
  <c r="GM78" i="1" s="1"/>
  <c r="GP78" i="1" s="1"/>
  <c r="J118" i="6"/>
  <c r="J417" i="6"/>
  <c r="GK301" i="1"/>
  <c r="J108" i="6"/>
  <c r="GK77" i="1"/>
  <c r="GM77" i="1" s="1"/>
  <c r="AE88" i="1"/>
  <c r="K81" i="6"/>
  <c r="P81" i="6"/>
  <c r="GM81" i="1"/>
  <c r="GP81" i="1" s="1"/>
  <c r="J461" i="6"/>
  <c r="GM460" i="1"/>
  <c r="GP460" i="1" s="1"/>
  <c r="K433" i="6"/>
  <c r="P433" i="6"/>
  <c r="GM346" i="1"/>
  <c r="GP346" i="1" s="1"/>
  <c r="E46" i="8"/>
  <c r="CZ344" i="1"/>
  <c r="Y344" i="1" s="1"/>
  <c r="T462" i="6" s="1"/>
  <c r="CY344" i="1"/>
  <c r="X344" i="1" s="1"/>
  <c r="R462" i="6" s="1"/>
  <c r="GM82" i="1"/>
  <c r="GP82" i="1" s="1"/>
  <c r="CJ351" i="1"/>
  <c r="GM37" i="1"/>
  <c r="GP37" i="1" s="1"/>
  <c r="I558" i="6"/>
  <c r="GM33" i="1"/>
  <c r="GP33" i="1" s="1"/>
  <c r="P158" i="6"/>
  <c r="K158" i="6"/>
  <c r="AE462" i="1"/>
  <c r="J555" i="6"/>
  <c r="GK177" i="1"/>
  <c r="GM177" i="1" s="1"/>
  <c r="GP177" i="1" s="1"/>
  <c r="J301" i="6"/>
  <c r="J462" i="6"/>
  <c r="AE140" i="1"/>
  <c r="AE264" i="1"/>
  <c r="AF383" i="1"/>
  <c r="AB351" i="1"/>
  <c r="J459" i="6"/>
  <c r="AD140" i="1"/>
  <c r="AD120" i="1" s="1"/>
  <c r="W140" i="1"/>
  <c r="J460" i="6"/>
  <c r="GM342" i="1"/>
  <c r="GP342" i="1" s="1"/>
  <c r="K504" i="6"/>
  <c r="P504" i="6"/>
  <c r="GM86" i="1"/>
  <c r="GP86" i="1" s="1"/>
  <c r="J179" i="6"/>
  <c r="GK129" i="1"/>
  <c r="GM129" i="1" s="1"/>
  <c r="GP129" i="1" s="1"/>
  <c r="J222" i="6"/>
  <c r="J71" i="6"/>
  <c r="I75" i="6" s="1"/>
  <c r="GM301" i="1"/>
  <c r="GP301" i="1" s="1"/>
  <c r="GK300" i="1"/>
  <c r="GM300" i="1" s="1"/>
  <c r="GP300" i="1" s="1"/>
  <c r="J407" i="6"/>
  <c r="I287" i="6"/>
  <c r="GM347" i="1"/>
  <c r="GP347" i="1" s="1"/>
  <c r="GK299" i="1"/>
  <c r="GM299" i="1" s="1"/>
  <c r="J397" i="6"/>
  <c r="I175" i="6"/>
  <c r="GM257" i="1"/>
  <c r="GP257" i="1" s="1"/>
  <c r="R354" i="6"/>
  <c r="J357" i="6" s="1"/>
  <c r="I360" i="6" s="1"/>
  <c r="K165" i="6"/>
  <c r="P165" i="6"/>
  <c r="GK41" i="1"/>
  <c r="GM41" i="1" s="1"/>
  <c r="GP41" i="1" s="1"/>
  <c r="J94" i="6"/>
  <c r="J238" i="6"/>
  <c r="I240" i="6" s="1"/>
  <c r="T459" i="6"/>
  <c r="GM179" i="1"/>
  <c r="GP179" i="1" s="1"/>
  <c r="T310" i="6"/>
  <c r="J312" i="6" s="1"/>
  <c r="I314" i="6" s="1"/>
  <c r="J233" i="6"/>
  <c r="GK131" i="1"/>
  <c r="GM131" i="1" s="1"/>
  <c r="GP131" i="1" s="1"/>
  <c r="P43" i="6"/>
  <c r="K43" i="6"/>
  <c r="K371" i="6"/>
  <c r="P371" i="6"/>
  <c r="GK302" i="1"/>
  <c r="GM302" i="1" s="1"/>
  <c r="GP302" i="1" s="1"/>
  <c r="J427" i="6"/>
  <c r="V264" i="1"/>
  <c r="AI253" i="1"/>
  <c r="K64" i="6"/>
  <c r="P64" i="6"/>
  <c r="K99" i="6"/>
  <c r="P99" i="6"/>
  <c r="GM262" i="1"/>
  <c r="GP262" i="1" s="1"/>
  <c r="J374" i="6"/>
  <c r="I378" i="6" s="1"/>
  <c r="GM38" i="1"/>
  <c r="GP38" i="1" s="1"/>
  <c r="J70" i="6"/>
  <c r="GM392" i="1"/>
  <c r="GP392" i="1" s="1"/>
  <c r="AE394" i="1"/>
  <c r="AE187" i="1"/>
  <c r="AK306" i="1"/>
  <c r="AK296" i="1" s="1"/>
  <c r="AC351" i="1"/>
  <c r="GM387" i="1"/>
  <c r="GP387" i="1" s="1"/>
  <c r="J507" i="6"/>
  <c r="I511" i="6" s="1"/>
  <c r="AL264" i="1"/>
  <c r="AL253" i="1" s="1"/>
  <c r="AK187" i="1"/>
  <c r="AE43" i="1"/>
  <c r="GM35" i="1"/>
  <c r="GP35" i="1" s="1"/>
  <c r="P413" i="6"/>
  <c r="K413" i="6"/>
  <c r="K393" i="6"/>
  <c r="P393" i="6"/>
  <c r="J515" i="6"/>
  <c r="GK388" i="1"/>
  <c r="GM388" i="1" s="1"/>
  <c r="GP388" i="1" s="1"/>
  <c r="I307" i="6"/>
  <c r="E30" i="8"/>
  <c r="I114" i="6"/>
  <c r="GM303" i="1"/>
  <c r="GP303" i="1" s="1"/>
  <c r="I131" i="6"/>
  <c r="J457" i="6"/>
  <c r="GK340" i="1"/>
  <c r="GM340" i="1" s="1"/>
  <c r="AE351" i="1"/>
  <c r="P347" i="6"/>
  <c r="K347" i="6"/>
  <c r="CZ343" i="1"/>
  <c r="Y343" i="1" s="1"/>
  <c r="T461" i="6" s="1"/>
  <c r="CY343" i="1"/>
  <c r="X343" i="1" s="1"/>
  <c r="R461" i="6" s="1"/>
  <c r="O29" i="9"/>
  <c r="F36" i="8" s="1"/>
  <c r="AD456" i="1"/>
  <c r="Q462" i="1"/>
  <c r="K90" i="6"/>
  <c r="P90" i="6"/>
  <c r="I330" i="6"/>
  <c r="I124" i="6"/>
  <c r="AL306" i="1"/>
  <c r="GK81" i="1"/>
  <c r="J142" i="6"/>
  <c r="P211" i="6"/>
  <c r="K211" i="6"/>
  <c r="R29" i="9"/>
  <c r="I50" i="6"/>
  <c r="I322" i="6"/>
  <c r="J55" i="6"/>
  <c r="GM137" i="1"/>
  <c r="GP137" i="1" s="1"/>
  <c r="AB338" i="1"/>
  <c r="O351" i="1"/>
  <c r="GP298" i="1"/>
  <c r="AH120" i="1"/>
  <c r="U140" i="1"/>
  <c r="U217" i="1" s="1"/>
  <c r="Y43" i="1"/>
  <c r="AL30" i="1"/>
  <c r="AB296" i="1"/>
  <c r="O306" i="1"/>
  <c r="U253" i="1"/>
  <c r="F286" i="1"/>
  <c r="F198" i="1"/>
  <c r="AZ172" i="1"/>
  <c r="R187" i="1"/>
  <c r="AE172" i="1"/>
  <c r="AS75" i="1"/>
  <c r="F105" i="1"/>
  <c r="GM32" i="1"/>
  <c r="AB43" i="1"/>
  <c r="BB249" i="1"/>
  <c r="F437" i="1"/>
  <c r="GP340" i="1"/>
  <c r="AF30" i="1"/>
  <c r="S43" i="1"/>
  <c r="CI338" i="1"/>
  <c r="AZ351" i="1"/>
  <c r="GM385" i="1"/>
  <c r="AB394" i="1"/>
  <c r="AK172" i="1"/>
  <c r="X187" i="1"/>
  <c r="T75" i="1"/>
  <c r="F109" i="1"/>
  <c r="AD75" i="1"/>
  <c r="Q88" i="1"/>
  <c r="AQ75" i="1"/>
  <c r="F98" i="1"/>
  <c r="U30" i="1"/>
  <c r="F65" i="1"/>
  <c r="BA30" i="1"/>
  <c r="F63" i="1"/>
  <c r="BA217" i="1"/>
  <c r="AL456" i="1"/>
  <c r="Y462" i="1"/>
  <c r="W456" i="1"/>
  <c r="F486" i="1"/>
  <c r="F405" i="1"/>
  <c r="AZ383" i="1"/>
  <c r="AX253" i="1"/>
  <c r="F271" i="1"/>
  <c r="AX424" i="1"/>
  <c r="AQ217" i="1"/>
  <c r="AZ30" i="1"/>
  <c r="F54" i="1"/>
  <c r="BC26" i="1"/>
  <c r="F233" i="1"/>
  <c r="BC492" i="1"/>
  <c r="V30" i="1"/>
  <c r="F66" i="1"/>
  <c r="CH456" i="1"/>
  <c r="AY462" i="1"/>
  <c r="F473" i="1"/>
  <c r="AZ456" i="1"/>
  <c r="GP458" i="1"/>
  <c r="CA462" i="1"/>
  <c r="AK383" i="1"/>
  <c r="X394" i="1"/>
  <c r="AT296" i="1"/>
  <c r="F324" i="1"/>
  <c r="AF120" i="1"/>
  <c r="S140" i="1"/>
  <c r="GM134" i="1"/>
  <c r="GP134" i="1" s="1"/>
  <c r="T30" i="1"/>
  <c r="F64" i="1"/>
  <c r="AS456" i="1"/>
  <c r="F479" i="1"/>
  <c r="AP26" i="1"/>
  <c r="F226" i="1"/>
  <c r="AP492" i="1"/>
  <c r="CE456" i="1"/>
  <c r="AV462" i="1"/>
  <c r="AW462" i="1"/>
  <c r="CF456" i="1"/>
  <c r="V456" i="1"/>
  <c r="F485" i="1"/>
  <c r="U351" i="1"/>
  <c r="AH338" i="1"/>
  <c r="AP253" i="1"/>
  <c r="F273" i="1"/>
  <c r="AP424" i="1"/>
  <c r="F110" i="1"/>
  <c r="U75" i="1"/>
  <c r="GM123" i="1"/>
  <c r="GP123" i="1" s="1"/>
  <c r="AW394" i="1"/>
  <c r="CF383" i="1"/>
  <c r="Q172" i="1"/>
  <c r="F199" i="1"/>
  <c r="W383" i="1"/>
  <c r="F418" i="1"/>
  <c r="R306" i="1"/>
  <c r="AE296" i="1"/>
  <c r="F317" i="1"/>
  <c r="AZ296" i="1"/>
  <c r="R394" i="1"/>
  <c r="AE383" i="1"/>
  <c r="AB264" i="1"/>
  <c r="AK253" i="1"/>
  <c r="X264" i="1"/>
  <c r="AF172" i="1"/>
  <c r="S187" i="1"/>
  <c r="CH75" i="1"/>
  <c r="AY88" i="1"/>
  <c r="CZ125" i="1"/>
  <c r="Y125" i="1" s="1"/>
  <c r="CY125" i="1"/>
  <c r="X125" i="1" s="1"/>
  <c r="V75" i="1"/>
  <c r="F111" i="1"/>
  <c r="AL75" i="1"/>
  <c r="Y88" i="1"/>
  <c r="F284" i="1"/>
  <c r="BA253" i="1"/>
  <c r="AO26" i="1"/>
  <c r="F221" i="1"/>
  <c r="AO492" i="1"/>
  <c r="F465" i="1"/>
  <c r="P456" i="1"/>
  <c r="F477" i="1"/>
  <c r="S456" i="1"/>
  <c r="V383" i="1"/>
  <c r="F417" i="1"/>
  <c r="AX296" i="1"/>
  <c r="F313" i="1"/>
  <c r="F209" i="1"/>
  <c r="U172" i="1"/>
  <c r="V296" i="1"/>
  <c r="F329" i="1"/>
  <c r="F328" i="1"/>
  <c r="U296" i="1"/>
  <c r="F288" i="1"/>
  <c r="W253" i="1"/>
  <c r="W424" i="1"/>
  <c r="V172" i="1"/>
  <c r="F210" i="1"/>
  <c r="AX172" i="1"/>
  <c r="F194" i="1"/>
  <c r="AI120" i="1"/>
  <c r="V140" i="1"/>
  <c r="S75" i="1"/>
  <c r="F103" i="1"/>
  <c r="CH383" i="1"/>
  <c r="AY394" i="1"/>
  <c r="CF187" i="1"/>
  <c r="AC172" i="1"/>
  <c r="P187" i="1"/>
  <c r="CE187" i="1"/>
  <c r="CH187" i="1"/>
  <c r="X462" i="1"/>
  <c r="AK456" i="1"/>
  <c r="Q394" i="1"/>
  <c r="AD383" i="1"/>
  <c r="AQ249" i="1"/>
  <c r="F434" i="1"/>
  <c r="GM126" i="1"/>
  <c r="GP126" i="1" s="1"/>
  <c r="BD249" i="1"/>
  <c r="F449" i="1"/>
  <c r="BB26" i="1"/>
  <c r="F230" i="1"/>
  <c r="BB492" i="1"/>
  <c r="W338" i="1"/>
  <c r="F375" i="1"/>
  <c r="P30" i="1"/>
  <c r="F46" i="1"/>
  <c r="CF253" i="1"/>
  <c r="AW264" i="1"/>
  <c r="U383" i="1"/>
  <c r="F416" i="1"/>
  <c r="AB75" i="1"/>
  <c r="O88" i="1"/>
  <c r="AT26" i="1"/>
  <c r="F235" i="1"/>
  <c r="AT492" i="1"/>
  <c r="CI253" i="1"/>
  <c r="AZ264" i="1"/>
  <c r="BA172" i="1"/>
  <c r="F207" i="1"/>
  <c r="AT120" i="1"/>
  <c r="F158" i="1"/>
  <c r="GM174" i="1"/>
  <c r="AB187" i="1"/>
  <c r="S296" i="1"/>
  <c r="F321" i="1"/>
  <c r="CF30" i="1"/>
  <c r="AW43" i="1"/>
  <c r="CE253" i="1"/>
  <c r="AV264" i="1"/>
  <c r="AB456" i="1"/>
  <c r="O462" i="1"/>
  <c r="Y394" i="1"/>
  <c r="AL383" i="1"/>
  <c r="P306" i="1"/>
  <c r="P424" i="1" s="1"/>
  <c r="CE306" i="1"/>
  <c r="CF306" i="1"/>
  <c r="AC296" i="1"/>
  <c r="CH306" i="1"/>
  <c r="F94" i="1"/>
  <c r="AW75" i="1"/>
  <c r="Q30" i="1"/>
  <c r="F55" i="1"/>
  <c r="AX383" i="1"/>
  <c r="F401" i="1"/>
  <c r="AV394" i="1"/>
  <c r="CE383" i="1"/>
  <c r="AP338" i="1"/>
  <c r="F360" i="1"/>
  <c r="AL172" i="1"/>
  <c r="Y187" i="1"/>
  <c r="CF351" i="1"/>
  <c r="AC338" i="1"/>
  <c r="CH351" i="1"/>
  <c r="P351" i="1"/>
  <c r="CE351" i="1"/>
  <c r="S383" i="1"/>
  <c r="F409" i="1"/>
  <c r="T172" i="1"/>
  <c r="F208" i="1"/>
  <c r="AO249" i="1"/>
  <c r="F428" i="1"/>
  <c r="W172" i="1"/>
  <c r="F211" i="1"/>
  <c r="CI120" i="1"/>
  <c r="AZ140" i="1"/>
  <c r="W75" i="1"/>
  <c r="F112" i="1"/>
  <c r="CI75" i="1"/>
  <c r="AZ88" i="1"/>
  <c r="AE30" i="1"/>
  <c r="R43" i="1"/>
  <c r="AX456" i="1"/>
  <c r="F469" i="1"/>
  <c r="AC120" i="1"/>
  <c r="CE140" i="1"/>
  <c r="CF140" i="1"/>
  <c r="P140" i="1"/>
  <c r="P217" i="1" s="1"/>
  <c r="CH140" i="1"/>
  <c r="CE30" i="1"/>
  <c r="AV43" i="1"/>
  <c r="F267" i="1"/>
  <c r="P253" i="1"/>
  <c r="BC249" i="1"/>
  <c r="F440" i="1"/>
  <c r="GP255" i="1"/>
  <c r="CD264" i="1" s="1"/>
  <c r="AK30" i="1"/>
  <c r="X43" i="1"/>
  <c r="AE120" i="1"/>
  <c r="R140" i="1"/>
  <c r="W296" i="1"/>
  <c r="F330" i="1"/>
  <c r="F397" i="1"/>
  <c r="P383" i="1"/>
  <c r="F108" i="1"/>
  <c r="BA75" i="1"/>
  <c r="F482" i="1"/>
  <c r="BA456" i="1"/>
  <c r="X88" i="1"/>
  <c r="AK75" i="1"/>
  <c r="AT249" i="1"/>
  <c r="F442" i="1"/>
  <c r="BA120" i="1"/>
  <c r="F160" i="1"/>
  <c r="S338" i="1"/>
  <c r="F366" i="1"/>
  <c r="AD296" i="1"/>
  <c r="Q306" i="1"/>
  <c r="AS338" i="1"/>
  <c r="F368" i="1"/>
  <c r="V338" i="1"/>
  <c r="F374" i="1"/>
  <c r="BD26" i="1"/>
  <c r="F242" i="1"/>
  <c r="BD492" i="1"/>
  <c r="AX30" i="1"/>
  <c r="F50" i="1"/>
  <c r="BA296" i="1"/>
  <c r="F326" i="1"/>
  <c r="AT172" i="1"/>
  <c r="F205" i="1"/>
  <c r="AG120" i="1"/>
  <c r="T140" i="1"/>
  <c r="R264" i="1"/>
  <c r="AE253" i="1"/>
  <c r="AS217" i="1"/>
  <c r="V424" i="1"/>
  <c r="GM341" i="1"/>
  <c r="GP341" i="1" s="1"/>
  <c r="AS424" i="1"/>
  <c r="AX120" i="1"/>
  <c r="F147" i="1"/>
  <c r="AV75" i="1"/>
  <c r="F93" i="1"/>
  <c r="AP120" i="1"/>
  <c r="F149" i="1"/>
  <c r="AX88" i="1"/>
  <c r="CG75" i="1"/>
  <c r="W30" i="1"/>
  <c r="F67" i="1"/>
  <c r="W217" i="1"/>
  <c r="F415" i="1"/>
  <c r="T383" i="1"/>
  <c r="S253" i="1"/>
  <c r="F279" i="1"/>
  <c r="S424" i="1"/>
  <c r="GM122" i="1"/>
  <c r="AB140" i="1"/>
  <c r="CH30" i="1"/>
  <c r="AY43" i="1"/>
  <c r="W120" i="1"/>
  <c r="F164" i="1"/>
  <c r="CH253" i="1"/>
  <c r="AY264" i="1"/>
  <c r="F276" i="1"/>
  <c r="Q253" i="1"/>
  <c r="Q424" i="1"/>
  <c r="P493" i="6" l="1"/>
  <c r="K493" i="6"/>
  <c r="P314" i="6"/>
  <c r="K314" i="6"/>
  <c r="K75" i="6"/>
  <c r="P75" i="6"/>
  <c r="CA88" i="1"/>
  <c r="GP77" i="1"/>
  <c r="CD88" i="1" s="1"/>
  <c r="AU88" i="1" s="1"/>
  <c r="GP299" i="1"/>
  <c r="CA306" i="1"/>
  <c r="P240" i="6"/>
  <c r="K240" i="6"/>
  <c r="J464" i="6"/>
  <c r="I467" i="6" s="1"/>
  <c r="K229" i="6"/>
  <c r="P229" i="6"/>
  <c r="K57" i="6"/>
  <c r="P57" i="6"/>
  <c r="Y264" i="1"/>
  <c r="Q140" i="1"/>
  <c r="Q217" i="1" s="1"/>
  <c r="Q26" i="1" s="1"/>
  <c r="AK140" i="1"/>
  <c r="R197" i="6"/>
  <c r="J199" i="6" s="1"/>
  <c r="CD462" i="1"/>
  <c r="CD306" i="1"/>
  <c r="AU306" i="1" s="1"/>
  <c r="P50" i="6"/>
  <c r="K50" i="6"/>
  <c r="P330" i="6"/>
  <c r="K330" i="6"/>
  <c r="P511" i="6"/>
  <c r="K511" i="6"/>
  <c r="F287" i="1"/>
  <c r="V253" i="1"/>
  <c r="AL351" i="1"/>
  <c r="AK351" i="1"/>
  <c r="P263" i="6"/>
  <c r="K263" i="6"/>
  <c r="P322" i="6"/>
  <c r="K322" i="6"/>
  <c r="K114" i="6"/>
  <c r="P114" i="6"/>
  <c r="CJ338" i="1"/>
  <c r="BA351" i="1"/>
  <c r="K183" i="6"/>
  <c r="P183" i="6"/>
  <c r="F372" i="1"/>
  <c r="X306" i="1"/>
  <c r="AL140" i="1"/>
  <c r="T197" i="6"/>
  <c r="J200" i="6" s="1"/>
  <c r="F445" i="1"/>
  <c r="P131" i="6"/>
  <c r="K131" i="6"/>
  <c r="K307" i="6"/>
  <c r="P307" i="6"/>
  <c r="P378" i="6"/>
  <c r="K378" i="6"/>
  <c r="K175" i="6"/>
  <c r="P175" i="6"/>
  <c r="P287" i="6"/>
  <c r="I332" i="6" s="1"/>
  <c r="K287" i="6"/>
  <c r="GM343" i="1"/>
  <c r="GP343" i="1" s="1"/>
  <c r="P353" i="6"/>
  <c r="I380" i="6" s="1"/>
  <c r="K353" i="6"/>
  <c r="K124" i="6"/>
  <c r="P124" i="6"/>
  <c r="F474" i="1"/>
  <c r="Q456" i="1"/>
  <c r="K360" i="6"/>
  <c r="P360" i="6"/>
  <c r="AE456" i="1"/>
  <c r="R462" i="1"/>
  <c r="T338" i="1"/>
  <c r="CA264" i="1"/>
  <c r="Y306" i="1"/>
  <c r="AL296" i="1"/>
  <c r="AE338" i="1"/>
  <c r="R351" i="1"/>
  <c r="I101" i="6"/>
  <c r="I537" i="6"/>
  <c r="GM344" i="1"/>
  <c r="GP344" i="1" s="1"/>
  <c r="CD351" i="1" s="1"/>
  <c r="AE75" i="1"/>
  <c r="R88" i="1"/>
  <c r="I449" i="6"/>
  <c r="Q338" i="1"/>
  <c r="F363" i="1"/>
  <c r="U26" i="1"/>
  <c r="F239" i="1"/>
  <c r="U492" i="1"/>
  <c r="P26" i="1"/>
  <c r="F220" i="1"/>
  <c r="P492" i="1"/>
  <c r="P249" i="1"/>
  <c r="F427" i="1"/>
  <c r="AK120" i="1"/>
  <c r="X140" i="1"/>
  <c r="Q249" i="1"/>
  <c r="F436" i="1"/>
  <c r="GP122" i="1"/>
  <c r="AX75" i="1"/>
  <c r="F95" i="1"/>
  <c r="BD22" i="1"/>
  <c r="BD522" i="1"/>
  <c r="F517" i="1"/>
  <c r="X75" i="1"/>
  <c r="F114" i="1"/>
  <c r="CH120" i="1"/>
  <c r="AY140" i="1"/>
  <c r="P338" i="1"/>
  <c r="F354" i="1"/>
  <c r="AW30" i="1"/>
  <c r="F49" i="1"/>
  <c r="F275" i="1"/>
  <c r="AZ253" i="1"/>
  <c r="AZ424" i="1"/>
  <c r="CH172" i="1"/>
  <c r="AY187" i="1"/>
  <c r="AW187" i="1"/>
  <c r="CF172" i="1"/>
  <c r="CD456" i="1"/>
  <c r="AU462" i="1"/>
  <c r="AQ26" i="1"/>
  <c r="F227" i="1"/>
  <c r="AQ492" i="1"/>
  <c r="F489" i="1"/>
  <c r="Y456" i="1"/>
  <c r="Q75" i="1"/>
  <c r="F100" i="1"/>
  <c r="AZ338" i="1"/>
  <c r="F362" i="1"/>
  <c r="F353" i="1"/>
  <c r="O338" i="1"/>
  <c r="AX217" i="1"/>
  <c r="AS26" i="1"/>
  <c r="F234" i="1"/>
  <c r="AS492" i="1"/>
  <c r="CF120" i="1"/>
  <c r="AW140" i="1"/>
  <c r="AV253" i="1"/>
  <c r="F269" i="1"/>
  <c r="AY253" i="1"/>
  <c r="F272" i="1"/>
  <c r="AY30" i="1"/>
  <c r="F51" i="1"/>
  <c r="AY217" i="1"/>
  <c r="AB120" i="1"/>
  <c r="O140" i="1"/>
  <c r="AS249" i="1"/>
  <c r="F441" i="1"/>
  <c r="T120" i="1"/>
  <c r="F161" i="1"/>
  <c r="Q296" i="1"/>
  <c r="F318" i="1"/>
  <c r="R120" i="1"/>
  <c r="F154" i="1"/>
  <c r="AR264" i="1"/>
  <c r="CA253" i="1"/>
  <c r="CE120" i="1"/>
  <c r="AV140" i="1"/>
  <c r="AV217" i="1" s="1"/>
  <c r="R30" i="1"/>
  <c r="F57" i="1"/>
  <c r="R217" i="1"/>
  <c r="AV351" i="1"/>
  <c r="CE338" i="1"/>
  <c r="CF338" i="1"/>
  <c r="AW351" i="1"/>
  <c r="CF296" i="1"/>
  <c r="AW306" i="1"/>
  <c r="Y383" i="1"/>
  <c r="F421" i="1"/>
  <c r="GP174" i="1"/>
  <c r="CD187" i="1" s="1"/>
  <c r="CA187" i="1"/>
  <c r="F488" i="1"/>
  <c r="X456" i="1"/>
  <c r="AY383" i="1"/>
  <c r="F402" i="1"/>
  <c r="V120" i="1"/>
  <c r="F163" i="1"/>
  <c r="CD75" i="1"/>
  <c r="Y75" i="1"/>
  <c r="F115" i="1"/>
  <c r="S172" i="1"/>
  <c r="F202" i="1"/>
  <c r="AB253" i="1"/>
  <c r="O264" i="1"/>
  <c r="AW383" i="1"/>
  <c r="F400" i="1"/>
  <c r="AP249" i="1"/>
  <c r="F433" i="1"/>
  <c r="F373" i="1"/>
  <c r="U338" i="1"/>
  <c r="F468" i="1"/>
  <c r="AW456" i="1"/>
  <c r="CA456" i="1"/>
  <c r="AR462" i="1"/>
  <c r="F470" i="1"/>
  <c r="AY456" i="1"/>
  <c r="V217" i="1"/>
  <c r="GP385" i="1"/>
  <c r="CD394" i="1" s="1"/>
  <c r="CA394" i="1"/>
  <c r="GP32" i="1"/>
  <c r="CD43" i="1" s="1"/>
  <c r="CA43" i="1"/>
  <c r="R172" i="1"/>
  <c r="F201" i="1"/>
  <c r="GM125" i="1"/>
  <c r="GP125" i="1" s="1"/>
  <c r="CA296" i="1"/>
  <c r="AR306" i="1"/>
  <c r="CD253" i="1"/>
  <c r="AU264" i="1"/>
  <c r="Y172" i="1"/>
  <c r="F214" i="1"/>
  <c r="CE296" i="1"/>
  <c r="AV306" i="1"/>
  <c r="AL120" i="1"/>
  <c r="Y140" i="1"/>
  <c r="BA26" i="1"/>
  <c r="F237" i="1"/>
  <c r="U120" i="1"/>
  <c r="F162" i="1"/>
  <c r="V249" i="1"/>
  <c r="F447" i="1"/>
  <c r="F291" i="1"/>
  <c r="Y253" i="1"/>
  <c r="X30" i="1"/>
  <c r="F69" i="1"/>
  <c r="X217" i="1"/>
  <c r="P120" i="1"/>
  <c r="F143" i="1"/>
  <c r="AZ75" i="1"/>
  <c r="F99" i="1"/>
  <c r="AZ120" i="1"/>
  <c r="F151" i="1"/>
  <c r="CH338" i="1"/>
  <c r="AY351" i="1"/>
  <c r="AV383" i="1"/>
  <c r="F399" i="1"/>
  <c r="CH296" i="1"/>
  <c r="AY306" i="1"/>
  <c r="AY424" i="1" s="1"/>
  <c r="F309" i="1"/>
  <c r="P296" i="1"/>
  <c r="O75" i="1"/>
  <c r="F90" i="1"/>
  <c r="AW253" i="1"/>
  <c r="F270" i="1"/>
  <c r="AW424" i="1"/>
  <c r="Q383" i="1"/>
  <c r="F406" i="1"/>
  <c r="AV187" i="1"/>
  <c r="CE172" i="1"/>
  <c r="W249" i="1"/>
  <c r="F448" i="1"/>
  <c r="AY75" i="1"/>
  <c r="F96" i="1"/>
  <c r="X253" i="1"/>
  <c r="F290" i="1"/>
  <c r="R383" i="1"/>
  <c r="F408" i="1"/>
  <c r="R296" i="1"/>
  <c r="F320" i="1"/>
  <c r="T217" i="1"/>
  <c r="S120" i="1"/>
  <c r="F155" i="1"/>
  <c r="F420" i="1"/>
  <c r="X383" i="1"/>
  <c r="AZ217" i="1"/>
  <c r="AX249" i="1"/>
  <c r="F431" i="1"/>
  <c r="F308" i="1"/>
  <c r="O296" i="1"/>
  <c r="Q492" i="1"/>
  <c r="F464" i="1"/>
  <c r="O456" i="1"/>
  <c r="BB22" i="1"/>
  <c r="F505" i="1"/>
  <c r="BB522" i="1"/>
  <c r="X296" i="1"/>
  <c r="F332" i="1"/>
  <c r="AO22" i="1"/>
  <c r="F496" i="1"/>
  <c r="AO522" i="1"/>
  <c r="AV456" i="1"/>
  <c r="F467" i="1"/>
  <c r="X172" i="1"/>
  <c r="F213" i="1"/>
  <c r="Y30" i="1"/>
  <c r="F70" i="1"/>
  <c r="S249" i="1"/>
  <c r="F439" i="1"/>
  <c r="W26" i="1"/>
  <c r="F241" i="1"/>
  <c r="W492" i="1"/>
  <c r="R253" i="1"/>
  <c r="F278" i="1"/>
  <c r="R424" i="1"/>
  <c r="AV30" i="1"/>
  <c r="F48" i="1"/>
  <c r="AB172" i="1"/>
  <c r="O187" i="1"/>
  <c r="AT22" i="1"/>
  <c r="F510" i="1"/>
  <c r="F16" i="2" s="1"/>
  <c r="F18" i="2" s="1"/>
  <c r="AT522" i="1"/>
  <c r="F190" i="1"/>
  <c r="P172" i="1"/>
  <c r="AP22" i="1"/>
  <c r="F501" i="1"/>
  <c r="G16" i="2" s="1"/>
  <c r="G18" i="2" s="1"/>
  <c r="AP522" i="1"/>
  <c r="BC22" i="1"/>
  <c r="BC522" i="1"/>
  <c r="F508" i="1"/>
  <c r="AB383" i="1"/>
  <c r="O394" i="1"/>
  <c r="S30" i="1"/>
  <c r="F58" i="1"/>
  <c r="S217" i="1"/>
  <c r="AB30" i="1"/>
  <c r="O43" i="1"/>
  <c r="U424" i="1"/>
  <c r="CD296" i="1"/>
  <c r="P467" i="6" l="1"/>
  <c r="I495" i="6" s="1"/>
  <c r="K467" i="6"/>
  <c r="I185" i="6"/>
  <c r="F229" i="1"/>
  <c r="CA351" i="1"/>
  <c r="F152" i="1"/>
  <c r="F365" i="1"/>
  <c r="R338" i="1"/>
  <c r="I540" i="6"/>
  <c r="AR88" i="1"/>
  <c r="CA75" i="1"/>
  <c r="Y296" i="1"/>
  <c r="F333" i="1"/>
  <c r="Q120" i="1"/>
  <c r="R75" i="1"/>
  <c r="F102" i="1"/>
  <c r="F371" i="1"/>
  <c r="BA424" i="1"/>
  <c r="BA338" i="1"/>
  <c r="X351" i="1"/>
  <c r="AK338" i="1"/>
  <c r="I203" i="6"/>
  <c r="F476" i="1"/>
  <c r="R456" i="1"/>
  <c r="Y351" i="1"/>
  <c r="AL338" i="1"/>
  <c r="AY249" i="1"/>
  <c r="F432" i="1"/>
  <c r="BC18" i="1"/>
  <c r="F538" i="1"/>
  <c r="AV296" i="1"/>
  <c r="F311" i="1"/>
  <c r="F283" i="1"/>
  <c r="AU253" i="1"/>
  <c r="V26" i="1"/>
  <c r="F240" i="1"/>
  <c r="V492" i="1"/>
  <c r="AV338" i="1"/>
  <c r="F356" i="1"/>
  <c r="AX26" i="1"/>
  <c r="F224" i="1"/>
  <c r="AX492" i="1"/>
  <c r="AZ249" i="1"/>
  <c r="F435" i="1"/>
  <c r="AY120" i="1"/>
  <c r="F148" i="1"/>
  <c r="U22" i="1"/>
  <c r="U522" i="1"/>
  <c r="F514" i="1"/>
  <c r="F325" i="1"/>
  <c r="AU296" i="1"/>
  <c r="S26" i="1"/>
  <c r="F232" i="1"/>
  <c r="S492" i="1"/>
  <c r="F189" i="1"/>
  <c r="O172" i="1"/>
  <c r="AW249" i="1"/>
  <c r="F430" i="1"/>
  <c r="Y120" i="1"/>
  <c r="F167" i="1"/>
  <c r="AR394" i="1"/>
  <c r="CA383" i="1"/>
  <c r="O30" i="1"/>
  <c r="F45" i="1"/>
  <c r="O217" i="1"/>
  <c r="AT18" i="1"/>
  <c r="F540" i="1"/>
  <c r="I22" i="6" s="1"/>
  <c r="R249" i="1"/>
  <c r="F438" i="1"/>
  <c r="Y217" i="1"/>
  <c r="BB18" i="1"/>
  <c r="F535" i="1"/>
  <c r="AZ26" i="1"/>
  <c r="F228" i="1"/>
  <c r="AZ492" i="1"/>
  <c r="AV172" i="1"/>
  <c r="F192" i="1"/>
  <c r="CA30" i="1"/>
  <c r="AR43" i="1"/>
  <c r="CD383" i="1"/>
  <c r="AU394" i="1"/>
  <c r="F490" i="1"/>
  <c r="AR456" i="1"/>
  <c r="AU75" i="1"/>
  <c r="F107" i="1"/>
  <c r="CA172" i="1"/>
  <c r="AR187" i="1"/>
  <c r="AW296" i="1"/>
  <c r="F312" i="1"/>
  <c r="AR253" i="1"/>
  <c r="F292" i="1"/>
  <c r="AW120" i="1"/>
  <c r="F146" i="1"/>
  <c r="AW217" i="1"/>
  <c r="AV26" i="1"/>
  <c r="F222" i="1"/>
  <c r="Q22" i="1"/>
  <c r="F504" i="1"/>
  <c r="Q522" i="1"/>
  <c r="CD30" i="1"/>
  <c r="AU43" i="1"/>
  <c r="AY26" i="1"/>
  <c r="F225" i="1"/>
  <c r="AY492" i="1"/>
  <c r="AV424" i="1"/>
  <c r="AV492" i="1" s="1"/>
  <c r="F481" i="1"/>
  <c r="AU456" i="1"/>
  <c r="F396" i="1"/>
  <c r="O383" i="1"/>
  <c r="AY296" i="1"/>
  <c r="F314" i="1"/>
  <c r="X26" i="1"/>
  <c r="F243" i="1"/>
  <c r="CA338" i="1"/>
  <c r="AR351" i="1"/>
  <c r="AR424" i="1" s="1"/>
  <c r="O253" i="1"/>
  <c r="F266" i="1"/>
  <c r="O424" i="1"/>
  <c r="F357" i="1"/>
  <c r="AW338" i="1"/>
  <c r="R26" i="1"/>
  <c r="F231" i="1"/>
  <c r="R492" i="1"/>
  <c r="AS22" i="1"/>
  <c r="F509" i="1"/>
  <c r="E16" i="2" s="1"/>
  <c r="AS522" i="1"/>
  <c r="AQ22" i="1"/>
  <c r="AQ522" i="1"/>
  <c r="F502" i="1"/>
  <c r="AW172" i="1"/>
  <c r="F193" i="1"/>
  <c r="BD18" i="1"/>
  <c r="F547" i="1"/>
  <c r="CA140" i="1"/>
  <c r="X120" i="1"/>
  <c r="F166" i="1"/>
  <c r="P22" i="1"/>
  <c r="F495" i="1"/>
  <c r="P522" i="1"/>
  <c r="T26" i="1"/>
  <c r="F238" i="1"/>
  <c r="T492" i="1"/>
  <c r="CD172" i="1"/>
  <c r="AU187" i="1"/>
  <c r="AV120" i="1"/>
  <c r="F145" i="1"/>
  <c r="CD338" i="1"/>
  <c r="AU351" i="1"/>
  <c r="AU424" i="1" s="1"/>
  <c r="AY338" i="1"/>
  <c r="F359" i="1"/>
  <c r="U249" i="1"/>
  <c r="F446" i="1"/>
  <c r="AP18" i="1"/>
  <c r="F531" i="1"/>
  <c r="I23" i="6" s="1"/>
  <c r="W22" i="1"/>
  <c r="F516" i="1"/>
  <c r="W522" i="1"/>
  <c r="AO18" i="1"/>
  <c r="F526" i="1"/>
  <c r="AR296" i="1"/>
  <c r="F334" i="1"/>
  <c r="O120" i="1"/>
  <c r="F142" i="1"/>
  <c r="AY172" i="1"/>
  <c r="F195" i="1"/>
  <c r="CD140" i="1"/>
  <c r="P203" i="6" l="1"/>
  <c r="K203" i="6"/>
  <c r="AR75" i="1"/>
  <c r="F116" i="1"/>
  <c r="BA492" i="1"/>
  <c r="F444" i="1"/>
  <c r="BA249" i="1"/>
  <c r="X338" i="1"/>
  <c r="X424" i="1"/>
  <c r="F377" i="1"/>
  <c r="Y338" i="1"/>
  <c r="Y424" i="1"/>
  <c r="F378" i="1"/>
  <c r="AU249" i="1"/>
  <c r="F443" i="1"/>
  <c r="AR249" i="1"/>
  <c r="F452" i="1"/>
  <c r="R22" i="1"/>
  <c r="R522" i="1"/>
  <c r="F506" i="1"/>
  <c r="AY22" i="1"/>
  <c r="AY522" i="1"/>
  <c r="F500" i="1"/>
  <c r="CA120" i="1"/>
  <c r="AR140" i="1"/>
  <c r="AS18" i="1"/>
  <c r="F539" i="1"/>
  <c r="I21" i="6" s="1"/>
  <c r="O249" i="1"/>
  <c r="F426" i="1"/>
  <c r="Q18" i="1"/>
  <c r="F534" i="1"/>
  <c r="F413" i="1"/>
  <c r="AU383" i="1"/>
  <c r="Y26" i="1"/>
  <c r="F244" i="1"/>
  <c r="S22" i="1"/>
  <c r="F507" i="1"/>
  <c r="J16" i="2" s="1"/>
  <c r="J18" i="2" s="1"/>
  <c r="S522" i="1"/>
  <c r="AX22" i="1"/>
  <c r="F499" i="1"/>
  <c r="AX522" i="1"/>
  <c r="AV22" i="1"/>
  <c r="AV522" i="1"/>
  <c r="F497" i="1"/>
  <c r="CD120" i="1"/>
  <c r="AU140" i="1"/>
  <c r="T22" i="1"/>
  <c r="T522" i="1"/>
  <c r="F513" i="1"/>
  <c r="W18" i="1"/>
  <c r="F546" i="1"/>
  <c r="E18" i="2"/>
  <c r="O26" i="1"/>
  <c r="F219" i="1"/>
  <c r="O492" i="1"/>
  <c r="AR383" i="1"/>
  <c r="F422" i="1"/>
  <c r="V22" i="1"/>
  <c r="F515" i="1"/>
  <c r="V522" i="1"/>
  <c r="P18" i="1"/>
  <c r="F525" i="1"/>
  <c r="AR338" i="1"/>
  <c r="F379" i="1"/>
  <c r="AZ22" i="1"/>
  <c r="F503" i="1"/>
  <c r="AZ522" i="1"/>
  <c r="AU338" i="1"/>
  <c r="F370" i="1"/>
  <c r="F206" i="1"/>
  <c r="AU172" i="1"/>
  <c r="AQ18" i="1"/>
  <c r="F532" i="1"/>
  <c r="AV249" i="1"/>
  <c r="F429" i="1"/>
  <c r="AU30" i="1"/>
  <c r="F62" i="1"/>
  <c r="AU217" i="1"/>
  <c r="AW26" i="1"/>
  <c r="F223" i="1"/>
  <c r="AW492" i="1"/>
  <c r="AR172" i="1"/>
  <c r="F215" i="1"/>
  <c r="AR30" i="1"/>
  <c r="F71" i="1"/>
  <c r="AR217" i="1"/>
  <c r="U18" i="1"/>
  <c r="F544" i="1"/>
  <c r="Y249" i="1" l="1"/>
  <c r="F451" i="1"/>
  <c r="Y492" i="1"/>
  <c r="X249" i="1"/>
  <c r="X492" i="1"/>
  <c r="F450" i="1"/>
  <c r="BA22" i="1"/>
  <c r="F512" i="1"/>
  <c r="BA522" i="1"/>
  <c r="I335" i="6"/>
  <c r="I564" i="6"/>
  <c r="I561" i="6"/>
  <c r="I272" i="6"/>
  <c r="T18" i="1"/>
  <c r="F543" i="1"/>
  <c r="R18" i="1"/>
  <c r="F536" i="1"/>
  <c r="AZ18" i="1"/>
  <c r="F533" i="1"/>
  <c r="O22" i="1"/>
  <c r="F494" i="1"/>
  <c r="O522" i="1"/>
  <c r="AV18" i="1"/>
  <c r="F527" i="1"/>
  <c r="Y22" i="1"/>
  <c r="F519" i="1"/>
  <c r="Y522" i="1"/>
  <c r="AY18" i="1"/>
  <c r="F530" i="1"/>
  <c r="AR26" i="1"/>
  <c r="F245" i="1"/>
  <c r="AR492" i="1"/>
  <c r="AU26" i="1"/>
  <c r="F236" i="1"/>
  <c r="AU492" i="1"/>
  <c r="AU120" i="1"/>
  <c r="F159" i="1"/>
  <c r="S18" i="1"/>
  <c r="F537" i="1"/>
  <c r="I25" i="6" s="1"/>
  <c r="F168" i="1"/>
  <c r="AR120" i="1"/>
  <c r="V18" i="1"/>
  <c r="F545" i="1"/>
  <c r="AW22" i="1"/>
  <c r="AW522" i="1"/>
  <c r="F498" i="1"/>
  <c r="AX18" i="1"/>
  <c r="F529" i="1"/>
  <c r="BA18" i="1" l="1"/>
  <c r="F542" i="1"/>
  <c r="X522" i="1"/>
  <c r="F518" i="1"/>
  <c r="X22" i="1"/>
  <c r="AU22" i="1"/>
  <c r="F511" i="1"/>
  <c r="H16" i="2" s="1"/>
  <c r="AU522" i="1"/>
  <c r="Y18" i="1"/>
  <c r="F549" i="1"/>
  <c r="AW18" i="1"/>
  <c r="F528" i="1"/>
  <c r="AR22" i="1"/>
  <c r="F520" i="1"/>
  <c r="AR522" i="1"/>
  <c r="O18" i="1"/>
  <c r="F524" i="1"/>
  <c r="F548" i="1" l="1"/>
  <c r="X18" i="1"/>
  <c r="AU18" i="1"/>
  <c r="F541" i="1"/>
  <c r="I24" i="6" s="1"/>
  <c r="I20" i="6" s="1"/>
  <c r="AR18" i="1"/>
  <c r="F550" i="1"/>
  <c r="F553" i="1" s="1"/>
  <c r="I567" i="6" s="1"/>
  <c r="H18" i="2"/>
  <c r="I16" i="2"/>
  <c r="I18" i="2" s="1"/>
  <c r="F554" i="1" l="1"/>
  <c r="I568" i="6" s="1"/>
  <c r="F555" i="1" l="1"/>
  <c r="I569" i="6" s="1"/>
</calcChain>
</file>

<file path=xl/sharedStrings.xml><?xml version="1.0" encoding="utf-8"?>
<sst xmlns="http://schemas.openxmlformats.org/spreadsheetml/2006/main" count="7909" uniqueCount="788">
  <si>
    <t>Smeta.RU Flash  (495) 974-1589</t>
  </si>
  <si>
    <t>_PS_</t>
  </si>
  <si>
    <t>Smeta.RU Flash</t>
  </si>
  <si>
    <t/>
  </si>
  <si>
    <t>Новый объект</t>
  </si>
  <si>
    <t>+Текущий ремонт спортзала №1 + раздевалки по адресу: г. Москва, ул. Митинская улица, д. 48, корп. 2</t>
  </si>
  <si>
    <t>Сметные нормы списания</t>
  </si>
  <si>
    <t>Коды ОКП для СН-2012 - 2024 г. (в ценах на 01.01.2024 г)</t>
  </si>
  <si>
    <t>СН-2012 - 2024 г. (в ценах на 01.01.2024 г)_глава_1-5</t>
  </si>
  <si>
    <t>Типовой расчет для СН-2012 - 2024 г. (в ценах на 01.01.2024 г) И0</t>
  </si>
  <si>
    <t>СН-2012-2024 г. База данных "Сборник стоимостных нормативов" (в ценах на 01.01.2024 г)</t>
  </si>
  <si>
    <t>Поправки для СН-2012-2024 в ценах на 01.01.2024 г И0 (05.03.2024)</t>
  </si>
  <si>
    <t>Новая локальная смета</t>
  </si>
  <si>
    <t>Новый раздел</t>
  </si>
  <si>
    <t>1. Спортзал №1</t>
  </si>
  <si>
    <t>Новый подраздел</t>
  </si>
  <si>
    <t>1.1 Демонтажные работы</t>
  </si>
  <si>
    <t>1</t>
  </si>
  <si>
    <t>1.10-3404-4-2/1</t>
  </si>
  <si>
    <t>Разборка плинтусов поливинилхлоридных с креплением шурупами</t>
  </si>
  <si>
    <t>100 м</t>
  </si>
  <si>
    <t>СН-2012-2024.1. База. Сб.10-3404-4-2/1</t>
  </si>
  <si>
    <t>СН-2012</t>
  </si>
  <si>
    <t>Подрядные работы, гл. 1-5,7</t>
  </si>
  <si>
    <t>работа</t>
  </si>
  <si>
    <t>2</t>
  </si>
  <si>
    <t>1.13-3204-1-1/1</t>
  </si>
  <si>
    <t>Расчистка поверхностей от старых покрасок (шпателем, щетками и т.д.)</t>
  </si>
  <si>
    <t>м2</t>
  </si>
  <si>
    <t>СН-2012-2024.1. База. Сб.13-3204-1-1/1</t>
  </si>
  <si>
    <t>3</t>
  </si>
  <si>
    <t>1.17-3304-1-1/1</t>
  </si>
  <si>
    <t>Демонтаж радиатора массой до 80 кг</t>
  </si>
  <si>
    <t>100 шт.</t>
  </si>
  <si>
    <t>СН-2012-2024.1. База. Сб.17-3304-1-1/1</t>
  </si>
  <si>
    <t>4</t>
  </si>
  <si>
    <t>9999990001</t>
  </si>
  <si>
    <t>Масса мусора</t>
  </si>
  <si>
    <t>т</t>
  </si>
  <si>
    <t>5</t>
  </si>
  <si>
    <t>1.50-3203-34-1/1</t>
  </si>
  <si>
    <t>Устройство и разборка защитного ограждения лесов из сетки</t>
  </si>
  <si>
    <t>100 м2</t>
  </si>
  <si>
    <t>СН-2012-2024.1. База. Сб.50-3203-34-1/1</t>
  </si>
  <si>
    <t>6</t>
  </si>
  <si>
    <t>1.17-3204-1-4/1</t>
  </si>
  <si>
    <t>Разборка трубопроводов центрального отопления на сварке диаметром труб до 50 мм</t>
  </si>
  <si>
    <t>СН-2012-2024.1. База. Сб.17-3204-1-4/1</t>
  </si>
  <si>
    <t>7</t>
  </si>
  <si>
    <t>8</t>
  </si>
  <si>
    <t>Вынос и занос мебели, в том числе спортивных снарядов массой до 50 кг</t>
  </si>
  <si>
    <t>шт.</t>
  </si>
  <si>
    <t>СН-2012-2024.1. База. Сб.26-3105-1-1/1</t>
  </si>
  <si>
    <t>9</t>
  </si>
  <si>
    <t>1.50-3203-37-1/1</t>
  </si>
  <si>
    <t>Монтаж мелких конструкций из стали различного профиля массой до 20 кг</t>
  </si>
  <si>
    <t>СН-2012-2024.1. База. Сб.50-3203-37-1/1</t>
  </si>
  <si>
    <t>)*0</t>
  </si>
  <si>
    <t>)*0,2</t>
  </si>
  <si>
    <t>Поправка: СН-2012 О.П. п.22</t>
  </si>
  <si>
    <t>10</t>
  </si>
  <si>
    <t>1.50-3204-4-1/1</t>
  </si>
  <si>
    <t>Пробивка отбойным молотком сквозных отверстий в бетонных стенах и фундаментах толщиной 0,4 м для трубопроводов диаметром 100 мм</t>
  </si>
  <si>
    <t>СН-2012-2024.1. База. Сб.50-3204-4-1/1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</si>
  <si>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</si>
  <si>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</si>
  <si>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</si>
  <si>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</si>
  <si>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</si>
  <si>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</si>
  <si>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</si>
  <si>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</si>
  <si>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</si>
  <si>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</si>
  <si>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</si>
  <si>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</si>
  <si>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</si>
  <si>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</si>
  <si>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</si>
  <si>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</si>
  <si>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</si>
  <si>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</si>
  <si>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</si>
  <si>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</si>
  <si>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</si>
  <si>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</si>
  <si>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</si>
  <si>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</si>
  <si>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</si>
  <si>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</si>
  <si>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</si>
  <si>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</si>
  <si>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</si>
  <si>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</si>
  <si>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</si>
  <si>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</si>
  <si>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</si>
  <si>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</si>
  <si>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</si>
  <si>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</si>
  <si>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</si>
  <si>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</si>
  <si>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</si>
  <si>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</si>
  <si>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</si>
  <si>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</si>
  <si>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</si>
  <si>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</si>
  <si>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</si>
  <si>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</si>
  <si>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</si>
  <si>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</si>
  <si>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</si>
  <si>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</si>
  <si>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</si>
  <si>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</si>
  <si>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</si>
  <si>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</si>
  <si>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1.2 Ремонтно-строительные работы</t>
  </si>
  <si>
    <t>11</t>
  </si>
  <si>
    <t>1.13-3103-1-1/1</t>
  </si>
  <si>
    <t>Простая штукатурка поверхностей стен по камню и бетону известковым раствором</t>
  </si>
  <si>
    <t>СН-2012-2024.1. База. Сб.13-3103-1-1/1</t>
  </si>
  <si>
    <t>12</t>
  </si>
  <si>
    <t>1.13-3703-1-1/1</t>
  </si>
  <si>
    <t>Обработка поверхностей стен грунтовкой глубокого проникновения внутри помещения</t>
  </si>
  <si>
    <t>СН-2012-2024.1. База. Сб.13-3703-1-1/1</t>
  </si>
  <si>
    <t>13</t>
  </si>
  <si>
    <t>1.13-3203-26-3/3</t>
  </si>
  <si>
    <t>Улучшенная окраска стен внутри помещений водно-дисперсионными акриловыми красками - краска моющаяся типа ВД-АК-210</t>
  </si>
  <si>
    <t>СН-2012-2024.1. База. Сб.13-3203-26-3/3</t>
  </si>
  <si>
    <t>14</t>
  </si>
  <si>
    <t>1.50-3203-33-1/1</t>
  </si>
  <si>
    <t>Установка и разборка инвентарных лесов внутренних трубчатых при высоте помещений до 6 м (без затрат по эксплуатации лесов)</t>
  </si>
  <si>
    <t>СН-2012-2024.1. База. Сб.50-3203-33-1/1</t>
  </si>
  <si>
    <t>15</t>
  </si>
  <si>
    <t>1.13-3103-1-2/1</t>
  </si>
  <si>
    <t>Простая штукатурка поверхностей потолков по камню и бетону известковым раствором</t>
  </si>
  <si>
    <t>СН-2012-2024.1. База. Сб.13-3103-1-2/1</t>
  </si>
  <si>
    <t>16</t>
  </si>
  <si>
    <t>1.13-3703-1-2/1</t>
  </si>
  <si>
    <t>Обработка поверхностей потолков грунтовкой глубокого проникновения внутри помещения</t>
  </si>
  <si>
    <t>СН-2012-2024.1. База. Сб.13-3703-1-2/1</t>
  </si>
  <si>
    <t>17</t>
  </si>
  <si>
    <t>1.13-3203-26-4/3</t>
  </si>
  <si>
    <t>Улучшенная окраска потолков внутри помещений водно-дисперсионными акриловыми красками - краска моющаяся типа ВД-АК-210</t>
  </si>
  <si>
    <t>СН-2012-2024.1. База. Сб.13-3203-26-4/3</t>
  </si>
  <si>
    <t>18</t>
  </si>
  <si>
    <t>1.10-3803-1-11/1</t>
  </si>
  <si>
    <t>Устройство плинтусов - поливинилхлоридных на винтах самонарезающих с креплением через защёлку / с мягким краем, размеры 50-62х21 мм</t>
  </si>
  <si>
    <t>СН-2012-2024.1. База. Сб.10-3803-1-11/1</t>
  </si>
  <si>
    <t>19</t>
  </si>
  <si>
    <t>1.26-3103-3-1/2</t>
  </si>
  <si>
    <t>Установка штучных изделий столов, шкафов под мойки, холодильных шкафов и др. (без стоимости изделий)</t>
  </si>
  <si>
    <t>СН-2012-2024.1. База. Сб.26-3103-3-1/2</t>
  </si>
  <si>
    <t>20</t>
  </si>
  <si>
    <t>Цена поставщика</t>
  </si>
  <si>
    <t>Шведская стенка деревянная с турником 1x3 м</t>
  </si>
  <si>
    <t>1.3 Сантехнические работы</t>
  </si>
  <si>
    <t>21</t>
  </si>
  <si>
    <t>1.17-3303-1-2/5</t>
  </si>
  <si>
    <t>Установка радиаторов биметаллических "Рифар" / 10 секций, размеры 261х100х800 мм, теплоотдача 1010 Вт</t>
  </si>
  <si>
    <t>100 квт</t>
  </si>
  <si>
    <t>СН-2012-2024.1. База. Сб.17-3303-1-2/5</t>
  </si>
  <si>
    <t>22</t>
  </si>
  <si>
    <t>21.18-4-174</t>
  </si>
  <si>
    <t>Радиаторы биметаллические секционные "Рифар", межосевое расстояние 200 мм, 10 секций, размеры 261х100х800 мм, теплоотдача 1010 Вт</t>
  </si>
  <si>
    <t>СН-2012-2024.21. База. Р.18, о.4, поз.174</t>
  </si>
  <si>
    <t>23</t>
  </si>
  <si>
    <t>Радиатор Rifar Monolit 500/100 биметалл 10 секций</t>
  </si>
  <si>
    <t>24</t>
  </si>
  <si>
    <t>21.12-10-20</t>
  </si>
  <si>
    <t>Кронштейны для крепления отопительных приборов, марка КР1-РС</t>
  </si>
  <si>
    <t>компл.</t>
  </si>
  <si>
    <t>СН-2012-2024.21. База. Р.12, о.10, поз.20</t>
  </si>
  <si>
    <t>25</t>
  </si>
  <si>
    <t>21.12-10-45</t>
  </si>
  <si>
    <t>Кронштейны для крепления отопительных приборов, марка КРД, длина 131 мм</t>
  </si>
  <si>
    <t>СН-2012-2024.21. База. Р.12, о.10, поз.45</t>
  </si>
  <si>
    <t>26</t>
  </si>
  <si>
    <t>1.17-3303-4-1/1</t>
  </si>
  <si>
    <t>Установка терморегулирующих клапанов на отопительных приборах</t>
  </si>
  <si>
    <t>СН-2012-2024.1. База. Сб.17-3303-4-1/1</t>
  </si>
  <si>
    <t>27</t>
  </si>
  <si>
    <t>1.13-3203-18-4/1</t>
  </si>
  <si>
    <t>Окраска суриком металлических решеток, переплетов, радиаторов, труб диаметром менее 50 мм и т.п. за два раза</t>
  </si>
  <si>
    <t>СН-2012-2024.1. База. Сб.13-3203-18-4/1</t>
  </si>
  <si>
    <t>28</t>
  </si>
  <si>
    <t>1.17-3203-1-2/1</t>
  </si>
  <si>
    <t>Прокладка трубопроводов отопления из стальных водогазопроводных неоцинкованных труб диаметром 20 мм (без стоимости арматуры и креплений)</t>
  </si>
  <si>
    <t>СН-2012-2024.1. База. Сб.17-3203-1-2/1</t>
  </si>
  <si>
    <t>29</t>
  </si>
  <si>
    <t>21.3-4-19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</si>
  <si>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20-22 мм</t>
  </si>
  <si>
    <t>СН-2012-2024.21. База. Р.3, о.4, поз.19</t>
  </si>
  <si>
    <t>30</t>
  </si>
  <si>
    <t>1.17-3203-1-3/1</t>
  </si>
  <si>
    <t>Прокладка трубопроводов отопления из стальных водогазопроводных неоцинкованных труб диаметром 25 мм (без стоимости арматуры и креплений)</t>
  </si>
  <si>
    <t>СН-2012-2024.1. База. Сб.17-3203-1-3/1</t>
  </si>
  <si>
    <t>31</t>
  </si>
  <si>
    <t>32</t>
  </si>
  <si>
    <t>1.17-3205-2-1/1</t>
  </si>
  <si>
    <t>Гидравлическое испытание трубопроводов систем отопления диаметром до 50 мм</t>
  </si>
  <si>
    <t>СН-2012-2024.1. База. Сб.17-3205-2-1/1</t>
  </si>
  <si>
    <t>33</t>
  </si>
  <si>
    <t>1.15-3203-5-2/1</t>
  </si>
  <si>
    <t>Установка муфтовой арматуры диаметром 20 мм (без стоимости арматуры)</t>
  </si>
  <si>
    <t>10 шт.</t>
  </si>
  <si>
    <t>СН-2012-2024.1. База. Сб.15-3203-5-2/1</t>
  </si>
  <si>
    <t>34</t>
  </si>
  <si>
    <t>Кран шаровой Ду 20 Бугатти</t>
  </si>
  <si>
    <t>35</t>
  </si>
  <si>
    <t>1.15-3203-5-3/1</t>
  </si>
  <si>
    <t>Установка муфтовой арматуры диаметром 25 мм (без стоимости арматуры)</t>
  </si>
  <si>
    <t>СН-2012-2024.1. База. Сб.15-3203-5-3/1</t>
  </si>
  <si>
    <t>36</t>
  </si>
  <si>
    <t>Кран шаровой Ду 25 Бугатти</t>
  </si>
  <si>
    <t>37</t>
  </si>
  <si>
    <t>1.50-3201-2-3/1</t>
  </si>
  <si>
    <t>Заделка отверстий в бетонных перекрытиях в местах прохода трубопроводов</t>
  </si>
  <si>
    <t>СН-2012-2024.1. База. Сб.50-3201-2-3/1</t>
  </si>
  <si>
    <t>1.4 Электромонтажные работы</t>
  </si>
  <si>
    <t>38</t>
  </si>
  <si>
    <t>1.20-3104-1-4/1</t>
  </si>
  <si>
    <t>Демонтаж осветительных приборов - светильник для люминесцентных ламп</t>
  </si>
  <si>
    <t>СН-2012-2024.1. База. Сб.20-3104-1-4/1</t>
  </si>
  <si>
    <t>39</t>
  </si>
  <si>
    <t>1.21-3104-6-1/1</t>
  </si>
  <si>
    <t>Демонтаж кабеля</t>
  </si>
  <si>
    <t>СН-2012-2024.1. База. Сб.21-3104-6-1/1</t>
  </si>
  <si>
    <t>40</t>
  </si>
  <si>
    <t>1.21-3103-31-2/1</t>
  </si>
  <si>
    <t>Прокладка пластикового кабель-канала по бетонному основанию / сечение 20х12,5 мм</t>
  </si>
  <si>
    <t>СН-2012-2024.1. База. Сб.21-3103-31-2/1</t>
  </si>
  <si>
    <t>41</t>
  </si>
  <si>
    <t>1.21-3103-33-2/1</t>
  </si>
  <si>
    <t>Прокладка труб гофрированных поливинилхлоридных наружным диаметром 20 мм открыто по стенам и потолкам с установкой соединительных коробок</t>
  </si>
  <si>
    <t>СН-2012-2024.1. База. Сб.21-3103-33-2/1</t>
  </si>
  <si>
    <t>42</t>
  </si>
  <si>
    <t>1.21-3103-21-2/1</t>
  </si>
  <si>
    <t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6 мм2 (без стоимости материалов)</t>
  </si>
  <si>
    <t>СН-2012-2024.1. База. Сб.21-3103-21-2/1</t>
  </si>
  <si>
    <t>43</t>
  </si>
  <si>
    <t>21.23-8-269</t>
  </si>
  <si>
    <t>Кабели силовые, с медными жилами, с изоляц. и оболоч.из ПВХ пластиката пониж.пожар.опасности, не распростр.горение, с пониж.дымо- и газовыделением и с низк.токсич-тью продуктов горения, напряж.1000 В, марка ВВГнг(А)-LSLTx, число жил и сечение, мм2: 3х1,5</t>
  </si>
  <si>
    <t>км</t>
  </si>
  <si>
    <t>СН-2012-2024.21. База. Р.23, о.8, поз.269</t>
  </si>
  <si>
    <t>44</t>
  </si>
  <si>
    <t>1.21-3102-8-2/1</t>
  </si>
  <si>
    <t>Замена электроустановочных изделий, открытая проводка, выключатель, розетка (без стоимости материалов)</t>
  </si>
  <si>
    <t>СН-2012-2024.1. База. Сб.21-3102-8-2/1</t>
  </si>
  <si>
    <t>45</t>
  </si>
  <si>
    <t>21.21-5-24</t>
  </si>
  <si>
    <t>Выключатели, серия "Прима", напряжение 250 В, сила тока 6 А, тип: А16-051, одноклавишный, открытой установки</t>
  </si>
  <si>
    <t>СН-2012-2024.21. База. Р.21, о.5, поз.24</t>
  </si>
  <si>
    <t>46</t>
  </si>
  <si>
    <t>21.21-5-25</t>
  </si>
  <si>
    <t>Выключатели серии "Прима", напряжение 250 В, сила тока 6 А, открытой установки двухклавишные, тип А56-029</t>
  </si>
  <si>
    <t>СН-2012-2024.21. База. Р.21, о.5, поз.25</t>
  </si>
  <si>
    <t>47</t>
  </si>
  <si>
    <t>1.20-3103-4-3/1</t>
  </si>
  <si>
    <t>Установка светильников с люминесцентными лампами, отдельно устанавливаемых на штырях с количеством ламп в светильнике до 4 (без стоимости материалов)</t>
  </si>
  <si>
    <t>СН-2012-2024.1. База. Сб.20-3103-4-3/1</t>
  </si>
  <si>
    <t>48</t>
  </si>
  <si>
    <t>Светильник светодиодный Geniled ЛПО 1200х180х40мм 40Вт 4000К Опал</t>
  </si>
  <si>
    <t>49</t>
  </si>
  <si>
    <t>Светильник светодиодный Geniled ЛПО 1200х180х40мм 40Вт 4000К Опал БАП</t>
  </si>
  <si>
    <t>2. Тренерская</t>
  </si>
  <si>
    <t>2.1 Тренерская</t>
  </si>
  <si>
    <t>50</t>
  </si>
  <si>
    <t>51</t>
  </si>
  <si>
    <t>52</t>
  </si>
  <si>
    <t>53</t>
  </si>
  <si>
    <t>54</t>
  </si>
  <si>
    <t>55</t>
  </si>
  <si>
    <t>56</t>
  </si>
  <si>
    <t>1.10-3504-1-1/1</t>
  </si>
  <si>
    <t>Разборка покрытий из линолеума и релина</t>
  </si>
  <si>
    <t>СН-2012-2024.1. База. Сб.10-3504-1-1/1</t>
  </si>
  <si>
    <t>57</t>
  </si>
  <si>
    <t>2.2 Ремонтно-строительные работы</t>
  </si>
  <si>
    <t>58</t>
  </si>
  <si>
    <t>1.13-3603-30-1/1</t>
  </si>
  <si>
    <t>Монтаж потолка кассетного типа на металлическом каркасе - размер алюминиевых кассет 595 х 595 мм, при площади помещения до 100 м2, с установкой направляющих и креплением подвесок дюбель-гвоздями</t>
  </si>
  <si>
    <t>СН-2012-2024.1. База. Сб.13-3603-30-1/1</t>
  </si>
  <si>
    <t>59</t>
  </si>
  <si>
    <t>1.10-3103-2-11/1</t>
  </si>
  <si>
    <t>Устройство самовыравнивающихся стяжек из специализированных сухих смесей толщиной 5 мм</t>
  </si>
  <si>
    <t>СН-2012-2024.1. База. Сб.10-3103-2-11/1</t>
  </si>
  <si>
    <t>60</t>
  </si>
  <si>
    <t>1.10-3103-2-12/1</t>
  </si>
  <si>
    <t>Добавляется или исключается на каждый 1 мм изменения толщины стяжки к поз.10-3103-2-11</t>
  </si>
  <si>
    <t>СН-2012-2024.1. База. Сб.10-3103-2-12/1</t>
  </si>
  <si>
    <t>)*5</t>
  </si>
  <si>
    <t>61</t>
  </si>
  <si>
    <t>1.10-3703-3-1/2</t>
  </si>
  <si>
    <t>Устройство полов из крупноразмерных керамогранитных плиток на клее из сухих смесей толщиной клеевого слоя 4 мм с затиркой швов / смеси для плиточных работ водостойкие, суперэластичные</t>
  </si>
  <si>
    <t>СН-2012-2024.1. База. Сб.10-3703-3-1/2</t>
  </si>
  <si>
    <t>62</t>
  </si>
  <si>
    <t>1.10-3803-1-7/1</t>
  </si>
  <si>
    <t>Устройство плинтусов из крупноразмерной плитки типа "керамогранит"</t>
  </si>
  <si>
    <t>СН-2012-2024.1. База. Сб.10-3803-1-7/1</t>
  </si>
  <si>
    <t>63</t>
  </si>
  <si>
    <t>1.13-3303-5-1/1</t>
  </si>
  <si>
    <t>Настенное покрытие стеклообоями с окраской поливинилацетатными красками за один раз с подготовкой / обои стеклотканевые под покраску для стен и потолков, однослойные</t>
  </si>
  <si>
    <t>СН-2012-2024.1. База. Сб.13-3303-5-1/1</t>
  </si>
  <si>
    <t>64</t>
  </si>
  <si>
    <t>1.13-3303-5-3/1</t>
  </si>
  <si>
    <t>Добавляется на окраску поливинилацетатными красками стеклообоев на каждый последующий слой к поз. 13-3303-5-1, 13-3303-5-2</t>
  </si>
  <si>
    <t>СН-2012-2024.1. База. Сб.13-3303-5-3/1</t>
  </si>
  <si>
    <t>2.3 Сантехнические работы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</si>
  <si>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</si>
  <si>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</si>
  <si>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</si>
  <si>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</si>
  <si>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</si>
  <si>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</si>
  <si>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</si>
  <si>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</si>
  <si>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</si>
  <si>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</si>
  <si>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2.4 Электромонтажные работы</t>
  </si>
  <si>
    <t>75</t>
  </si>
  <si>
    <t>76</t>
  </si>
  <si>
    <t>77</t>
  </si>
  <si>
    <t>78</t>
  </si>
  <si>
    <t>79</t>
  </si>
  <si>
    <t>80</t>
  </si>
  <si>
    <t>81</t>
  </si>
  <si>
    <t>82</t>
  </si>
  <si>
    <t>Светильник GENILED офис, потребляемая мощность 40 Вт, световой поток 4000 Лм, цветовая температура 5000 К, степень защиты IP20, габаритные размеры 595х595х20 мм</t>
  </si>
  <si>
    <t>3. Вывоз мусора</t>
  </si>
  <si>
    <t>83</t>
  </si>
  <si>
    <t>1.49-9101-7-1/1</t>
  </si>
  <si>
    <t>Механизированная погрузка строительного мусора в автомобили-самосвалы</t>
  </si>
  <si>
    <t>СН-2012-2024.1. База. Сб.49-9101-7-1/1</t>
  </si>
  <si>
    <t>84</t>
  </si>
  <si>
    <t>1.49-9201-1-2/1</t>
  </si>
  <si>
    <t>Перевозка строительного мусора автосамосвалами грузоподъемностью до 10 т на расстояние 1 км - при механизированной погрузке</t>
  </si>
  <si>
    <t>СН-2012-2024.1. База. Сб.49-9201-1-2/1</t>
  </si>
  <si>
    <t>Подрядные работы, гл. 1 перевозка мусора</t>
  </si>
  <si>
    <t>85</t>
  </si>
  <si>
    <t>1.49-9201-1-3/1</t>
  </si>
  <si>
    <t>Перевозка строительного мусора автосамосвалами грузоподъемностью до 10 т - добавляется на каждый последующий 1 км до 100 км</t>
  </si>
  <si>
    <t>СН-2012-2024.1. База. Сб.49-9201-1-3/1</t>
  </si>
  <si>
    <t>)*42</t>
  </si>
  <si>
    <t>Возврат металла тип 12А (0,1816+0,13744+0,02606)*9520</t>
  </si>
  <si>
    <t>Возврат металла тип 17А (2,08+0,16)*9520</t>
  </si>
  <si>
    <t>Итого</t>
  </si>
  <si>
    <t>НДС 20%</t>
  </si>
  <si>
    <t>111</t>
  </si>
  <si>
    <t>Новая переменная</t>
  </si>
  <si>
    <t>Hпотолка</t>
  </si>
  <si>
    <t>Sжил</t>
  </si>
  <si>
    <t>Sкухня</t>
  </si>
  <si>
    <t>Sобщ</t>
  </si>
  <si>
    <t>ОбработкаПотолокКладовка</t>
  </si>
  <si>
    <t>ОбработкаПотолокКоридор</t>
  </si>
  <si>
    <t>ОбработкаСтеныКоридор</t>
  </si>
  <si>
    <t>ОбработкСтеныКладовка</t>
  </si>
  <si>
    <t>Переменная</t>
  </si>
  <si>
    <t>Переменная1</t>
  </si>
  <si>
    <t>Переменная_1</t>
  </si>
  <si>
    <t>Переменная_2</t>
  </si>
  <si>
    <t>Переменная_3</t>
  </si>
  <si>
    <t>ПлощадьПотолокКладовка</t>
  </si>
  <si>
    <t>ПлощадьПотолокКоридор</t>
  </si>
  <si>
    <t>ПлощадьСтеныКладовка</t>
  </si>
  <si>
    <t>ПлощадьСтеныКоридор</t>
  </si>
  <si>
    <t>Сетка_50х50х4</t>
  </si>
  <si>
    <t>Вес 1м2 в кг</t>
  </si>
  <si>
    <t>уголок_50х50х5</t>
  </si>
  <si>
    <t>Вес 1м.пог. в кг</t>
  </si>
  <si>
    <t>Уровень цен на 01.01.2024 г</t>
  </si>
  <si>
    <t>_OBSM_</t>
  </si>
  <si>
    <t>9999990008</t>
  </si>
  <si>
    <t>Трудозатраты рабочих</t>
  </si>
  <si>
    <t>чел.-ч.</t>
  </si>
  <si>
    <t>22.1-30-56</t>
  </si>
  <si>
    <t>СН-2012-2024.22. База. п.1-30-56 (309101)</t>
  </si>
  <si>
    <t>Шуруповерты</t>
  </si>
  <si>
    <t>маш.-ч</t>
  </si>
  <si>
    <t>21.1-10-12</t>
  </si>
  <si>
    <t>СН-2012-2024.21. База. Р.1, о.10, поз.12</t>
  </si>
  <si>
    <t>Проволока стальная вязальная</t>
  </si>
  <si>
    <t>21.1-25-672</t>
  </si>
  <si>
    <t>СН-2012-2024.21. База. Р.1, о.25, поз.672</t>
  </si>
  <si>
    <t>Сетка полимерная для строительства, защитная</t>
  </si>
  <si>
    <t>22.1-13-16</t>
  </si>
  <si>
    <t>СН-2012-2024.22. База. п.1-13-16 (136301)</t>
  </si>
  <si>
    <t>Аппараты для газовой сварки и резки</t>
  </si>
  <si>
    <t>21.1-4-10</t>
  </si>
  <si>
    <t>СН-2012-2024.21. База. Р.1, о.4, поз.10</t>
  </si>
  <si>
    <t>Кислород технический газообразный</t>
  </si>
  <si>
    <t>м3</t>
  </si>
  <si>
    <t>21.1-4-2</t>
  </si>
  <si>
    <t>СН-2012-2024.21. База. Р.1, о.4, поз.2</t>
  </si>
  <si>
    <t>Ацетилен технический</t>
  </si>
  <si>
    <t>22.1-4-31</t>
  </si>
  <si>
    <t>СН-2012-2024.22. База. п.1-4-31 (042903)</t>
  </si>
  <si>
    <t>Лебедки электрические, грузоподъемность до 1,5 т</t>
  </si>
  <si>
    <t>21.1-11-21</t>
  </si>
  <si>
    <t>СН-2012-2024.21. База. Р.1, о.11, поз.21</t>
  </si>
  <si>
    <t>Болты строительные черные с гайками и шайбами (10х100мм)</t>
  </si>
  <si>
    <t>21.1-23-9</t>
  </si>
  <si>
    <t>СН-2012-2024.21. База. Р.1, о.23, поз.9</t>
  </si>
  <si>
    <t>Электроды, тип Э-42, 46, 50, диаметр 4 - 6 мм</t>
  </si>
  <si>
    <t>21.6-1-49</t>
  </si>
  <si>
    <t>СН-2012-2024.21. База. Р.6, о.1, поз.49</t>
  </si>
  <si>
    <t>Отдельные конструктивные элементы с преобладанием горячекатаных профилей, средняя масса сборочной единицы до 0,05 т</t>
  </si>
  <si>
    <t>22.1-10-4</t>
  </si>
  <si>
    <t>СН-2012-2024.22. База. п.1-10-4 (101001)</t>
  </si>
  <si>
    <t>Компрессоры с дизельным двигателем прицепные до 2,5 м3/мин</t>
  </si>
  <si>
    <t>22.1-30-54</t>
  </si>
  <si>
    <t>СН-2012-2024.22. База. п.1-30-54 (308901)</t>
  </si>
  <si>
    <t>Молотки отбойные</t>
  </si>
  <si>
    <t>22.1-6-33</t>
  </si>
  <si>
    <t>СН-2012-2024.22. База. п.1-6-33 (067501)</t>
  </si>
  <si>
    <t>Растворонасосы, производительность до 1 м3/ч</t>
  </si>
  <si>
    <t>21.1-25-13</t>
  </si>
  <si>
    <t>СН-2012-2024.21. База. Р.1, о.25, поз.13</t>
  </si>
  <si>
    <t>Вода</t>
  </si>
  <si>
    <t>21.1-25-335</t>
  </si>
  <si>
    <t>СН-2012-2024.21. База. Р.1, о.25, поз.335</t>
  </si>
  <si>
    <t>Сетка проволочная штукатурная тканая, квадрат 5х5 мм, толщина 1,6 мм</t>
  </si>
  <si>
    <t>21.3-2-10</t>
  </si>
  <si>
    <t>СН-2012-2024.21. База. Р.3, о.2, поз.10</t>
  </si>
  <si>
    <t>Растворы цементно-известковые, марка 75</t>
  </si>
  <si>
    <t>21.3-2-3</t>
  </si>
  <si>
    <t>СН-2012-2024.21. База. Р.3, о.2, поз.3</t>
  </si>
  <si>
    <t>Раствор известковый, марка 4</t>
  </si>
  <si>
    <t>21.3-2-92</t>
  </si>
  <si>
    <t>СН-2012-2024.21. База. Р.3, о.2, поз.92</t>
  </si>
  <si>
    <t>Смеси сухие штукатурные известковые для внутренних работ, В2 (М25), крупность заполнителя не более 0,5 мм</t>
  </si>
  <si>
    <t>21.3-2-97</t>
  </si>
  <si>
    <t>СН-2012-2024.21. База. Р.3, о.2, поз.97</t>
  </si>
  <si>
    <t>Смеси сухие штукатурные цементно-известковые для внутренних и наружных работ, для машинного и ручного нанесения, марка 75</t>
  </si>
  <si>
    <t>22.1-30-90</t>
  </si>
  <si>
    <t>СН-2012-2024.22. База. п.1-30-90 (302501)</t>
  </si>
  <si>
    <t>Дрели-миксеры импортного производства для перемешивания строительных материалов, скорость до 650 об/мин</t>
  </si>
  <si>
    <t>21.1-6-10</t>
  </si>
  <si>
    <t>СН-2012-2024.21. База. Р.1, о.6, поз.10</t>
  </si>
  <si>
    <t>Грунтовка акриловая концентрированная универсальная с высокой клеевой и проникающей способностью</t>
  </si>
  <si>
    <t>л</t>
  </si>
  <si>
    <t>21.1-20-7</t>
  </si>
  <si>
    <t>СН-2012-2024.21. База. Р.1, о.20, поз.7</t>
  </si>
  <si>
    <t>Ветошь</t>
  </si>
  <si>
    <t>кг</t>
  </si>
  <si>
    <t>21.1-25-388</t>
  </si>
  <si>
    <t>СН-2012-2024.21. База. Р.1, о.25, поз.388</t>
  </si>
  <si>
    <t>Шкурка шлифовальная на бумажной основе</t>
  </si>
  <si>
    <t>21.1-25-404</t>
  </si>
  <si>
    <t>СН-2012-2024.21. База. Р.1, о.25, поз.404</t>
  </si>
  <si>
    <t>Шпатлевка водно-дисперсионная акриловая</t>
  </si>
  <si>
    <t>21.1-6-219</t>
  </si>
  <si>
    <t>СН-2012-2024.21. База. Р.1, о.6, поз.219</t>
  </si>
  <si>
    <t>Краски водно-дисперсионные акриловые износостойкие, интерьерные, моющиеся, типа ВД-АК-210, белые</t>
  </si>
  <si>
    <t>21.1-6-221</t>
  </si>
  <si>
    <t>СН-2012-2024.21. База. Р.1, о.6, поз.221</t>
  </si>
  <si>
    <t>Грунтовка водно-дисперсионная акриловая укрепляющая для минеральных поверхностей, типа ВД-АК-0110</t>
  </si>
  <si>
    <t>21.1-9-51</t>
  </si>
  <si>
    <t>СН-2012-2024.21. База. Р.1, о.9, поз.51</t>
  </si>
  <si>
    <t>Доски хвойных пород, обрезные, длина 2-6,5 м, сорт II, толщина 25-32 мм</t>
  </si>
  <si>
    <t>22.1-14-13</t>
  </si>
  <si>
    <t>СН-2012-2024.22. База. п.1-14-13 (148501)</t>
  </si>
  <si>
    <t>Пылесосы, потребляемая мощность 350-1200 Вт</t>
  </si>
  <si>
    <t>22.1-30-103</t>
  </si>
  <si>
    <t>СН-2012-2024.22. База. п.1-30-103 (304104)</t>
  </si>
  <si>
    <t>Перфораторы электрические, мощность до 800 Вт</t>
  </si>
  <si>
    <t>21.1-11-198</t>
  </si>
  <si>
    <t>СН-2012-2024.21. База. Р.1, о.11, поз.198</t>
  </si>
  <si>
    <t>Дюбели пластмассовые</t>
  </si>
  <si>
    <t>21.1-25-1099</t>
  </si>
  <si>
    <t>СН-2012-2024.21. База. Р.1, о.25, поз.1099</t>
  </si>
  <si>
    <t>Плинтусы поливинилхлоридные с мягким краем, с монтажной сплошной планкой и лицевым профилем с креплением через защелку, гладкие, разных цветов, размеры 50-62х21 мм</t>
  </si>
  <si>
    <t>м</t>
  </si>
  <si>
    <t>21.1-25-1100</t>
  </si>
  <si>
    <t>СН-2012-2024.21. База. Р.1, о.25, поз.1100</t>
  </si>
  <si>
    <t>Углы внутренние к плинтусам поливинилхлоридным с мягким краем, с монтажной сплошной планкой и лицевым профилем с креплением через защелку, гладкие, разных цветов, размеры 50-62х21 мм</t>
  </si>
  <si>
    <t>21.1-25-1101</t>
  </si>
  <si>
    <t>СН-2012-2024.21. База. Р.1, о.25, поз.1101</t>
  </si>
  <si>
    <t>Углы наружные к плинтусам поливинилхлоридным с мягким краем, с монтажной сплошной планкой и лицевым профилем с креплением через защелку, гладкие, разных цветов, размеры 50-62х21 мм</t>
  </si>
  <si>
    <t>21.1-25-1102</t>
  </si>
  <si>
    <t>СН-2012-2024.21. База. Р.1, о.25, поз.1102</t>
  </si>
  <si>
    <t>Соединители к плинтусам поливинилхлоридным с мягким краем, с монтажной сплошной планкой и лицевым профилем с креплением через защелку, гладкие, разных цветов, размеры 50-62х21 мм</t>
  </si>
  <si>
    <t>21.1-25-1103</t>
  </si>
  <si>
    <t>СН-2012-2024.21. База. Р.1, о.25, поз.1103</t>
  </si>
  <si>
    <t>Заглушки торцевые к плинтусам поливинилхлоридным с мягким краем, с монтажной сплошной планкой и лицевым профилем с креплением через защелку, гладкие, разных цветов, размеры 50-62х21 мм</t>
  </si>
  <si>
    <t>21.1-11-46</t>
  </si>
  <si>
    <t>СН-2012-2024.21. База. Р.1, о.11, поз.46</t>
  </si>
  <si>
    <t>Гвозди строительные</t>
  </si>
  <si>
    <t>21.1-11-84</t>
  </si>
  <si>
    <t>СН-2012-2024.21. База. Р.1, о.11, поз.84</t>
  </si>
  <si>
    <t>Поковки строительные (скобы, закрепы, хомуты) простые, масса 1,8 кг</t>
  </si>
  <si>
    <t>21.9-12-46</t>
  </si>
  <si>
    <t>СН-2012-2024.21. База. Р.9, о.12, поз.46</t>
  </si>
  <si>
    <t>Раскладки хвойных пород, окрашенные, сечение 19х13(24) мм</t>
  </si>
  <si>
    <t>22.1-30-102</t>
  </si>
  <si>
    <t>СН-2012-2024.22. База. п.1-30-102 (303704)</t>
  </si>
  <si>
    <t>Дрели электрические, двухскоростные, мощностью 600 Вт</t>
  </si>
  <si>
    <t>21.1-11-117</t>
  </si>
  <si>
    <t>СН-2012-2024.21. База. Р.1, о.11, поз.117</t>
  </si>
  <si>
    <t>Шурупы с потайной головкой, оцинкованные, длина 35-60 мм</t>
  </si>
  <si>
    <t>21.1-11-178</t>
  </si>
  <si>
    <t>СН-2012-2024.21. База. Р.1, о.11, поз.178</t>
  </si>
  <si>
    <t>Дюбели распорные пластмассовые, размеры 6х40 мм</t>
  </si>
  <si>
    <t>22.1-30-26</t>
  </si>
  <si>
    <t>СН-2012-2024.22. База. п.1-30-26 (306001)</t>
  </si>
  <si>
    <t>Пилы ручные электрические</t>
  </si>
  <si>
    <t>21.1-25-858</t>
  </si>
  <si>
    <t>СН-2012-2024.21. База. Р.1, о.25, поз.858</t>
  </si>
  <si>
    <t>Лента (ФУМ) резьбоуплотнительная для монтажа инженерных сетей</t>
  </si>
  <si>
    <t>21.13-3-6</t>
  </si>
  <si>
    <t>СН-2012-2024.21. База. Р.13, о.3, поз.6</t>
  </si>
  <si>
    <t>Клапаны прямые никелированные для двухтрубной системы отопления, Tmax=120°С, Pmax=0,06 МПа, условное давление 1 МПа, марка RTD-N 013L3704, пропускная способность 0,04-0,60 м3/ч, диаметр условного прохода 15 мм</t>
  </si>
  <si>
    <t>21.13-5-47</t>
  </si>
  <si>
    <t>СН-2012-2024.21. База. Р.13, о.5, поз.47</t>
  </si>
  <si>
    <t>Элементы термостатические серии RTD 3000 для установки на клапаны RTD-N, RTD-G, RTD-K, RTD-KE со встроенным датчиком, диапазон настройки 6-26°С, марка 013L3100, латунные</t>
  </si>
  <si>
    <t>21.1-6-46</t>
  </si>
  <si>
    <t>СН-2012-2024.21. База. Р.1, о.6, поз.46</t>
  </si>
  <si>
    <t>Краски масляные жидкотертые цветные (готовые к употреблению) для наружных и внутренних работ, марка МА-15, сурик железный для окраски по металлу</t>
  </si>
  <si>
    <t>21.1-6-90</t>
  </si>
  <si>
    <t>СН-2012-2024.21. База. Р.1, о.6, поз.90</t>
  </si>
  <si>
    <t>Олифа для окраски комбинированная "Оксоль"</t>
  </si>
  <si>
    <t>1468070000</t>
  </si>
  <si>
    <t>Средства для крепления труб</t>
  </si>
  <si>
    <t>21.1-16-29</t>
  </si>
  <si>
    <t>Известь хлорная</t>
  </si>
  <si>
    <t>21.12-1-2</t>
  </si>
  <si>
    <t>СН-2012-2024.21. База. Р.12, о.1, поз.2</t>
  </si>
  <si>
    <t>Узлы трубопроводов из стальных водогазопроводных неоцинкованных труб с гильзами, для отопления и газоснабжения, диаметр условного прохода 20 мм</t>
  </si>
  <si>
    <t>21.1-23-2</t>
  </si>
  <si>
    <t>СН-2012-2024.21. База. Р.1, о.23, поз.2</t>
  </si>
  <si>
    <t>Проволока электродная порошковая для дуговой сварки</t>
  </si>
  <si>
    <t>21.1-25-16</t>
  </si>
  <si>
    <t>СН-2012-2024.21. База. Р.1, о.25, поз.16</t>
  </si>
  <si>
    <t>Волокно льняное №11 для уплотнения резьбовых соединений при монтаже систем водоснабжения и отопления</t>
  </si>
  <si>
    <t>3700000000</t>
  </si>
  <si>
    <t>Арматура трубопроводная</t>
  </si>
  <si>
    <t>21.12-1-3</t>
  </si>
  <si>
    <t>СН-2012-2024.21. База. Р.12, о.1, поз.3</t>
  </si>
  <si>
    <t>Узлы трубопроводов из стальных водогазопроводных неоцинкованных труб с гильзами, для отопления и газоснабжения, диаметр условного прохода 25 мм</t>
  </si>
  <si>
    <t>21.1-9-11</t>
  </si>
  <si>
    <t>СН-2012-2024.21. База. Р.1, о.9, поз.11</t>
  </si>
  <si>
    <t>Бруски хвойных пород обрезные, длина 2-6,5 м, сорт II, толщина 50-60 мм</t>
  </si>
  <si>
    <t>21.3-1-69</t>
  </si>
  <si>
    <t>СН-2012-2024.21. База. Р.3, о.1, поз.69</t>
  </si>
  <si>
    <t>Смеси бетонные, БСГ, тяжелого бетона на гранитном щебне, класс прочности: В15 (М200); П3, фракция 5-20, F50-100, W0-2</t>
  </si>
  <si>
    <t>22.1-30-10</t>
  </si>
  <si>
    <t>СН-2012-2024.22. База. п.1-30-10 (304101)</t>
  </si>
  <si>
    <t>Перфораторы электрические, мощность до 500 Вт</t>
  </si>
  <si>
    <t>21.1-11-108</t>
  </si>
  <si>
    <t>СН-2012-2024.21. База. Р.1, о.11, поз.108</t>
  </si>
  <si>
    <t>Шурупы - саморезы, размер 3,5х45 мм</t>
  </si>
  <si>
    <t>21.1-11-81</t>
  </si>
  <si>
    <t>СН-2012-2024.21. База. Р.1, о.11, поз.81</t>
  </si>
  <si>
    <t>Патроны, калибр 6,8/11 М для дюбеля</t>
  </si>
  <si>
    <t>21.1-25-758</t>
  </si>
  <si>
    <t>СН-2012-2024.21. База. Р.1, о.25, поз.758</t>
  </si>
  <si>
    <t>Кабель-каналы, размер 20х12,5 мм: кабель-каналы</t>
  </si>
  <si>
    <t>21.1-25-759</t>
  </si>
  <si>
    <t>СН-2012-2024.21. База. Р.1, о.25, поз.759</t>
  </si>
  <si>
    <t>Кабель-каналы, размер 20х12,5 мм: углы внутренние</t>
  </si>
  <si>
    <t>1000 шт.</t>
  </si>
  <si>
    <t>21.1-25-760</t>
  </si>
  <si>
    <t>СН-2012-2024.21. База. Р.1, о.25, поз.760</t>
  </si>
  <si>
    <t>Кабель-каналы, размер 20х12,5 мм: углы наружные</t>
  </si>
  <si>
    <t>21.1-25-761</t>
  </si>
  <si>
    <t>СН-2012-2024.21. База. Р.1, о.25, поз.761</t>
  </si>
  <si>
    <t>Кабель-каналы, размер 20х12,5 мм: углы плоские</t>
  </si>
  <si>
    <t>21.1-25-762</t>
  </si>
  <si>
    <t>СН-2012-2024.21. База. Р.1, о.25, поз.762</t>
  </si>
  <si>
    <t>Кабель-каналы, размер 20х12,5 мм: заглушки</t>
  </si>
  <si>
    <t>21.1-25-763</t>
  </si>
  <si>
    <t>СН-2012-2024.21. База. Р.1, о.25, поз.763</t>
  </si>
  <si>
    <t>Кабель-каналы, размер 20х12,5 мм: ответвления Т-образные</t>
  </si>
  <si>
    <t>21.1-25-764</t>
  </si>
  <si>
    <t>СН-2012-2024.21. База. Р.1, о.25, поз.764</t>
  </si>
  <si>
    <t>Кабель-каналы, размер 20х12,5 мм: накладки стыковые</t>
  </si>
  <si>
    <t>21.7-3-54</t>
  </si>
  <si>
    <t>СН-2012-2024.21. База. Р.7, о.3, поз.54</t>
  </si>
  <si>
    <t>Сверло с алмазным покрытием, диаметр 6 мм</t>
  </si>
  <si>
    <t>21.12-5-136</t>
  </si>
  <si>
    <t>СН-2012-2024.21. База. Р.12, о.5, поз.136</t>
  </si>
  <si>
    <t>Трубы электротехнические гофрированные, поливинилхлоридные, негорючие, с зондом, наружный диаметр 20 мм</t>
  </si>
  <si>
    <t>21.21-5-358</t>
  </si>
  <si>
    <t>СН-2012-2024.21. База. Р.21, о.5, поз.358</t>
  </si>
  <si>
    <t>Держатели пластиковые с защелкой для крепления труб, рукавов и гибких вводов диаметром 20 мм</t>
  </si>
  <si>
    <t>21.21-5-61</t>
  </si>
  <si>
    <t>СН-2012-2024.21. База. Р.21, о.5, поз.61</t>
  </si>
  <si>
    <t>Коробки для выполнения соединений и ответвлений электрических кабелей и проводов сечением до 4 мм2, прокладываемых в неметаллических трубах, тип КОР-73 УЗ</t>
  </si>
  <si>
    <t>21.7-3-2</t>
  </si>
  <si>
    <t>СН-2012-2024.21. База. Р.7, о.3, поз.2</t>
  </si>
  <si>
    <t>Буры с победитовым наконечником, с хвостовиком SDS-plus, размеры 10х160 мм</t>
  </si>
  <si>
    <t>21.1-11-67</t>
  </si>
  <si>
    <t>СН-2012-2024.21. База. Р.1, о.11, поз.67</t>
  </si>
  <si>
    <t>Дюбель-гвоздь оцинкованный, диаметр 8 мм, длина 50-60 мм</t>
  </si>
  <si>
    <t>21.6-2-21</t>
  </si>
  <si>
    <t>СН-2012-2024.21. База. Р.6, о.2, поз.21</t>
  </si>
  <si>
    <t>Панели потолков подвесных кассетного типа из алюминиевого сплава, окрашенные порошковой эмалью, размеры 595х595 мм, цвет белый</t>
  </si>
  <si>
    <t>21.7-4-25</t>
  </si>
  <si>
    <t>СН-2012-2024.21. База. Р.7, о.4, поз.25</t>
  </si>
  <si>
    <t>Профили несущие направляющие Т-образные из оцинкованной стали, окрашенные порошковой эмалью, для монтажа кассетных потолков, сечение 24х29 мм, длина 3700 мм</t>
  </si>
  <si>
    <t>21.7-4-26</t>
  </si>
  <si>
    <t>СН-2012-2024.21. База. Р.7, о.4, поз.26</t>
  </si>
  <si>
    <t>Профили поперечные направляющие Т-образные из оцинкованной стали, окрашенные порошковой эмалью, для монтажа кассетных потолков, сечение 24х29 мм, длина 1200 мм</t>
  </si>
  <si>
    <t>21.7-4-27</t>
  </si>
  <si>
    <t>СН-2012-2024.21. База. Р.7, о.4, поз.27</t>
  </si>
  <si>
    <t>Профили поперечные направляющие Т-образные из оцинкованной стали, окрашенные порошковой эмалью, для монтажа кассетных потолков, сечение 24х29 мм, длина 600 мм</t>
  </si>
  <si>
    <t>21.7-4-28</t>
  </si>
  <si>
    <t>СН-2012-2024.21. База. Р.7, о.4, поз.28</t>
  </si>
  <si>
    <t>Профили угловые настенные из оцинкованной стали, окрашенные порошковой эмалью, для монтажа кассетных потолков, сечение 24х23 мм, длина 3000 мм</t>
  </si>
  <si>
    <t>21.7-4-29</t>
  </si>
  <si>
    <t>СН-2012-2024.21. База. Р.7, о.4, поз.29</t>
  </si>
  <si>
    <t>Подвес пружинный стальной оцинкованный для монтажа подвесных потолков, длина от 300 до 550 мм</t>
  </si>
  <si>
    <t>22.1-4-1</t>
  </si>
  <si>
    <t>СН-2012-2024.22. База. п.1-4-1 (040101)</t>
  </si>
  <si>
    <t>Погрузчики универсальные на пневмоколесном ходу, грузоподъемность до 1 т</t>
  </si>
  <si>
    <t>21.1-25-257</t>
  </si>
  <si>
    <t>СН-2012-2024.21. База. Р.1, о.25, поз.257</t>
  </si>
  <si>
    <t>Пленка полиэтиленовая, толщина 80 мкм</t>
  </si>
  <si>
    <t>21.1-6-183</t>
  </si>
  <si>
    <t>СН-2012-2024.21. База. Р.1, о.6, поз.183</t>
  </si>
  <si>
    <t>Грунтовка водно-дисперсионная на акриловых сополимерах с токопроводящими добавками</t>
  </si>
  <si>
    <t>21.3-2-120</t>
  </si>
  <si>
    <t>СН-2012-2024.21. База. Р.3, о.2, поз.120</t>
  </si>
  <si>
    <t>Смеси сухие цементно-песчаные для устройства стяжки, самовыравнивающиеся: В15 (М200), F50</t>
  </si>
  <si>
    <t>22.1-30-75</t>
  </si>
  <si>
    <t>СН-2012-2024.22. База. п.1-30-75 (370001)</t>
  </si>
  <si>
    <t>Станки для резки плит</t>
  </si>
  <si>
    <t>21.1-5-13</t>
  </si>
  <si>
    <t>СН-2012-2024.21. База. Р.1, о.5, поз.13</t>
  </si>
  <si>
    <t>Плитка керамическая, типа керамогранит, полированная, размер 30х30 см, толщина 8 мм, цвета: светло-серый, серый, светло-зеленый, бежевый</t>
  </si>
  <si>
    <t>21.1-6-11</t>
  </si>
  <si>
    <t>СН-2012-2024.21. База. Р.1, о.6, поз.11</t>
  </si>
  <si>
    <t>Грунтовка акриловая на латексной основе, марка "Грундирмиттель"</t>
  </si>
  <si>
    <t>21.3-2-109</t>
  </si>
  <si>
    <t>СН-2012-2024.21. База. Р.3, о.2, поз.109</t>
  </si>
  <si>
    <t>Смеси сухие фуговочные для заделки швов между плитками (различная цветовая гамма): В7,5 (М100), F50, крупность заполнителя 0,3 мм</t>
  </si>
  <si>
    <t>21.3-2-133</t>
  </si>
  <si>
    <t>СН-2012-2024.21. База. Р.3, о.2, поз.133</t>
  </si>
  <si>
    <t>Смеси сухие клеевые на цементном вяжущем для укладки керамической плитки, керамогранита и натурального влагоустойчивого камня, высокоадгезионные, водостойкие, суперэластичные, F50, типа "Литокол Суперфлекс К77"</t>
  </si>
  <si>
    <t>21.3-2-107</t>
  </si>
  <si>
    <t>СН-2012-2024.21. База. Р.3, о.2, поз.107</t>
  </si>
  <si>
    <t>Смеси сухие цементно-песчаные, клеевые для плиточных работ: В12,5 (М150), F50, крупность заполнителя не более 0,5 мм</t>
  </si>
  <si>
    <t>21.1-25-622</t>
  </si>
  <si>
    <t>СН-2012-2024.21. База. Р.1, о.25, поз.622</t>
  </si>
  <si>
    <t>Обои стеклотканевые под покраску для стен и потолков, однослойные</t>
  </si>
  <si>
    <t>21.1-25-78</t>
  </si>
  <si>
    <t>СН-2012-2024.21. База. Р.1, о.25, поз.78</t>
  </si>
  <si>
    <t>Клей "Амил" (для наклейки обоев)</t>
  </si>
  <si>
    <t>21.1-6-38</t>
  </si>
  <si>
    <t>СН-2012-2024.21. База. Р.1, о.6, поз.38</t>
  </si>
  <si>
    <t>Краски водно-дисперсионные поливинилацетатные, белые, марка ВД-ВА-27А, Э-ВА-27Т</t>
  </si>
  <si>
    <t>21.3-2-134</t>
  </si>
  <si>
    <t>СН-2012-2024.21. База. Р.3, о.2, поз.134</t>
  </si>
  <si>
    <t>Смеси сухие шпатлевочные на органическом связующем с заполнителем из известняка для сухих помещений, KR</t>
  </si>
  <si>
    <t>21.1-6-32</t>
  </si>
  <si>
    <t>СН-2012-2024.21. База. Р.1, о.6, поз.32</t>
  </si>
  <si>
    <t>Краски водно-дисперсионные акриловые, марка ВДА</t>
  </si>
  <si>
    <t>22.1-1-5</t>
  </si>
  <si>
    <t>СН-2012-2024.22. База. п.1-1-5 (010109)</t>
  </si>
  <si>
    <t>Экскаваторы на гусеничном ходу гидравлические, объем ковша до 0,65 м3</t>
  </si>
  <si>
    <t>22.1-18-12</t>
  </si>
  <si>
    <t>СН-2012-2024.22. База. п.1-18-12 (184001)</t>
  </si>
  <si>
    <t>Автомобили-самосвалы, грузоподъемность до 7 т</t>
  </si>
  <si>
    <t>22.1-18-13</t>
  </si>
  <si>
    <t>СН-2012-2024.22. База. п.1-18-13 (184002)</t>
  </si>
  <si>
    <t>Автомобили-самосвалы, грузоподъемность до 10 т</t>
  </si>
  <si>
    <t>Поправка: СН-2012 О.П. п.22  Наименование: Демонтаж, разборка отдельных бетонных, железобетонных, металлических, деревянных, пластмассовых конструктивных элементов зданий и сооружений, внутренних и наружных инженерных систем и коммуникаций при отсутствии необходимых стоимостных нормативов в сборниках СН-2012</t>
  </si>
  <si>
    <t>"СОГЛАСОВАНО"</t>
  </si>
  <si>
    <t>"УТВЕРЖДАЮ"</t>
  </si>
  <si>
    <t>Форма № 1а (глава 1-5)</t>
  </si>
  <si>
    <t>"_____"________________ 2024 г.</t>
  </si>
  <si>
    <t>(локальный сметный расчет)</t>
  </si>
  <si>
    <t>(наименование работ и затрат, наименование объекта)</t>
  </si>
  <si>
    <t>Сметная стоимость</t>
  </si>
  <si>
    <t>тыс.руб</t>
  </si>
  <si>
    <t>Строительные работы</t>
  </si>
  <si>
    <t>Монтажные работы</t>
  </si>
  <si>
    <t>Оборудование</t>
  </si>
  <si>
    <t>Прочие работы</t>
  </si>
  <si>
    <t>Средства на оплату труда</t>
  </si>
  <si>
    <t>№№ п/п</t>
  </si>
  <si>
    <t>Шифр расценки и коды ресурсов</t>
  </si>
  <si>
    <t>Наименование работ и затрат</t>
  </si>
  <si>
    <t>Единица измерения</t>
  </si>
  <si>
    <t>Кол-во единиц</t>
  </si>
  <si>
    <t>Цена на ед. изм. руб.</t>
  </si>
  <si>
    <t>Попра-вочные коэфф.</t>
  </si>
  <si>
    <t>Коэфф. зимних удоро-жаний</t>
  </si>
  <si>
    <t>Коэфф. пересчета</t>
  </si>
  <si>
    <t>ВСЕГО затрат, руб.</t>
  </si>
  <si>
    <t>Справочно</t>
  </si>
  <si>
    <t>ЗТР, всего чел.-час</t>
  </si>
  <si>
    <t>Ст-ть ед. с начислен.</t>
  </si>
  <si>
    <t>Составлен(а) в уровне текущих (прогнозных) цен на январь 2024 года</t>
  </si>
  <si>
    <t>ЗП</t>
  </si>
  <si>
    <t>ЭМ</t>
  </si>
  <si>
    <t>НР от ЗП</t>
  </si>
  <si>
    <t>%</t>
  </si>
  <si>
    <t>СП от ЗП</t>
  </si>
  <si>
    <t>ЗТР</t>
  </si>
  <si>
    <t>чел-ч</t>
  </si>
  <si>
    <t>МР</t>
  </si>
  <si>
    <t>в т.ч. ЗПМ</t>
  </si>
  <si>
    <t>НР и СП от ЗПМ</t>
  </si>
  <si>
    <r>
      <t>1.50-3203-37-1/1</t>
    </r>
    <r>
      <rPr>
        <i/>
        <sz val="10"/>
        <rFont val="Arial"/>
        <family val="2"/>
        <charset val="204"/>
      </rPr>
      <t xml:space="preserve">
Поправка: СН-2012 О.П. п.22</t>
    </r>
  </si>
  <si>
    <r>
      <t>Монтаж мелких конструкций из стали различного профиля массой до 20 кг</t>
    </r>
    <r>
      <rPr>
        <i/>
        <sz val="10"/>
        <rFont val="Arial"/>
        <family val="2"/>
        <charset val="204"/>
      </rPr>
      <t xml:space="preserve">
Поправка: СН-2012 О.П. п.22  Наименование: Демонтаж, разборка отдельных бетонных, железобетонных, металлических, деревянных, пластмассовых конструктивных элементов зданий и сооружений, внутренних и наружных инженерных систем и коммуникаций при отсутствии необходимых стоимостных нормативов в сборниках СН-2012</t>
    </r>
  </si>
  <si>
    <t xml:space="preserve">Составил   </t>
  </si>
  <si>
    <t>[должность,подпись(инициалы,фамилия)]</t>
  </si>
  <si>
    <t xml:space="preserve">Проверил   </t>
  </si>
  <si>
    <t>___________________________</t>
  </si>
  <si>
    <t>" ___ " ___________ 20 ___ г.</t>
  </si>
  <si>
    <t xml:space="preserve">Мы, нижеподписавшиеся, произвели осмотр объекта </t>
  </si>
  <si>
    <t xml:space="preserve">и постановили произвести ремонт объекта в </t>
  </si>
  <si>
    <t>следующем объеме:</t>
  </si>
  <si>
    <t>№ п/п</t>
  </si>
  <si>
    <t>Количество</t>
  </si>
  <si>
    <t>Примечание</t>
  </si>
  <si>
    <t>Заказчик _________________</t>
  </si>
  <si>
    <t>Подрядчик _________________</t>
  </si>
  <si>
    <t>TYPE</t>
  </si>
  <si>
    <t>SOURCE_LINK</t>
  </si>
  <si>
    <t>RABMAT_EX</t>
  </si>
  <si>
    <t>TIP_RAB</t>
  </si>
  <si>
    <t>TYPE_TRUD</t>
  </si>
  <si>
    <t>TAB</t>
  </si>
  <si>
    <t>NAME</t>
  </si>
  <si>
    <t>EDIZM</t>
  </si>
  <si>
    <t>KOLL</t>
  </si>
  <si>
    <t>UCH</t>
  </si>
  <si>
    <t>PRICE_B</t>
  </si>
  <si>
    <t>PRICE_ED</t>
  </si>
  <si>
    <t>STOIM_B</t>
  </si>
  <si>
    <t>PRICE_C</t>
  </si>
  <si>
    <t>STOIM_C</t>
  </si>
  <si>
    <t>ZPM_B</t>
  </si>
  <si>
    <t>ZPM_ED</t>
  </si>
  <si>
    <t>STOIM_ZPM_B</t>
  </si>
  <si>
    <t>ZPM_C</t>
  </si>
  <si>
    <t>STOIM_ZPM_C</t>
  </si>
  <si>
    <t>CRC_GR_RES</t>
  </si>
  <si>
    <t>CRC_B</t>
  </si>
  <si>
    <t>CRC_C</t>
  </si>
  <si>
    <t>RABMAT</t>
  </si>
  <si>
    <t>WBS</t>
  </si>
  <si>
    <t>CBSI</t>
  </si>
  <si>
    <t>CBSII</t>
  </si>
  <si>
    <t>TechSpecCVORPP</t>
  </si>
  <si>
    <t>BuildingFinished</t>
  </si>
  <si>
    <t>PEREVOZKA</t>
  </si>
  <si>
    <t>Trud</t>
  </si>
  <si>
    <t>Mash</t>
  </si>
  <si>
    <t>Mat</t>
  </si>
  <si>
    <t>MatZak</t>
  </si>
  <si>
    <t>Oborud</t>
  </si>
  <si>
    <t>OborudZak</t>
  </si>
  <si>
    <t>ZeroStoim</t>
  </si>
  <si>
    <t>NegativeKoll</t>
  </si>
  <si>
    <t>ReUnionKollResurcy</t>
  </si>
  <si>
    <t>UnionOneUchRes</t>
  </si>
  <si>
    <t>IdLevel</t>
  </si>
  <si>
    <t>ViewCodes</t>
  </si>
  <si>
    <t>UnionCodes</t>
  </si>
  <si>
    <t>Ресурсная ведомость на</t>
  </si>
  <si>
    <t>Объект: +Текущий ремонт спортзала №1 + раздевалки по адресу: г. Москва, ул. Митинская улица, д. 48, корп. 2</t>
  </si>
  <si>
    <t>Обоснование</t>
  </si>
  <si>
    <t>Наименование</t>
  </si>
  <si>
    <t>Объем</t>
  </si>
  <si>
    <t>Текущая</t>
  </si>
  <si>
    <t>цена</t>
  </si>
  <si>
    <t>стоимость</t>
  </si>
  <si>
    <t xml:space="preserve">Материальные ресурсы </t>
  </si>
  <si>
    <t xml:space="preserve">Итого материальные ресурсы </t>
  </si>
  <si>
    <t>На Текущий ремонт спортзала №1 + раздевалки по адресу: г. Москва, ул. Митинская улица, д. 48, корп. 2</t>
  </si>
  <si>
    <t>Шведская стенка деревянная с турником 1x3 м или эквивалент</t>
  </si>
  <si>
    <t>Радиатор Rifar Monolit 500/100 биметалл 10 секций или эквивалент</t>
  </si>
  <si>
    <t>Кран шаровой Ду 20 Бугатти или эквивалент</t>
  </si>
  <si>
    <t>Кран шаровой Ду 25 Бугатти или эквивалент</t>
  </si>
  <si>
    <t>Светильник светодиодный Geniled ЛПО 1200х180х40мм 40Вт 4000К Опал или эквивалент</t>
  </si>
  <si>
    <t>Светильник светодиодный Geniled ЛПО 1200х180х40мм 40Вт 4000К Опал БАП или эквивалент</t>
  </si>
  <si>
    <t>Светильник GENILED офис, потребляемая мощность 40 Вт, световой поток 4000 Лм, цветовая температура 5000 К, степень защиты IP20, габаритные размеры 595х595х20 мм или эквивалент</t>
  </si>
  <si>
    <t>1.2-3105-1-1/1</t>
  </si>
  <si>
    <t>1.7-3204-1-4/1</t>
  </si>
  <si>
    <t>1.1-3304-1-1/1</t>
  </si>
  <si>
    <t>1.3-3204-1-1/1</t>
  </si>
  <si>
    <t>1.1-3404-4-2/1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</si>
</sst>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m"/>
    <numFmt numFmtId="165" formatCode="#,##0.00;[Red]\-\ #,##0.00"/>
  </numFmts>
  <fonts count="19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b/>
      <sz val="10"/>
      <color indexed="14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i/>
      <sz val="11"/>
      <name val="Arial"/>
      <family val="2"/>
      <charset val="204"/>
    </font>
    <font>
      <sz val="13"/>
      <name val="Arial"/>
      <family val="2"/>
      <charset val="204"/>
    </font>
    <font>
      <b/>
      <sz val="11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/>
    <xf numFmtId="0" fontId="10" fillId="0" borderId="0" xfId="0" applyFont="1" applyAlignment="1"/>
    <xf numFmtId="0" fontId="10" fillId="0" borderId="0" xfId="0" applyFont="1" applyBorder="1" applyAlignment="1">
      <alignment horizontal="left"/>
    </xf>
    <xf numFmtId="0" fontId="10" fillId="0" borderId="0" xfId="0" applyFont="1" applyBorder="1" applyAlignment="1">
      <alignment wrapText="1"/>
    </xf>
    <xf numFmtId="0" fontId="0" fillId="0" borderId="0" xfId="0" applyAlignment="1"/>
    <xf numFmtId="164" fontId="10" fillId="0" borderId="0" xfId="0" applyNumberFormat="1" applyFont="1"/>
    <xf numFmtId="1" fontId="10" fillId="0" borderId="0" xfId="0" applyNumberFormat="1" applyFont="1"/>
    <xf numFmtId="0" fontId="15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5" fillId="0" borderId="0" xfId="0" applyFont="1" applyAlignment="1">
      <alignment horizontal="right" wrapText="1"/>
    </xf>
    <xf numFmtId="0" fontId="10" fillId="0" borderId="0" xfId="0" applyFont="1" applyAlignment="1">
      <alignment horizontal="right" wrapText="1"/>
    </xf>
    <xf numFmtId="0" fontId="17" fillId="0" borderId="0" xfId="0" applyFont="1" applyAlignment="1">
      <alignment horizontal="right"/>
    </xf>
    <xf numFmtId="0" fontId="8" fillId="0" borderId="0" xfId="0" applyFont="1" applyAlignment="1">
      <alignment vertical="top" wrapText="1"/>
    </xf>
    <xf numFmtId="0" fontId="10" fillId="0" borderId="0" xfId="0" quotePrefix="1" applyFont="1" applyAlignment="1">
      <alignment horizontal="right" wrapText="1"/>
    </xf>
    <xf numFmtId="165" fontId="15" fillId="0" borderId="0" xfId="0" applyNumberFormat="1" applyFont="1" applyAlignment="1">
      <alignment horizontal="right"/>
    </xf>
    <xf numFmtId="0" fontId="17" fillId="0" borderId="0" xfId="0" applyFont="1"/>
    <xf numFmtId="0" fontId="10" fillId="0" borderId="1" xfId="0" applyFont="1" applyBorder="1"/>
    <xf numFmtId="0" fontId="17" fillId="0" borderId="0" xfId="0" applyFont="1" applyBorder="1" applyAlignment="1">
      <alignment horizontal="right"/>
    </xf>
    <xf numFmtId="0" fontId="17" fillId="0" borderId="0" xfId="0" applyFont="1" applyAlignment="1">
      <alignment horizontal="left" vertical="top"/>
    </xf>
    <xf numFmtId="0" fontId="10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0" fillId="0" borderId="3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wrapText="1"/>
    </xf>
    <xf numFmtId="0" fontId="10" fillId="0" borderId="3" xfId="0" applyFont="1" applyBorder="1" applyAlignment="1">
      <alignment horizontal="right" wrapText="1"/>
    </xf>
    <xf numFmtId="0" fontId="10" fillId="0" borderId="3" xfId="0" applyFont="1" applyBorder="1" applyAlignment="1">
      <alignment horizontal="right"/>
    </xf>
    <xf numFmtId="0" fontId="10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wrapText="1"/>
    </xf>
    <xf numFmtId="0" fontId="10" fillId="0" borderId="2" xfId="0" applyFont="1" applyBorder="1" applyAlignment="1">
      <alignment horizontal="right" wrapText="1"/>
    </xf>
    <xf numFmtId="0" fontId="10" fillId="0" borderId="2" xfId="0" applyFont="1" applyBorder="1" applyAlignment="1">
      <alignment horizontal="right"/>
    </xf>
    <xf numFmtId="0" fontId="11" fillId="0" borderId="3" xfId="0" quotePrefix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left" vertical="top" wrapText="1"/>
    </xf>
    <xf numFmtId="165" fontId="10" fillId="0" borderId="3" xfId="0" applyNumberFormat="1" applyFont="1" applyBorder="1" applyAlignment="1">
      <alignment horizontal="right" wrapText="1"/>
    </xf>
    <xf numFmtId="0" fontId="8" fillId="0" borderId="0" xfId="0" applyFont="1" applyAlignment="1"/>
    <xf numFmtId="0" fontId="8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165" fontId="10" fillId="0" borderId="0" xfId="0" applyNumberFormat="1" applyFont="1" applyAlignment="1">
      <alignment horizontal="right"/>
    </xf>
    <xf numFmtId="0" fontId="14" fillId="0" borderId="1" xfId="0" applyFont="1" applyBorder="1" applyAlignment="1">
      <alignment horizontal="center" wrapText="1"/>
    </xf>
    <xf numFmtId="165" fontId="17" fillId="0" borderId="6" xfId="0" applyNumberFormat="1" applyFont="1" applyBorder="1" applyAlignment="1">
      <alignment horizontal="right"/>
    </xf>
    <xf numFmtId="0" fontId="17" fillId="0" borderId="0" xfId="0" applyFont="1" applyAlignment="1">
      <alignment horizontal="left" wrapText="1"/>
    </xf>
    <xf numFmtId="0" fontId="8" fillId="0" borderId="6" xfId="0" applyFont="1" applyBorder="1"/>
    <xf numFmtId="165" fontId="8" fillId="0" borderId="0" xfId="0" applyNumberFormat="1" applyFont="1"/>
    <xf numFmtId="0" fontId="10" fillId="0" borderId="0" xfId="0" applyFont="1" applyBorder="1" applyAlignment="1">
      <alignment horizontal="left" wrapText="1"/>
    </xf>
    <xf numFmtId="0" fontId="10" fillId="0" borderId="0" xfId="0" applyFont="1" applyAlignment="1">
      <alignment horizontal="right"/>
    </xf>
    <xf numFmtId="0" fontId="12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1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65" fontId="10" fillId="0" borderId="0" xfId="0" applyNumberFormat="1" applyFont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8" fillId="0" borderId="0" xfId="0" applyFont="1" applyAlignment="1"/>
    <xf numFmtId="0" fontId="10" fillId="0" borderId="0" xfId="0" applyFont="1" applyAlignment="1">
      <alignment horizontal="left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5" fontId="17" fillId="0" borderId="6" xfId="0" applyNumberFormat="1" applyFont="1" applyBorder="1" applyAlignment="1">
      <alignment horizontal="right"/>
    </xf>
    <xf numFmtId="0" fontId="11" fillId="0" borderId="0" xfId="0" applyFont="1" applyAlignment="1">
      <alignment horizontal="center" wrapText="1"/>
    </xf>
    <xf numFmtId="165" fontId="17" fillId="0" borderId="0" xfId="0" applyNumberFormat="1" applyFont="1" applyAlignment="1">
      <alignment horizontal="right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left" wrapText="1"/>
    </xf>
    <xf numFmtId="0" fontId="10" fillId="0" borderId="0" xfId="0" applyFont="1" applyAlignment="1">
      <alignment horizontal="right" vertical="center"/>
    </xf>
    <xf numFmtId="0" fontId="9" fillId="0" borderId="5" xfId="0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17" fillId="0" borderId="0" xfId="0" applyFont="1" applyBorder="1" applyAlignment="1">
      <alignment horizontal="right"/>
    </xf>
    <xf numFmtId="0" fontId="12" fillId="0" borderId="0" xfId="0" applyFont="1" applyAlignment="1">
      <alignment horizontal="center" wrapText="1"/>
    </xf>
    <xf numFmtId="0" fontId="17" fillId="0" borderId="0" xfId="0" applyFont="1" applyAlignment="1">
      <alignment horizontal="center" wrapText="1"/>
    </xf>
    <xf numFmtId="0" fontId="17" fillId="0" borderId="3" xfId="0" applyFont="1" applyBorder="1" applyAlignment="1">
      <alignment horizontal="right"/>
    </xf>
    <xf numFmtId="165" fontId="17" fillId="0" borderId="3" xfId="0" applyNumberFormat="1" applyFont="1" applyBorder="1" applyAlignment="1">
      <alignment horizontal="right"/>
    </xf>
    <xf numFmtId="0" fontId="11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76"/>
  <sheetViews>
    <sheetView topLeftCell="A61" zoomScaleNormal="100" workbookViewId="0">
      <selection activeCell="B76" sqref="B76"/>
    </sheetView>
  </sheetViews>
  <sheetFormatPr defaultRowHeight="12.75" x14ac:dyDescent="0.2"/>
  <cols>
    <col min="1" max="1" width="5.7109375" style="46" customWidth="1"/>
    <col min="2" max="2" width="11.7109375" style="46" customWidth="1"/>
    <col min="3" max="3" width="40.7109375" style="46" customWidth="1"/>
    <col min="4" max="6" width="11.7109375" style="46" customWidth="1"/>
    <col min="7" max="7" width="12.7109375" style="46" customWidth="1"/>
    <col min="8" max="8" width="9.140625" style="46"/>
    <col min="9" max="11" width="12.7109375" style="46" customWidth="1"/>
    <col min="12" max="14" width="9.140625" style="46"/>
    <col min="15" max="30" width="0" style="46" hidden="1" customWidth="1"/>
    <col min="31" max="31" width="149.140625" style="46" hidden="1" customWidth="1"/>
    <col min="32" max="32" width="113.140625" style="46" hidden="1" customWidth="1"/>
    <col min="33" max="36" width="0" style="46" hidden="1" customWidth="1"/>
    <col min="37" max="16384" width="9.140625" style="46"/>
  </cols>
  <sheetData>
    <row r="1" spans="1:31" x14ac:dyDescent="0.2">
      <c r="A1" s="8" t="str">
        <f>CONCATENATE(Source!B1, "     СН-2012 (© ОАО МЦЦС 'Мосстройцены', ", "2024", ")")</f>
        <v>Smeta.RU Flash  (495) 974-1589     СН-2012 (© ОАО МЦЦС 'Мосстройцены', 2024)</v>
      </c>
    </row>
    <row r="2" spans="1:31" ht="14.25" x14ac:dyDescent="0.2">
      <c r="A2" s="47"/>
      <c r="B2" s="47"/>
      <c r="C2" s="47"/>
      <c r="D2" s="47"/>
      <c r="E2" s="47"/>
      <c r="F2" s="47"/>
      <c r="G2" s="47"/>
      <c r="H2" s="47"/>
      <c r="I2" s="47"/>
      <c r="J2" s="56" t="s">
        <v>672</v>
      </c>
      <c r="K2" s="56"/>
    </row>
    <row r="3" spans="1:31" ht="16.5" x14ac:dyDescent="0.25">
      <c r="A3" s="10"/>
      <c r="B3" s="61" t="s">
        <v>670</v>
      </c>
      <c r="C3" s="61"/>
      <c r="D3" s="61"/>
      <c r="E3" s="61"/>
      <c r="F3" s="9"/>
      <c r="G3" s="61" t="s">
        <v>671</v>
      </c>
      <c r="H3" s="61"/>
      <c r="I3" s="61"/>
      <c r="J3" s="61"/>
      <c r="K3" s="61"/>
    </row>
    <row r="4" spans="1:31" ht="14.25" x14ac:dyDescent="0.2">
      <c r="A4" s="9"/>
      <c r="B4" s="62"/>
      <c r="C4" s="62"/>
      <c r="D4" s="62"/>
      <c r="E4" s="62"/>
      <c r="F4" s="9"/>
      <c r="G4" s="62"/>
      <c r="H4" s="62"/>
      <c r="I4" s="62"/>
      <c r="J4" s="62"/>
      <c r="K4" s="62"/>
    </row>
    <row r="5" spans="1:31" ht="14.25" x14ac:dyDescent="0.2">
      <c r="A5" s="11"/>
      <c r="B5" s="11"/>
      <c r="C5" s="12"/>
      <c r="D5" s="12"/>
      <c r="E5" s="12"/>
      <c r="F5" s="9"/>
      <c r="G5" s="48"/>
      <c r="H5" s="12"/>
      <c r="I5" s="12"/>
      <c r="J5" s="12"/>
      <c r="K5" s="48"/>
    </row>
    <row r="6" spans="1:31" ht="14.25" x14ac:dyDescent="0.2">
      <c r="A6" s="48"/>
      <c r="B6" s="62" t="str">
        <f>CONCATENATE("______________________ ", IF(Source!AL12&lt;&gt;"", Source!AL12, ""))</f>
        <v xml:space="preserve">______________________ </v>
      </c>
      <c r="C6" s="62"/>
      <c r="D6" s="62"/>
      <c r="E6" s="62"/>
      <c r="F6" s="9"/>
      <c r="G6" s="62" t="str">
        <f>CONCATENATE("______________________ ", IF(Source!AH12&lt;&gt;"", Source!AH12, ""))</f>
        <v xml:space="preserve">______________________ </v>
      </c>
      <c r="H6" s="62"/>
      <c r="I6" s="62"/>
      <c r="J6" s="62"/>
      <c r="K6" s="62"/>
    </row>
    <row r="7" spans="1:31" ht="14.25" x14ac:dyDescent="0.2">
      <c r="A7" s="13"/>
      <c r="B7" s="55" t="s">
        <v>673</v>
      </c>
      <c r="C7" s="55"/>
      <c r="D7" s="55"/>
      <c r="E7" s="55"/>
      <c r="F7" s="9"/>
      <c r="G7" s="55" t="s">
        <v>673</v>
      </c>
      <c r="H7" s="55"/>
      <c r="I7" s="55"/>
      <c r="J7" s="55"/>
      <c r="K7" s="55"/>
    </row>
    <row r="9" spans="1:31" ht="14.25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31" ht="15.75" x14ac:dyDescent="0.25">
      <c r="A10" s="57" t="str">
        <f>CONCATENATE( "ЛОКАЛЬНАЯ СМЕТА № ",IF(Source!F12&lt;&gt;"Новый объект", Source!F12, ""))</f>
        <v xml:space="preserve">ЛОКАЛЬНАЯ СМЕТА № 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</row>
    <row r="11" spans="1:31" x14ac:dyDescent="0.2">
      <c r="A11" s="59" t="s">
        <v>674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</row>
    <row r="12" spans="1:31" ht="14.25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31" ht="18" hidden="1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</row>
    <row r="14" spans="1:31" ht="14.25" hidden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31" ht="18" x14ac:dyDescent="0.25">
      <c r="A15" s="64" t="str">
        <f>IF(Source!G12&lt;&gt;"Новый объект", Source!G12, "")</f>
        <v>+Текущий ремонт спортзала №1 + раздевалки по адресу: г. Москва, ул. Митинская улица, д. 48, корп. 2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AE15" s="50" t="str">
        <f>IF(Source!G12&lt;&gt;"Новый объект", Source!G12, "")</f>
        <v>+Текущий ремонт спортзала №1 + раздевалки по адресу: г. Москва, ул. Митинская улица, д. 48, корп. 2</v>
      </c>
    </row>
    <row r="16" spans="1:31" x14ac:dyDescent="0.2">
      <c r="A16" s="59" t="s">
        <v>675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</row>
    <row r="17" spans="1:11" ht="14.25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ht="14.25" x14ac:dyDescent="0.2">
      <c r="A18" s="66" t="str">
        <f>CONCATENATE( "Основание: чертежи № ", Source!J12)</f>
        <v xml:space="preserve">Основание: чертежи № 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</row>
    <row r="19" spans="1:11" ht="14.25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ht="14.25" x14ac:dyDescent="0.2">
      <c r="A20" s="9"/>
      <c r="B20" s="9"/>
      <c r="C20" s="9"/>
      <c r="D20" s="9"/>
      <c r="E20" s="9"/>
      <c r="F20" s="62" t="s">
        <v>676</v>
      </c>
      <c r="G20" s="62"/>
      <c r="H20" s="62"/>
      <c r="I20" s="63">
        <f>I21+I22+I23+I24</f>
        <v>2116.77</v>
      </c>
      <c r="J20" s="56"/>
      <c r="K20" s="9" t="s">
        <v>677</v>
      </c>
    </row>
    <row r="21" spans="1:11" ht="14.25" hidden="1" x14ac:dyDescent="0.2">
      <c r="A21" s="9"/>
      <c r="B21" s="9"/>
      <c r="C21" s="9"/>
      <c r="D21" s="9"/>
      <c r="E21" s="9"/>
      <c r="F21" s="62" t="s">
        <v>678</v>
      </c>
      <c r="G21" s="62"/>
      <c r="H21" s="62"/>
      <c r="I21" s="63">
        <f>ROUND((Source!F539)/1000, 2)</f>
        <v>0</v>
      </c>
      <c r="J21" s="56"/>
      <c r="K21" s="9" t="s">
        <v>677</v>
      </c>
    </row>
    <row r="22" spans="1:11" ht="14.25" hidden="1" x14ac:dyDescent="0.2">
      <c r="A22" s="9"/>
      <c r="B22" s="9"/>
      <c r="C22" s="9"/>
      <c r="D22" s="9"/>
      <c r="E22" s="9"/>
      <c r="F22" s="62" t="s">
        <v>679</v>
      </c>
      <c r="G22" s="62"/>
      <c r="H22" s="62"/>
      <c r="I22" s="63">
        <f>ROUND((Source!F540)/1000, 2)</f>
        <v>0</v>
      </c>
      <c r="J22" s="56"/>
      <c r="K22" s="9" t="s">
        <v>677</v>
      </c>
    </row>
    <row r="23" spans="1:11" ht="14.25" hidden="1" x14ac:dyDescent="0.2">
      <c r="A23" s="9"/>
      <c r="B23" s="9"/>
      <c r="C23" s="9"/>
      <c r="D23" s="9"/>
      <c r="E23" s="9"/>
      <c r="F23" s="62" t="s">
        <v>680</v>
      </c>
      <c r="G23" s="62"/>
      <c r="H23" s="62"/>
      <c r="I23" s="63">
        <f>ROUND((Source!F531)/1000, 2)</f>
        <v>0</v>
      </c>
      <c r="J23" s="56"/>
      <c r="K23" s="9" t="s">
        <v>677</v>
      </c>
    </row>
    <row r="24" spans="1:11" ht="14.25" hidden="1" x14ac:dyDescent="0.2">
      <c r="A24" s="9"/>
      <c r="B24" s="9"/>
      <c r="C24" s="9"/>
      <c r="D24" s="9"/>
      <c r="E24" s="9"/>
      <c r="F24" s="62" t="s">
        <v>681</v>
      </c>
      <c r="G24" s="62"/>
      <c r="H24" s="62"/>
      <c r="I24" s="63">
        <f>ROUND((Source!F541+Source!F542)/1000, 2)</f>
        <v>2116.77</v>
      </c>
      <c r="J24" s="56"/>
      <c r="K24" s="9" t="s">
        <v>677</v>
      </c>
    </row>
    <row r="25" spans="1:11" ht="14.25" x14ac:dyDescent="0.2">
      <c r="A25" s="9"/>
      <c r="B25" s="9"/>
      <c r="C25" s="9"/>
      <c r="D25" s="9"/>
      <c r="E25" s="9"/>
      <c r="F25" s="62" t="s">
        <v>682</v>
      </c>
      <c r="G25" s="62"/>
      <c r="H25" s="62"/>
      <c r="I25" s="63">
        <f>(Source!F537+ Source!F536)/1000</f>
        <v>609.91756999999996</v>
      </c>
      <c r="J25" s="56"/>
      <c r="K25" s="9" t="s">
        <v>677</v>
      </c>
    </row>
    <row r="26" spans="1:11" ht="14.25" x14ac:dyDescent="0.2">
      <c r="A26" s="9" t="s">
        <v>696</v>
      </c>
      <c r="B26" s="9"/>
      <c r="C26" s="9"/>
      <c r="D26" s="15"/>
      <c r="E26" s="16"/>
      <c r="F26" s="9"/>
      <c r="G26" s="9"/>
      <c r="H26" s="9"/>
      <c r="I26" s="9"/>
      <c r="J26" s="9"/>
      <c r="K26" s="9"/>
    </row>
    <row r="27" spans="1:11" ht="14.25" x14ac:dyDescent="0.2">
      <c r="A27" s="67" t="s">
        <v>683</v>
      </c>
      <c r="B27" s="67" t="s">
        <v>684</v>
      </c>
      <c r="C27" s="67" t="s">
        <v>685</v>
      </c>
      <c r="D27" s="67" t="s">
        <v>686</v>
      </c>
      <c r="E27" s="67" t="s">
        <v>687</v>
      </c>
      <c r="F27" s="67" t="s">
        <v>688</v>
      </c>
      <c r="G27" s="67" t="s">
        <v>689</v>
      </c>
      <c r="H27" s="67" t="s">
        <v>690</v>
      </c>
      <c r="I27" s="67" t="s">
        <v>691</v>
      </c>
      <c r="J27" s="67" t="s">
        <v>692</v>
      </c>
      <c r="K27" s="17" t="s">
        <v>693</v>
      </c>
    </row>
    <row r="28" spans="1:11" ht="28.5" x14ac:dyDescent="0.2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18" t="s">
        <v>694</v>
      </c>
    </row>
    <row r="29" spans="1:11" ht="28.5" x14ac:dyDescent="0.2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18" t="s">
        <v>695</v>
      </c>
    </row>
    <row r="30" spans="1:11" ht="14.25" x14ac:dyDescent="0.2">
      <c r="A30" s="18">
        <v>1</v>
      </c>
      <c r="B30" s="18">
        <v>2</v>
      </c>
      <c r="C30" s="18">
        <v>3</v>
      </c>
      <c r="D30" s="18">
        <v>4</v>
      </c>
      <c r="E30" s="18">
        <v>5</v>
      </c>
      <c r="F30" s="18">
        <v>6</v>
      </c>
      <c r="G30" s="18">
        <v>7</v>
      </c>
      <c r="H30" s="18">
        <v>8</v>
      </c>
      <c r="I30" s="18">
        <v>9</v>
      </c>
      <c r="J30" s="18">
        <v>10</v>
      </c>
      <c r="K30" s="18">
        <v>11</v>
      </c>
    </row>
    <row r="32" spans="1:11" ht="16.5" x14ac:dyDescent="0.25">
      <c r="A32" s="70" t="str">
        <f>CONCATENATE("Локальная смета: ",IF(Source!G20&lt;&gt;"Новая локальная смета", Source!G20, ""))</f>
        <v xml:space="preserve">Локальная смета: 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</row>
    <row r="34" spans="1:22" ht="16.5" x14ac:dyDescent="0.25">
      <c r="A34" s="70" t="str">
        <f>CONCATENATE("Раздел: ",IF(Source!G24&lt;&gt;"Новый раздел", Source!G24, ""))</f>
        <v>Раздел: 1. Спортзал №1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</row>
    <row r="36" spans="1:22" ht="16.5" x14ac:dyDescent="0.25">
      <c r="A36" s="70" t="str">
        <f>CONCATENATE("Подраздел: ",IF(Source!G28&lt;&gt;"Новый подраздел", Source!G28, ""))</f>
        <v>Подраздел: 1.1 Демонтажные работы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</row>
    <row r="37" spans="1:22" ht="42.75" x14ac:dyDescent="0.2">
      <c r="A37" s="19">
        <v>1</v>
      </c>
      <c r="B37" s="19" t="str">
        <f>Source!F32</f>
        <v>1.1-3404-4-2/1</v>
      </c>
      <c r="C37" s="19" t="str">
        <f>Source!G32</f>
        <v>Разборка плинтусов поливинилхлоридных с креплением шурупами</v>
      </c>
      <c r="D37" s="20" t="str">
        <f>Source!H32</f>
        <v>100 м</v>
      </c>
      <c r="E37" s="47">
        <f>Source!I32</f>
        <v>0.65039999999999998</v>
      </c>
      <c r="F37" s="49"/>
      <c r="G37" s="21"/>
      <c r="H37" s="47"/>
      <c r="I37" s="47"/>
      <c r="J37" s="49"/>
      <c r="K37" s="49"/>
      <c r="Q37" s="46">
        <f>ROUND((Source!BZ32/100)*ROUND((Source!AF32*Source!AV32)*Source!I32, 2), 2)</f>
        <v>318.48</v>
      </c>
      <c r="R37" s="46">
        <f>Source!X32</f>
        <v>318.48</v>
      </c>
      <c r="S37" s="46">
        <f>ROUND((Source!CA32/100)*ROUND((Source!AF32*Source!AV32)*Source!I32, 2), 2)</f>
        <v>45.5</v>
      </c>
      <c r="T37" s="46">
        <f>Source!Y32</f>
        <v>45.5</v>
      </c>
      <c r="U37" s="46">
        <f>ROUND((175/100)*ROUND((Source!AE32*Source!AV32)*Source!I32, 2), 2)</f>
        <v>0</v>
      </c>
      <c r="V37" s="46">
        <f>ROUND((108/100)*ROUND(Source!CS32*Source!I32, 2), 2)</f>
        <v>0</v>
      </c>
    </row>
    <row r="38" spans="1:22" ht="14.25" x14ac:dyDescent="0.2">
      <c r="A38" s="19"/>
      <c r="B38" s="19"/>
      <c r="C38" s="19" t="s">
        <v>697</v>
      </c>
      <c r="D38" s="20"/>
      <c r="E38" s="47"/>
      <c r="F38" s="49">
        <f>Source!AO32</f>
        <v>699.53</v>
      </c>
      <c r="G38" s="21" t="str">
        <f>Source!DG32</f>
        <v/>
      </c>
      <c r="H38" s="47">
        <f>Source!AV32</f>
        <v>1</v>
      </c>
      <c r="I38" s="47">
        <f>IF(Source!BA32&lt;&gt; 0, Source!BA32, 1)</f>
        <v>1</v>
      </c>
      <c r="J38" s="49">
        <f>Source!S32</f>
        <v>454.97</v>
      </c>
      <c r="K38" s="49"/>
    </row>
    <row r="39" spans="1:22" ht="14.25" x14ac:dyDescent="0.2">
      <c r="A39" s="19"/>
      <c r="B39" s="19"/>
      <c r="C39" s="19" t="s">
        <v>698</v>
      </c>
      <c r="D39" s="20"/>
      <c r="E39" s="47"/>
      <c r="F39" s="49">
        <f>Source!AM32</f>
        <v>1.79</v>
      </c>
      <c r="G39" s="21" t="str">
        <f>Source!DE32</f>
        <v/>
      </c>
      <c r="H39" s="47">
        <f>Source!AV32</f>
        <v>1</v>
      </c>
      <c r="I39" s="47">
        <f>IF(Source!BB32&lt;&gt; 0, Source!BB32, 1)</f>
        <v>1</v>
      </c>
      <c r="J39" s="49">
        <f>Source!Q32</f>
        <v>1.1599999999999999</v>
      </c>
      <c r="K39" s="49"/>
    </row>
    <row r="40" spans="1:22" ht="14.25" x14ac:dyDescent="0.2">
      <c r="A40" s="19"/>
      <c r="B40" s="19"/>
      <c r="C40" s="19" t="s">
        <v>699</v>
      </c>
      <c r="D40" s="20" t="s">
        <v>700</v>
      </c>
      <c r="E40" s="47">
        <f>Source!AT32</f>
        <v>70</v>
      </c>
      <c r="F40" s="49"/>
      <c r="G40" s="21"/>
      <c r="H40" s="47"/>
      <c r="I40" s="47"/>
      <c r="J40" s="49">
        <f>SUM(R37:R39)</f>
        <v>318.48</v>
      </c>
      <c r="K40" s="49"/>
    </row>
    <row r="41" spans="1:22" ht="14.25" x14ac:dyDescent="0.2">
      <c r="A41" s="19"/>
      <c r="B41" s="19"/>
      <c r="C41" s="19" t="s">
        <v>701</v>
      </c>
      <c r="D41" s="20" t="s">
        <v>700</v>
      </c>
      <c r="E41" s="47">
        <f>Source!AU32</f>
        <v>10</v>
      </c>
      <c r="F41" s="49"/>
      <c r="G41" s="21"/>
      <c r="H41" s="47"/>
      <c r="I41" s="47"/>
      <c r="J41" s="49">
        <f>SUM(T37:T40)</f>
        <v>45.5</v>
      </c>
      <c r="K41" s="49"/>
    </row>
    <row r="42" spans="1:22" ht="14.25" x14ac:dyDescent="0.2">
      <c r="A42" s="19"/>
      <c r="B42" s="19"/>
      <c r="C42" s="19" t="s">
        <v>702</v>
      </c>
      <c r="D42" s="20" t="s">
        <v>703</v>
      </c>
      <c r="E42" s="47">
        <f>Source!AQ32</f>
        <v>2.78</v>
      </c>
      <c r="F42" s="49"/>
      <c r="G42" s="21" t="str">
        <f>Source!DI32</f>
        <v/>
      </c>
      <c r="H42" s="47">
        <f>Source!AV32</f>
        <v>1</v>
      </c>
      <c r="I42" s="47"/>
      <c r="J42" s="49"/>
      <c r="K42" s="49">
        <f>Source!U32</f>
        <v>1.8081119999999997</v>
      </c>
    </row>
    <row r="43" spans="1:22" ht="15" x14ac:dyDescent="0.25">
      <c r="A43" s="53"/>
      <c r="B43" s="53"/>
      <c r="C43" s="53"/>
      <c r="D43" s="53"/>
      <c r="E43" s="53"/>
      <c r="F43" s="53"/>
      <c r="G43" s="53"/>
      <c r="H43" s="53"/>
      <c r="I43" s="69">
        <f>J38+J39+J40+J41</f>
        <v>820.11000000000013</v>
      </c>
      <c r="J43" s="69"/>
      <c r="K43" s="51">
        <f>IF(Source!I32&lt;&gt;0, ROUND(I43/Source!I32, 2), 0)</f>
        <v>1260.93</v>
      </c>
      <c r="P43" s="54">
        <f>I43</f>
        <v>820.11000000000013</v>
      </c>
    </row>
    <row r="44" spans="1:22" ht="28.5" x14ac:dyDescent="0.2">
      <c r="A44" s="19">
        <v>2</v>
      </c>
      <c r="B44" s="19" t="str">
        <f>Source!F33</f>
        <v>1.3-3204-1-1/1</v>
      </c>
      <c r="C44" s="19" t="str">
        <f>Source!G33</f>
        <v>Расчистка поверхностей от старых покрасок (шпателем, щетками и т.д.)</v>
      </c>
      <c r="D44" s="20" t="str">
        <f>Source!H33</f>
        <v>м2</v>
      </c>
      <c r="E44" s="47">
        <f>Source!I33</f>
        <v>401.97</v>
      </c>
      <c r="F44" s="49"/>
      <c r="G44" s="21"/>
      <c r="H44" s="47"/>
      <c r="I44" s="47"/>
      <c r="J44" s="49"/>
      <c r="K44" s="49"/>
      <c r="Q44" s="46">
        <f>ROUND((Source!BZ33/100)*ROUND((Source!AF33*Source!AV33)*Source!I33, 2), 2)</f>
        <v>41857.94</v>
      </c>
      <c r="R44" s="46">
        <f>Source!X33</f>
        <v>41857.94</v>
      </c>
      <c r="S44" s="46">
        <f>ROUND((Source!CA33/100)*ROUND((Source!AF33*Source!AV33)*Source!I33, 2), 2)</f>
        <v>5979.71</v>
      </c>
      <c r="T44" s="46">
        <f>Source!Y33</f>
        <v>5979.71</v>
      </c>
      <c r="U44" s="46">
        <f>ROUND((175/100)*ROUND((Source!AE33*Source!AV33)*Source!I33, 2), 2)</f>
        <v>0</v>
      </c>
      <c r="V44" s="46">
        <f>ROUND((108/100)*ROUND(Source!CS33*Source!I33, 2), 2)</f>
        <v>0</v>
      </c>
    </row>
    <row r="45" spans="1:22" x14ac:dyDescent="0.2">
      <c r="C45" s="23" t="str">
        <f>"Объем: "&amp;Source!I33&amp;"=283,2+"&amp;"118,77"</f>
        <v>Объем: 401,97=283,2+118,77</v>
      </c>
    </row>
    <row r="46" spans="1:22" ht="14.25" x14ac:dyDescent="0.2">
      <c r="A46" s="19"/>
      <c r="B46" s="19"/>
      <c r="C46" s="19" t="s">
        <v>697</v>
      </c>
      <c r="D46" s="20"/>
      <c r="E46" s="47"/>
      <c r="F46" s="49">
        <f>Source!AO33</f>
        <v>148.76</v>
      </c>
      <c r="G46" s="21" t="str">
        <f>Source!DG33</f>
        <v/>
      </c>
      <c r="H46" s="47">
        <f>Source!AV33</f>
        <v>1</v>
      </c>
      <c r="I46" s="47">
        <f>IF(Source!BA33&lt;&gt; 0, Source!BA33, 1)</f>
        <v>1</v>
      </c>
      <c r="J46" s="49">
        <f>Source!S33</f>
        <v>59797.06</v>
      </c>
      <c r="K46" s="49"/>
    </row>
    <row r="47" spans="1:22" ht="14.25" x14ac:dyDescent="0.2">
      <c r="A47" s="19"/>
      <c r="B47" s="19"/>
      <c r="C47" s="19" t="s">
        <v>699</v>
      </c>
      <c r="D47" s="20" t="s">
        <v>700</v>
      </c>
      <c r="E47" s="47">
        <f>Source!AT33</f>
        <v>70</v>
      </c>
      <c r="F47" s="49"/>
      <c r="G47" s="21"/>
      <c r="H47" s="47"/>
      <c r="I47" s="47"/>
      <c r="J47" s="49">
        <f>SUM(R44:R46)</f>
        <v>41857.94</v>
      </c>
      <c r="K47" s="49"/>
    </row>
    <row r="48" spans="1:22" ht="14.25" x14ac:dyDescent="0.2">
      <c r="A48" s="19"/>
      <c r="B48" s="19"/>
      <c r="C48" s="19" t="s">
        <v>701</v>
      </c>
      <c r="D48" s="20" t="s">
        <v>700</v>
      </c>
      <c r="E48" s="47">
        <f>Source!AU33</f>
        <v>10</v>
      </c>
      <c r="F48" s="49"/>
      <c r="G48" s="21"/>
      <c r="H48" s="47"/>
      <c r="I48" s="47"/>
      <c r="J48" s="49">
        <f>SUM(T44:T47)</f>
        <v>5979.71</v>
      </c>
      <c r="K48" s="49"/>
    </row>
    <row r="49" spans="1:22" ht="14.25" x14ac:dyDescent="0.2">
      <c r="A49" s="19"/>
      <c r="B49" s="19"/>
      <c r="C49" s="19" t="s">
        <v>702</v>
      </c>
      <c r="D49" s="20" t="s">
        <v>703</v>
      </c>
      <c r="E49" s="47">
        <f>Source!AQ33</f>
        <v>0.6</v>
      </c>
      <c r="F49" s="49"/>
      <c r="G49" s="21" t="str">
        <f>Source!DI33</f>
        <v/>
      </c>
      <c r="H49" s="47">
        <f>Source!AV33</f>
        <v>1</v>
      </c>
      <c r="I49" s="47"/>
      <c r="J49" s="49"/>
      <c r="K49" s="49">
        <f>Source!U33</f>
        <v>241.18200000000002</v>
      </c>
    </row>
    <row r="50" spans="1:22" ht="15" x14ac:dyDescent="0.25">
      <c r="A50" s="53"/>
      <c r="B50" s="53"/>
      <c r="C50" s="53"/>
      <c r="D50" s="53"/>
      <c r="E50" s="53"/>
      <c r="F50" s="53"/>
      <c r="G50" s="53"/>
      <c r="H50" s="53"/>
      <c r="I50" s="69">
        <f>J46+J47+J48</f>
        <v>107634.71</v>
      </c>
      <c r="J50" s="69"/>
      <c r="K50" s="51">
        <f>IF(Source!I33&lt;&gt;0, ROUND(I50/Source!I33, 2), 0)</f>
        <v>267.77</v>
      </c>
      <c r="P50" s="54">
        <f>I50</f>
        <v>107634.71</v>
      </c>
    </row>
    <row r="51" spans="1:22" ht="28.5" x14ac:dyDescent="0.2">
      <c r="A51" s="19">
        <v>3</v>
      </c>
      <c r="B51" s="19" t="str">
        <f>Source!F34</f>
        <v>1.1-3304-1-1/1</v>
      </c>
      <c r="C51" s="19" t="str">
        <f>Source!G34</f>
        <v>Демонтаж радиатора массой до 80 кг</v>
      </c>
      <c r="D51" s="20" t="str">
        <f>Source!H34</f>
        <v>100 шт.</v>
      </c>
      <c r="E51" s="47">
        <f>Source!I34</f>
        <v>0.26</v>
      </c>
      <c r="F51" s="49"/>
      <c r="G51" s="21"/>
      <c r="H51" s="47"/>
      <c r="I51" s="47"/>
      <c r="J51" s="49"/>
      <c r="K51" s="49"/>
      <c r="Q51" s="46">
        <f>ROUND((Source!BZ34/100)*ROUND((Source!AF34*Source!AV34)*Source!I34, 2), 2)</f>
        <v>5764.04</v>
      </c>
      <c r="R51" s="46">
        <f>Source!X34</f>
        <v>5764.04</v>
      </c>
      <c r="S51" s="46">
        <f>ROUND((Source!CA34/100)*ROUND((Source!AF34*Source!AV34)*Source!I34, 2), 2)</f>
        <v>823.43</v>
      </c>
      <c r="T51" s="46">
        <f>Source!Y34</f>
        <v>823.43</v>
      </c>
      <c r="U51" s="46">
        <f>ROUND((175/100)*ROUND((Source!AE34*Source!AV34)*Source!I34, 2), 2)</f>
        <v>0</v>
      </c>
      <c r="V51" s="46">
        <f>ROUND((108/100)*ROUND(Source!CS34*Source!I34, 2), 2)</f>
        <v>0</v>
      </c>
    </row>
    <row r="52" spans="1:22" ht="14.25" x14ac:dyDescent="0.2">
      <c r="A52" s="19"/>
      <c r="B52" s="19"/>
      <c r="C52" s="19" t="s">
        <v>697</v>
      </c>
      <c r="D52" s="20"/>
      <c r="E52" s="47"/>
      <c r="F52" s="49">
        <f>Source!AO34</f>
        <v>31670.55</v>
      </c>
      <c r="G52" s="21" t="str">
        <f>Source!DG34</f>
        <v/>
      </c>
      <c r="H52" s="47">
        <f>Source!AV34</f>
        <v>1</v>
      </c>
      <c r="I52" s="47">
        <f>IF(Source!BA34&lt;&gt; 0, Source!BA34, 1)</f>
        <v>1</v>
      </c>
      <c r="J52" s="49">
        <f>Source!S34</f>
        <v>8234.34</v>
      </c>
      <c r="K52" s="49"/>
    </row>
    <row r="53" spans="1:22" ht="28.5" x14ac:dyDescent="0.2">
      <c r="A53" s="19">
        <v>4</v>
      </c>
      <c r="B53" s="19" t="str">
        <f>Source!F35</f>
        <v>9999990001</v>
      </c>
      <c r="C53" s="19" t="str">
        <f>Source!G35</f>
        <v>Масса мусора</v>
      </c>
      <c r="D53" s="20" t="str">
        <f>Source!H35</f>
        <v>т</v>
      </c>
      <c r="E53" s="47">
        <f>Source!I35</f>
        <v>-2.08</v>
      </c>
      <c r="F53" s="49">
        <f>Source!AK35</f>
        <v>0</v>
      </c>
      <c r="G53" s="24" t="s">
        <v>3</v>
      </c>
      <c r="H53" s="47">
        <f>Source!AW35</f>
        <v>1</v>
      </c>
      <c r="I53" s="47">
        <f>IF(Source!BC35&lt;&gt; 0, Source!BC35, 1)</f>
        <v>1</v>
      </c>
      <c r="J53" s="49">
        <f>Source!O35</f>
        <v>0</v>
      </c>
      <c r="K53" s="49"/>
      <c r="Q53" s="46">
        <f>ROUND((Source!BZ35/100)*ROUND((Source!AF35*Source!AV35)*Source!I35, 2), 2)</f>
        <v>0</v>
      </c>
      <c r="R53" s="46">
        <f>Source!X35</f>
        <v>0</v>
      </c>
      <c r="S53" s="46">
        <f>ROUND((Source!CA35/100)*ROUND((Source!AF35*Source!AV35)*Source!I35, 2), 2)</f>
        <v>0</v>
      </c>
      <c r="T53" s="46">
        <f>Source!Y35</f>
        <v>0</v>
      </c>
      <c r="U53" s="46">
        <f>ROUND((175/100)*ROUND((Source!AE35*Source!AV35)*Source!I35, 2), 2)</f>
        <v>0</v>
      </c>
      <c r="V53" s="46">
        <f>ROUND((108/100)*ROUND(Source!CS35*Source!I35, 2), 2)</f>
        <v>0</v>
      </c>
    </row>
    <row r="54" spans="1:22" ht="14.25" x14ac:dyDescent="0.2">
      <c r="A54" s="19"/>
      <c r="B54" s="19"/>
      <c r="C54" s="19" t="s">
        <v>699</v>
      </c>
      <c r="D54" s="20" t="s">
        <v>700</v>
      </c>
      <c r="E54" s="47">
        <f>Source!AT34</f>
        <v>70</v>
      </c>
      <c r="F54" s="49"/>
      <c r="G54" s="21"/>
      <c r="H54" s="47"/>
      <c r="I54" s="47"/>
      <c r="J54" s="49">
        <f>SUM(R51:R53)</f>
        <v>5764.04</v>
      </c>
      <c r="K54" s="49"/>
    </row>
    <row r="55" spans="1:22" ht="14.25" x14ac:dyDescent="0.2">
      <c r="A55" s="19"/>
      <c r="B55" s="19"/>
      <c r="C55" s="19" t="s">
        <v>701</v>
      </c>
      <c r="D55" s="20" t="s">
        <v>700</v>
      </c>
      <c r="E55" s="47">
        <f>Source!AU34</f>
        <v>10</v>
      </c>
      <c r="F55" s="49"/>
      <c r="G55" s="21"/>
      <c r="H55" s="47"/>
      <c r="I55" s="47"/>
      <c r="J55" s="49">
        <f>SUM(T51:T54)</f>
        <v>823.43</v>
      </c>
      <c r="K55" s="49"/>
    </row>
    <row r="56" spans="1:22" ht="14.25" x14ac:dyDescent="0.2">
      <c r="A56" s="19"/>
      <c r="B56" s="19"/>
      <c r="C56" s="19" t="s">
        <v>702</v>
      </c>
      <c r="D56" s="20" t="s">
        <v>703</v>
      </c>
      <c r="E56" s="47">
        <f>Source!AQ34</f>
        <v>120.59</v>
      </c>
      <c r="F56" s="49"/>
      <c r="G56" s="21" t="str">
        <f>Source!DI34</f>
        <v/>
      </c>
      <c r="H56" s="47">
        <f>Source!AV34</f>
        <v>1</v>
      </c>
      <c r="I56" s="47"/>
      <c r="J56" s="49"/>
      <c r="K56" s="49">
        <f>Source!U34</f>
        <v>31.353400000000001</v>
      </c>
    </row>
    <row r="57" spans="1:22" ht="15" x14ac:dyDescent="0.25">
      <c r="A57" s="53"/>
      <c r="B57" s="53"/>
      <c r="C57" s="53"/>
      <c r="D57" s="53"/>
      <c r="E57" s="53"/>
      <c r="F57" s="53"/>
      <c r="G57" s="53"/>
      <c r="H57" s="53"/>
      <c r="I57" s="69">
        <f>J52+J54+J55+SUM(J53:J53)</f>
        <v>14821.810000000001</v>
      </c>
      <c r="J57" s="69"/>
      <c r="K57" s="51">
        <f>IF(Source!I34&lt;&gt;0, ROUND(I57/Source!I34, 2), 0)</f>
        <v>57006.96</v>
      </c>
      <c r="P57" s="54">
        <f>I57</f>
        <v>14821.810000000001</v>
      </c>
    </row>
    <row r="58" spans="1:22" ht="28.5" x14ac:dyDescent="0.2">
      <c r="A58" s="19">
        <v>5</v>
      </c>
      <c r="B58" s="19" t="str">
        <f>Source!F36</f>
        <v>1.50-3203-34-1/1</v>
      </c>
      <c r="C58" s="19" t="str">
        <f>Source!G36</f>
        <v>Устройство и разборка защитного ограждения лесов из сетки</v>
      </c>
      <c r="D58" s="20" t="str">
        <f>Source!H36</f>
        <v>100 м2</v>
      </c>
      <c r="E58" s="47">
        <f>Source!I36</f>
        <v>0.77600000000000002</v>
      </c>
      <c r="F58" s="49"/>
      <c r="G58" s="21"/>
      <c r="H58" s="47"/>
      <c r="I58" s="47"/>
      <c r="J58" s="49"/>
      <c r="K58" s="49"/>
      <c r="Q58" s="46">
        <f>ROUND((Source!BZ36/100)*ROUND((Source!AF36*Source!AV36)*Source!I36, 2), 2)</f>
        <v>2135.13</v>
      </c>
      <c r="R58" s="46">
        <f>Source!X36</f>
        <v>2135.13</v>
      </c>
      <c r="S58" s="46">
        <f>ROUND((Source!CA36/100)*ROUND((Source!AF36*Source!AV36)*Source!I36, 2), 2)</f>
        <v>305.02</v>
      </c>
      <c r="T58" s="46">
        <f>Source!Y36</f>
        <v>305.02</v>
      </c>
      <c r="U58" s="46">
        <f>ROUND((175/100)*ROUND((Source!AE36*Source!AV36)*Source!I36, 2), 2)</f>
        <v>0</v>
      </c>
      <c r="V58" s="46">
        <f>ROUND((108/100)*ROUND(Source!CS36*Source!I36, 2), 2)</f>
        <v>0</v>
      </c>
    </row>
    <row r="59" spans="1:22" ht="14.25" x14ac:dyDescent="0.2">
      <c r="A59" s="19"/>
      <c r="B59" s="19"/>
      <c r="C59" s="19" t="s">
        <v>697</v>
      </c>
      <c r="D59" s="20"/>
      <c r="E59" s="47"/>
      <c r="F59" s="49">
        <f>Source!AO36</f>
        <v>3930.65</v>
      </c>
      <c r="G59" s="21" t="str">
        <f>Source!DG36</f>
        <v/>
      </c>
      <c r="H59" s="47">
        <f>Source!AV36</f>
        <v>1</v>
      </c>
      <c r="I59" s="47">
        <f>IF(Source!BA36&lt;&gt; 0, Source!BA36, 1)</f>
        <v>1</v>
      </c>
      <c r="J59" s="49">
        <f>Source!S36</f>
        <v>3050.18</v>
      </c>
      <c r="K59" s="49"/>
    </row>
    <row r="60" spans="1:22" ht="14.25" x14ac:dyDescent="0.2">
      <c r="A60" s="19"/>
      <c r="B60" s="19"/>
      <c r="C60" s="19" t="s">
        <v>704</v>
      </c>
      <c r="D60" s="20"/>
      <c r="E60" s="47"/>
      <c r="F60" s="49">
        <f>Source!AL36</f>
        <v>1389.73</v>
      </c>
      <c r="G60" s="21" t="str">
        <f>Source!DD36</f>
        <v/>
      </c>
      <c r="H60" s="47">
        <f>Source!AW36</f>
        <v>1</v>
      </c>
      <c r="I60" s="47">
        <f>IF(Source!BC36&lt;&gt; 0, Source!BC36, 1)</f>
        <v>1</v>
      </c>
      <c r="J60" s="49">
        <f>Source!P36</f>
        <v>1078.43</v>
      </c>
      <c r="K60" s="49"/>
    </row>
    <row r="61" spans="1:22" ht="14.25" x14ac:dyDescent="0.2">
      <c r="A61" s="19"/>
      <c r="B61" s="19"/>
      <c r="C61" s="19" t="s">
        <v>699</v>
      </c>
      <c r="D61" s="20" t="s">
        <v>700</v>
      </c>
      <c r="E61" s="47">
        <f>Source!AT36</f>
        <v>70</v>
      </c>
      <c r="F61" s="49"/>
      <c r="G61" s="21"/>
      <c r="H61" s="47"/>
      <c r="I61" s="47"/>
      <c r="J61" s="49">
        <f>SUM(R58:R60)</f>
        <v>2135.13</v>
      </c>
      <c r="K61" s="49"/>
    </row>
    <row r="62" spans="1:22" ht="14.25" x14ac:dyDescent="0.2">
      <c r="A62" s="19"/>
      <c r="B62" s="19"/>
      <c r="C62" s="19" t="s">
        <v>701</v>
      </c>
      <c r="D62" s="20" t="s">
        <v>700</v>
      </c>
      <c r="E62" s="47">
        <f>Source!AU36</f>
        <v>10</v>
      </c>
      <c r="F62" s="49"/>
      <c r="G62" s="21"/>
      <c r="H62" s="47"/>
      <c r="I62" s="47"/>
      <c r="J62" s="49">
        <f>SUM(T58:T61)</f>
        <v>305.02</v>
      </c>
      <c r="K62" s="49"/>
    </row>
    <row r="63" spans="1:22" ht="14.25" x14ac:dyDescent="0.2">
      <c r="A63" s="19"/>
      <c r="B63" s="19"/>
      <c r="C63" s="19" t="s">
        <v>702</v>
      </c>
      <c r="D63" s="20" t="s">
        <v>703</v>
      </c>
      <c r="E63" s="47">
        <f>Source!AQ36</f>
        <v>12.77</v>
      </c>
      <c r="F63" s="49"/>
      <c r="G63" s="21" t="str">
        <f>Source!DI36</f>
        <v/>
      </c>
      <c r="H63" s="47">
        <f>Source!AV36</f>
        <v>1</v>
      </c>
      <c r="I63" s="47"/>
      <c r="J63" s="49"/>
      <c r="K63" s="49">
        <f>Source!U36</f>
        <v>9.9095200000000006</v>
      </c>
    </row>
    <row r="64" spans="1:22" ht="15" x14ac:dyDescent="0.25">
      <c r="A64" s="53"/>
      <c r="B64" s="53"/>
      <c r="C64" s="53"/>
      <c r="D64" s="53"/>
      <c r="E64" s="53"/>
      <c r="F64" s="53"/>
      <c r="G64" s="53"/>
      <c r="H64" s="53"/>
      <c r="I64" s="69">
        <f>J59+J60+J61+J62</f>
        <v>6568.76</v>
      </c>
      <c r="J64" s="69"/>
      <c r="K64" s="51">
        <f>IF(Source!I36&lt;&gt;0, ROUND(I64/Source!I36, 2), 0)</f>
        <v>8464.9</v>
      </c>
      <c r="P64" s="54">
        <f>I64</f>
        <v>6568.76</v>
      </c>
    </row>
    <row r="65" spans="1:22" ht="42.75" x14ac:dyDescent="0.2">
      <c r="A65" s="19">
        <v>6</v>
      </c>
      <c r="B65" s="19" t="str">
        <f>Source!F37</f>
        <v>1.7-3204-1-4/1</v>
      </c>
      <c r="C65" s="19" t="str">
        <f>Source!G37</f>
        <v>Разборка трубопроводов центрального отопления на сварке диаметром труб до 50 мм</v>
      </c>
      <c r="D65" s="20" t="str">
        <f>Source!H37</f>
        <v>100 м</v>
      </c>
      <c r="E65" s="47">
        <f>Source!I37</f>
        <v>0.4</v>
      </c>
      <c r="F65" s="49"/>
      <c r="G65" s="21"/>
      <c r="H65" s="47"/>
      <c r="I65" s="47"/>
      <c r="J65" s="49"/>
      <c r="K65" s="49"/>
      <c r="Q65" s="46">
        <f>ROUND((Source!BZ37/100)*ROUND((Source!AF37*Source!AV37)*Source!I37, 2), 2)</f>
        <v>3750</v>
      </c>
      <c r="R65" s="46">
        <f>Source!X37</f>
        <v>3750</v>
      </c>
      <c r="S65" s="46">
        <f>ROUND((Source!CA37/100)*ROUND((Source!AF37*Source!AV37)*Source!I37, 2), 2)</f>
        <v>535.71</v>
      </c>
      <c r="T65" s="46">
        <f>Source!Y37</f>
        <v>535.71</v>
      </c>
      <c r="U65" s="46">
        <f>ROUND((175/100)*ROUND((Source!AE37*Source!AV37)*Source!I37, 2), 2)</f>
        <v>0.6</v>
      </c>
      <c r="V65" s="46">
        <f>ROUND((108/100)*ROUND(Source!CS37*Source!I37, 2), 2)</f>
        <v>0.37</v>
      </c>
    </row>
    <row r="66" spans="1:22" ht="14.25" x14ac:dyDescent="0.2">
      <c r="A66" s="19"/>
      <c r="B66" s="19"/>
      <c r="C66" s="19" t="s">
        <v>697</v>
      </c>
      <c r="D66" s="20"/>
      <c r="E66" s="47"/>
      <c r="F66" s="49">
        <f>Source!AO37</f>
        <v>13392.85</v>
      </c>
      <c r="G66" s="21" t="str">
        <f>Source!DG37</f>
        <v/>
      </c>
      <c r="H66" s="47">
        <f>Source!AV37</f>
        <v>1</v>
      </c>
      <c r="I66" s="47">
        <f>IF(Source!BA37&lt;&gt; 0, Source!BA37, 1)</f>
        <v>1</v>
      </c>
      <c r="J66" s="49">
        <f>Source!S37</f>
        <v>5357.14</v>
      </c>
      <c r="K66" s="49"/>
    </row>
    <row r="67" spans="1:22" ht="14.25" x14ac:dyDescent="0.2">
      <c r="A67" s="19"/>
      <c r="B67" s="19"/>
      <c r="C67" s="19" t="s">
        <v>698</v>
      </c>
      <c r="D67" s="20"/>
      <c r="E67" s="47"/>
      <c r="F67" s="49">
        <f>Source!AM37</f>
        <v>29.75</v>
      </c>
      <c r="G67" s="21" t="str">
        <f>Source!DE37</f>
        <v/>
      </c>
      <c r="H67" s="47">
        <f>Source!AV37</f>
        <v>1</v>
      </c>
      <c r="I67" s="47">
        <f>IF(Source!BB37&lt;&gt; 0, Source!BB37, 1)</f>
        <v>1</v>
      </c>
      <c r="J67" s="49">
        <f>Source!Q37</f>
        <v>11.9</v>
      </c>
      <c r="K67" s="49"/>
    </row>
    <row r="68" spans="1:22" ht="14.25" x14ac:dyDescent="0.2">
      <c r="A68" s="19"/>
      <c r="B68" s="19"/>
      <c r="C68" s="19" t="s">
        <v>705</v>
      </c>
      <c r="D68" s="20"/>
      <c r="E68" s="47"/>
      <c r="F68" s="49">
        <f>Source!AN37</f>
        <v>0.85</v>
      </c>
      <c r="G68" s="21" t="str">
        <f>Source!DF37</f>
        <v/>
      </c>
      <c r="H68" s="47">
        <f>Source!AV37</f>
        <v>1</v>
      </c>
      <c r="I68" s="47">
        <f>IF(Source!BS37&lt;&gt; 0, Source!BS37, 1)</f>
        <v>1</v>
      </c>
      <c r="J68" s="25">
        <f>Source!R37</f>
        <v>0.34</v>
      </c>
      <c r="K68" s="49"/>
    </row>
    <row r="69" spans="1:22" ht="14.25" x14ac:dyDescent="0.2">
      <c r="A69" s="19"/>
      <c r="B69" s="19"/>
      <c r="C69" s="19" t="s">
        <v>704</v>
      </c>
      <c r="D69" s="20"/>
      <c r="E69" s="47"/>
      <c r="F69" s="49">
        <f>Source!AL37</f>
        <v>539.47</v>
      </c>
      <c r="G69" s="21" t="str">
        <f>Source!DD37</f>
        <v/>
      </c>
      <c r="H69" s="47">
        <f>Source!AW37</f>
        <v>1</v>
      </c>
      <c r="I69" s="47">
        <f>IF(Source!BC37&lt;&gt; 0, Source!BC37, 1)</f>
        <v>1</v>
      </c>
      <c r="J69" s="49">
        <f>Source!P37</f>
        <v>215.79</v>
      </c>
      <c r="K69" s="49"/>
    </row>
    <row r="70" spans="1:22" ht="28.5" x14ac:dyDescent="0.2">
      <c r="A70" s="19">
        <v>7</v>
      </c>
      <c r="B70" s="19" t="str">
        <f>Source!F38</f>
        <v>9999990001</v>
      </c>
      <c r="C70" s="19" t="str">
        <f>Source!G38</f>
        <v>Масса мусора</v>
      </c>
      <c r="D70" s="20" t="str">
        <f>Source!H38</f>
        <v>т</v>
      </c>
      <c r="E70" s="47">
        <f>Source!I38</f>
        <v>-0.18160000000000001</v>
      </c>
      <c r="F70" s="49">
        <f>Source!AK38</f>
        <v>0</v>
      </c>
      <c r="G70" s="24" t="s">
        <v>3</v>
      </c>
      <c r="H70" s="47">
        <f>Source!AW38</f>
        <v>1</v>
      </c>
      <c r="I70" s="47">
        <f>IF(Source!BC38&lt;&gt; 0, Source!BC38, 1)</f>
        <v>1</v>
      </c>
      <c r="J70" s="49">
        <f>Source!O38</f>
        <v>0</v>
      </c>
      <c r="K70" s="49"/>
      <c r="Q70" s="46">
        <f>ROUND((Source!BZ38/100)*ROUND((Source!AF38*Source!AV38)*Source!I38, 2), 2)</f>
        <v>0</v>
      </c>
      <c r="R70" s="46">
        <f>Source!X38</f>
        <v>0</v>
      </c>
      <c r="S70" s="46">
        <f>ROUND((Source!CA38/100)*ROUND((Source!AF38*Source!AV38)*Source!I38, 2), 2)</f>
        <v>0</v>
      </c>
      <c r="T70" s="46">
        <f>Source!Y38</f>
        <v>0</v>
      </c>
      <c r="U70" s="46">
        <f>ROUND((175/100)*ROUND((Source!AE38*Source!AV38)*Source!I38, 2), 2)</f>
        <v>0</v>
      </c>
      <c r="V70" s="46">
        <f>ROUND((108/100)*ROUND(Source!CS38*Source!I38, 2), 2)</f>
        <v>0</v>
      </c>
    </row>
    <row r="71" spans="1:22" ht="14.25" x14ac:dyDescent="0.2">
      <c r="A71" s="19"/>
      <c r="B71" s="19"/>
      <c r="C71" s="19" t="s">
        <v>699</v>
      </c>
      <c r="D71" s="20" t="s">
        <v>700</v>
      </c>
      <c r="E71" s="47">
        <f>Source!AT37</f>
        <v>70</v>
      </c>
      <c r="F71" s="49"/>
      <c r="G71" s="21"/>
      <c r="H71" s="47"/>
      <c r="I71" s="47"/>
      <c r="J71" s="49">
        <f>SUM(R65:R70)</f>
        <v>3750</v>
      </c>
      <c r="K71" s="49"/>
    </row>
    <row r="72" spans="1:22" ht="14.25" x14ac:dyDescent="0.2">
      <c r="A72" s="19"/>
      <c r="B72" s="19"/>
      <c r="C72" s="19" t="s">
        <v>701</v>
      </c>
      <c r="D72" s="20" t="s">
        <v>700</v>
      </c>
      <c r="E72" s="47">
        <f>Source!AU37</f>
        <v>10</v>
      </c>
      <c r="F72" s="49"/>
      <c r="G72" s="21"/>
      <c r="H72" s="47"/>
      <c r="I72" s="47"/>
      <c r="J72" s="49">
        <f>SUM(T65:T71)</f>
        <v>535.71</v>
      </c>
      <c r="K72" s="49"/>
    </row>
    <row r="73" spans="1:22" ht="14.25" x14ac:dyDescent="0.2">
      <c r="A73" s="19"/>
      <c r="B73" s="19"/>
      <c r="C73" s="19" t="s">
        <v>706</v>
      </c>
      <c r="D73" s="20" t="s">
        <v>700</v>
      </c>
      <c r="E73" s="47">
        <f>108</f>
        <v>108</v>
      </c>
      <c r="F73" s="49"/>
      <c r="G73" s="21"/>
      <c r="H73" s="47"/>
      <c r="I73" s="47"/>
      <c r="J73" s="49">
        <f>SUM(V65:V72)</f>
        <v>0.37</v>
      </c>
      <c r="K73" s="49"/>
    </row>
    <row r="74" spans="1:22" ht="14.25" x14ac:dyDescent="0.2">
      <c r="A74" s="19"/>
      <c r="B74" s="19"/>
      <c r="C74" s="19" t="s">
        <v>702</v>
      </c>
      <c r="D74" s="20" t="s">
        <v>703</v>
      </c>
      <c r="E74" s="47">
        <f>Source!AQ37</f>
        <v>49.34</v>
      </c>
      <c r="F74" s="49"/>
      <c r="G74" s="21" t="str">
        <f>Source!DI37</f>
        <v/>
      </c>
      <c r="H74" s="47">
        <f>Source!AV37</f>
        <v>1</v>
      </c>
      <c r="I74" s="47"/>
      <c r="J74" s="49"/>
      <c r="K74" s="49">
        <f>Source!U37</f>
        <v>19.736000000000004</v>
      </c>
    </row>
    <row r="75" spans="1:22" ht="15" x14ac:dyDescent="0.25">
      <c r="A75" s="53"/>
      <c r="B75" s="53"/>
      <c r="C75" s="53"/>
      <c r="D75" s="53"/>
      <c r="E75" s="53"/>
      <c r="F75" s="53"/>
      <c r="G75" s="53"/>
      <c r="H75" s="53"/>
      <c r="I75" s="69">
        <f>J66+J67+J69+J71+J72+J73+SUM(J70:J70)</f>
        <v>9870.9100000000017</v>
      </c>
      <c r="J75" s="69"/>
      <c r="K75" s="51">
        <f>IF(Source!I37&lt;&gt;0, ROUND(I75/Source!I37, 2), 0)</f>
        <v>24677.279999999999</v>
      </c>
      <c r="P75" s="54">
        <f>I75</f>
        <v>9870.9100000000017</v>
      </c>
    </row>
    <row r="76" spans="1:22" ht="28.5" x14ac:dyDescent="0.2">
      <c r="A76" s="19">
        <v>8</v>
      </c>
      <c r="B76" s="19" t="str">
        <f>Source!F39</f>
        <v>1.2-3105-1-1/1</v>
      </c>
      <c r="C76" s="19" t="str">
        <f>Source!G39</f>
        <v>Вынос и занос мебели, в том числе спортивных снарядов массой до 50 кг</v>
      </c>
      <c r="D76" s="20" t="str">
        <f>Source!H39</f>
        <v>шт.</v>
      </c>
      <c r="E76" s="47">
        <f>Source!I39</f>
        <v>15</v>
      </c>
      <c r="F76" s="49"/>
      <c r="G76" s="21"/>
      <c r="H76" s="47"/>
      <c r="I76" s="47"/>
      <c r="J76" s="49"/>
      <c r="K76" s="49"/>
      <c r="Q76" s="46">
        <f>ROUND((Source!BZ39/100)*ROUND((Source!AF39*Source!AV39)*Source!I39, 2), 2)</f>
        <v>494.66</v>
      </c>
      <c r="R76" s="46">
        <f>Source!X39</f>
        <v>494.66</v>
      </c>
      <c r="S76" s="46">
        <f>ROUND((Source!CA39/100)*ROUND((Source!AF39*Source!AV39)*Source!I39, 2), 2)</f>
        <v>70.67</v>
      </c>
      <c r="T76" s="46">
        <f>Source!Y39</f>
        <v>70.67</v>
      </c>
      <c r="U76" s="46">
        <f>ROUND((175/100)*ROUND((Source!AE39*Source!AV39)*Source!I39, 2), 2)</f>
        <v>0</v>
      </c>
      <c r="V76" s="46">
        <f>ROUND((108/100)*ROUND(Source!CS39*Source!I39, 2), 2)</f>
        <v>0</v>
      </c>
    </row>
    <row r="77" spans="1:22" ht="14.25" x14ac:dyDescent="0.2">
      <c r="A77" s="19"/>
      <c r="B77" s="19"/>
      <c r="C77" s="19" t="s">
        <v>697</v>
      </c>
      <c r="D77" s="20"/>
      <c r="E77" s="47"/>
      <c r="F77" s="49">
        <f>Source!AO39</f>
        <v>47.11</v>
      </c>
      <c r="G77" s="21" t="str">
        <f>Source!DG39</f>
        <v/>
      </c>
      <c r="H77" s="47">
        <f>Source!AV39</f>
        <v>1</v>
      </c>
      <c r="I77" s="47">
        <f>IF(Source!BA39&lt;&gt; 0, Source!BA39, 1)</f>
        <v>1</v>
      </c>
      <c r="J77" s="49">
        <f>Source!S39</f>
        <v>706.65</v>
      </c>
      <c r="K77" s="49"/>
    </row>
    <row r="78" spans="1:22" ht="14.25" x14ac:dyDescent="0.2">
      <c r="A78" s="19"/>
      <c r="B78" s="19"/>
      <c r="C78" s="19" t="s">
        <v>699</v>
      </c>
      <c r="D78" s="20" t="s">
        <v>700</v>
      </c>
      <c r="E78" s="47">
        <f>Source!AT39</f>
        <v>70</v>
      </c>
      <c r="F78" s="49"/>
      <c r="G78" s="21"/>
      <c r="H78" s="47"/>
      <c r="I78" s="47"/>
      <c r="J78" s="49">
        <f>SUM(R76:R77)</f>
        <v>494.66</v>
      </c>
      <c r="K78" s="49"/>
    </row>
    <row r="79" spans="1:22" ht="14.25" x14ac:dyDescent="0.2">
      <c r="A79" s="19"/>
      <c r="B79" s="19"/>
      <c r="C79" s="19" t="s">
        <v>701</v>
      </c>
      <c r="D79" s="20" t="s">
        <v>700</v>
      </c>
      <c r="E79" s="47">
        <f>Source!AU39</f>
        <v>10</v>
      </c>
      <c r="F79" s="49"/>
      <c r="G79" s="21"/>
      <c r="H79" s="47"/>
      <c r="I79" s="47"/>
      <c r="J79" s="49">
        <f>SUM(T76:T78)</f>
        <v>70.67</v>
      </c>
      <c r="K79" s="49"/>
    </row>
    <row r="80" spans="1:22" ht="14.25" x14ac:dyDescent="0.2">
      <c r="A80" s="19"/>
      <c r="B80" s="19"/>
      <c r="C80" s="19" t="s">
        <v>702</v>
      </c>
      <c r="D80" s="20" t="s">
        <v>703</v>
      </c>
      <c r="E80" s="47">
        <f>Source!AQ39</f>
        <v>0.19</v>
      </c>
      <c r="F80" s="49"/>
      <c r="G80" s="21" t="str">
        <f>Source!DI39</f>
        <v/>
      </c>
      <c r="H80" s="47">
        <f>Source!AV39</f>
        <v>1</v>
      </c>
      <c r="I80" s="47"/>
      <c r="J80" s="49"/>
      <c r="K80" s="49">
        <f>Source!U39</f>
        <v>2.85</v>
      </c>
    </row>
    <row r="81" spans="1:22" ht="15" x14ac:dyDescent="0.25">
      <c r="A81" s="53"/>
      <c r="B81" s="53"/>
      <c r="C81" s="53"/>
      <c r="D81" s="53"/>
      <c r="E81" s="53"/>
      <c r="F81" s="53"/>
      <c r="G81" s="53"/>
      <c r="H81" s="53"/>
      <c r="I81" s="69">
        <f>J77+J78+J79</f>
        <v>1271.98</v>
      </c>
      <c r="J81" s="69"/>
      <c r="K81" s="51">
        <f>IF(Source!I39&lt;&gt;0, ROUND(I81/Source!I39, 2), 0)</f>
        <v>84.8</v>
      </c>
      <c r="P81" s="54">
        <f>I81</f>
        <v>1271.98</v>
      </c>
    </row>
    <row r="82" spans="1:22" ht="156" x14ac:dyDescent="0.2">
      <c r="A82" s="19">
        <v>9</v>
      </c>
      <c r="B82" s="19" t="s">
        <v>707</v>
      </c>
      <c r="C82" s="19" t="s">
        <v>708</v>
      </c>
      <c r="D82" s="20" t="str">
        <f>Source!H40</f>
        <v>т</v>
      </c>
      <c r="E82" s="47">
        <f>Source!I40</f>
        <v>0.13744000000000001</v>
      </c>
      <c r="F82" s="49"/>
      <c r="G82" s="21"/>
      <c r="H82" s="47"/>
      <c r="I82" s="47"/>
      <c r="J82" s="49"/>
      <c r="K82" s="49"/>
      <c r="Q82" s="46">
        <f>ROUND((Source!BZ40/100)*ROUND((Source!AF40*Source!AV40)*Source!I40, 2), 2)</f>
        <v>906.07</v>
      </c>
      <c r="R82" s="46">
        <f>Source!X40</f>
        <v>906.07</v>
      </c>
      <c r="S82" s="46">
        <f>ROUND((Source!CA40/100)*ROUND((Source!AF40*Source!AV40)*Source!I40, 2), 2)</f>
        <v>129.44</v>
      </c>
      <c r="T82" s="46">
        <f>Source!Y40</f>
        <v>129.44</v>
      </c>
      <c r="U82" s="46">
        <f>ROUND((175/100)*ROUND((Source!AE40*Source!AV40)*Source!I40, 2), 2)</f>
        <v>2.35</v>
      </c>
      <c r="V82" s="46">
        <f>ROUND((108/100)*ROUND(Source!CS40*Source!I40, 2), 2)</f>
        <v>1.45</v>
      </c>
    </row>
    <row r="83" spans="1:22" ht="14.25" x14ac:dyDescent="0.2">
      <c r="A83" s="19"/>
      <c r="B83" s="19"/>
      <c r="C83" s="19" t="s">
        <v>697</v>
      </c>
      <c r="D83" s="20"/>
      <c r="E83" s="47"/>
      <c r="F83" s="49">
        <f>Source!AO40</f>
        <v>47088.86</v>
      </c>
      <c r="G83" s="21" t="str">
        <f>Source!DG40</f>
        <v>)*0,2</v>
      </c>
      <c r="H83" s="47">
        <f>Source!AV40</f>
        <v>1</v>
      </c>
      <c r="I83" s="47">
        <f>IF(Source!BA40&lt;&gt; 0, Source!BA40, 1)</f>
        <v>1</v>
      </c>
      <c r="J83" s="49">
        <f>Source!S40</f>
        <v>1294.3800000000001</v>
      </c>
      <c r="K83" s="49"/>
    </row>
    <row r="84" spans="1:22" ht="14.25" x14ac:dyDescent="0.2">
      <c r="A84" s="19"/>
      <c r="B84" s="19"/>
      <c r="C84" s="19" t="s">
        <v>698</v>
      </c>
      <c r="D84" s="20"/>
      <c r="E84" s="47"/>
      <c r="F84" s="49">
        <f>Source!AM40</f>
        <v>952.94</v>
      </c>
      <c r="G84" s="21" t="str">
        <f>Source!DE40</f>
        <v>)*0,2</v>
      </c>
      <c r="H84" s="47">
        <f>Source!AV40</f>
        <v>1</v>
      </c>
      <c r="I84" s="47">
        <f>IF(Source!BB40&lt;&gt; 0, Source!BB40, 1)</f>
        <v>1</v>
      </c>
      <c r="J84" s="49">
        <f>Source!Q40</f>
        <v>26.19</v>
      </c>
      <c r="K84" s="49"/>
    </row>
    <row r="85" spans="1:22" ht="14.25" x14ac:dyDescent="0.2">
      <c r="A85" s="19"/>
      <c r="B85" s="19"/>
      <c r="C85" s="19" t="s">
        <v>705</v>
      </c>
      <c r="D85" s="20"/>
      <c r="E85" s="47"/>
      <c r="F85" s="49">
        <f>Source!AN40</f>
        <v>48.72</v>
      </c>
      <c r="G85" s="21" t="str">
        <f>Source!DF40</f>
        <v>)*0,2</v>
      </c>
      <c r="H85" s="47">
        <f>Source!AV40</f>
        <v>1</v>
      </c>
      <c r="I85" s="47">
        <f>IF(Source!BS40&lt;&gt; 0, Source!BS40, 1)</f>
        <v>1</v>
      </c>
      <c r="J85" s="25">
        <f>Source!R40</f>
        <v>1.34</v>
      </c>
      <c r="K85" s="49"/>
    </row>
    <row r="86" spans="1:22" ht="14.25" x14ac:dyDescent="0.2">
      <c r="A86" s="19"/>
      <c r="B86" s="19"/>
      <c r="C86" s="19" t="s">
        <v>699</v>
      </c>
      <c r="D86" s="20" t="s">
        <v>700</v>
      </c>
      <c r="E86" s="47">
        <f>Source!AT40</f>
        <v>70</v>
      </c>
      <c r="F86" s="49"/>
      <c r="G86" s="21"/>
      <c r="H86" s="47"/>
      <c r="I86" s="47"/>
      <c r="J86" s="49">
        <f>SUM(R82:R85)</f>
        <v>906.07</v>
      </c>
      <c r="K86" s="49"/>
    </row>
    <row r="87" spans="1:22" ht="14.25" x14ac:dyDescent="0.2">
      <c r="A87" s="19"/>
      <c r="B87" s="19"/>
      <c r="C87" s="19" t="s">
        <v>701</v>
      </c>
      <c r="D87" s="20" t="s">
        <v>700</v>
      </c>
      <c r="E87" s="47">
        <f>Source!AU40</f>
        <v>10</v>
      </c>
      <c r="F87" s="49"/>
      <c r="G87" s="21"/>
      <c r="H87" s="47"/>
      <c r="I87" s="47"/>
      <c r="J87" s="49">
        <f>SUM(T82:T86)</f>
        <v>129.44</v>
      </c>
      <c r="K87" s="49"/>
    </row>
    <row r="88" spans="1:22" ht="14.25" x14ac:dyDescent="0.2">
      <c r="A88" s="19"/>
      <c r="B88" s="19"/>
      <c r="C88" s="19" t="s">
        <v>706</v>
      </c>
      <c r="D88" s="20" t="s">
        <v>700</v>
      </c>
      <c r="E88" s="47">
        <f>108</f>
        <v>108</v>
      </c>
      <c r="F88" s="49"/>
      <c r="G88" s="21"/>
      <c r="H88" s="47"/>
      <c r="I88" s="47"/>
      <c r="J88" s="49">
        <f>SUM(V82:V87)</f>
        <v>1.45</v>
      </c>
      <c r="K88" s="49"/>
    </row>
    <row r="89" spans="1:22" ht="14.25" x14ac:dyDescent="0.2">
      <c r="A89" s="19"/>
      <c r="B89" s="19"/>
      <c r="C89" s="19" t="s">
        <v>702</v>
      </c>
      <c r="D89" s="20" t="s">
        <v>703</v>
      </c>
      <c r="E89" s="47">
        <f>Source!AQ40</f>
        <v>133.4</v>
      </c>
      <c r="F89" s="49"/>
      <c r="G89" s="21" t="str">
        <f>Source!DI40</f>
        <v>)*0,2</v>
      </c>
      <c r="H89" s="47">
        <f>Source!AV40</f>
        <v>1</v>
      </c>
      <c r="I89" s="47"/>
      <c r="J89" s="49"/>
      <c r="K89" s="49">
        <f>Source!U40</f>
        <v>3.6668992000000005</v>
      </c>
    </row>
    <row r="90" spans="1:22" ht="15" x14ac:dyDescent="0.25">
      <c r="A90" s="53"/>
      <c r="B90" s="53"/>
      <c r="C90" s="53"/>
      <c r="D90" s="53"/>
      <c r="E90" s="53"/>
      <c r="F90" s="53"/>
      <c r="G90" s="53"/>
      <c r="H90" s="53"/>
      <c r="I90" s="69">
        <f>J83+J84+J86+J87+J88</f>
        <v>2357.5300000000002</v>
      </c>
      <c r="J90" s="69"/>
      <c r="K90" s="51">
        <f>IF(Source!I40&lt;&gt;0, ROUND(I90/Source!I40, 2), 0)</f>
        <v>17153.16</v>
      </c>
      <c r="P90" s="54">
        <f>I90</f>
        <v>2357.5300000000002</v>
      </c>
    </row>
    <row r="91" spans="1:22" ht="57" x14ac:dyDescent="0.2">
      <c r="A91" s="19">
        <v>10</v>
      </c>
      <c r="B91" s="19" t="str">
        <f>Source!F41</f>
        <v>1.50-3204-4-1/1</v>
      </c>
      <c r="C91" s="19" t="str">
        <f>Source!G41</f>
        <v>Пробивка отбойным молотком сквозных отверстий в бетонных стенах и фундаментах толщиной 0,4 м для трубопроводов диаметром 100 мм</v>
      </c>
      <c r="D91" s="20" t="str">
        <f>Source!H41</f>
        <v>100 шт.</v>
      </c>
      <c r="E91" s="47">
        <f>Source!I41</f>
        <v>0.05</v>
      </c>
      <c r="F91" s="49"/>
      <c r="G91" s="21"/>
      <c r="H91" s="47"/>
      <c r="I91" s="47"/>
      <c r="J91" s="49"/>
      <c r="K91" s="49"/>
      <c r="Q91" s="46">
        <f>ROUND((Source!BZ41/100)*ROUND((Source!AF41*Source!AV41)*Source!I41, 2), 2)</f>
        <v>1723.18</v>
      </c>
      <c r="R91" s="46">
        <f>Source!X41</f>
        <v>1723.18</v>
      </c>
      <c r="S91" s="46">
        <f>ROUND((Source!CA41/100)*ROUND((Source!AF41*Source!AV41)*Source!I41, 2), 2)</f>
        <v>246.17</v>
      </c>
      <c r="T91" s="46">
        <f>Source!Y41</f>
        <v>246.17</v>
      </c>
      <c r="U91" s="46">
        <f>ROUND((175/100)*ROUND((Source!AE41*Source!AV41)*Source!I41, 2), 2)</f>
        <v>2942.82</v>
      </c>
      <c r="V91" s="46">
        <f>ROUND((108/100)*ROUND(Source!CS41*Source!I41, 2), 2)</f>
        <v>1816.14</v>
      </c>
    </row>
    <row r="92" spans="1:22" ht="14.25" x14ac:dyDescent="0.2">
      <c r="A92" s="19"/>
      <c r="B92" s="19"/>
      <c r="C92" s="19" t="s">
        <v>697</v>
      </c>
      <c r="D92" s="20"/>
      <c r="E92" s="47"/>
      <c r="F92" s="49">
        <f>Source!AO41</f>
        <v>49233.8</v>
      </c>
      <c r="G92" s="21" t="str">
        <f>Source!DG41</f>
        <v/>
      </c>
      <c r="H92" s="47">
        <f>Source!AV41</f>
        <v>1</v>
      </c>
      <c r="I92" s="47">
        <f>IF(Source!BA41&lt;&gt; 0, Source!BA41, 1)</f>
        <v>1</v>
      </c>
      <c r="J92" s="49">
        <f>Source!S41</f>
        <v>2461.69</v>
      </c>
      <c r="K92" s="49"/>
    </row>
    <row r="93" spans="1:22" ht="14.25" x14ac:dyDescent="0.2">
      <c r="A93" s="19"/>
      <c r="B93" s="19"/>
      <c r="C93" s="19" t="s">
        <v>698</v>
      </c>
      <c r="D93" s="20"/>
      <c r="E93" s="47"/>
      <c r="F93" s="49">
        <f>Source!AM41</f>
        <v>44753.25</v>
      </c>
      <c r="G93" s="21" t="str">
        <f>Source!DE41</f>
        <v/>
      </c>
      <c r="H93" s="47">
        <f>Source!AV41</f>
        <v>1</v>
      </c>
      <c r="I93" s="47">
        <f>IF(Source!BB41&lt;&gt; 0, Source!BB41, 1)</f>
        <v>1</v>
      </c>
      <c r="J93" s="49">
        <f>Source!Q41</f>
        <v>2237.66</v>
      </c>
      <c r="K93" s="49"/>
    </row>
    <row r="94" spans="1:22" ht="14.25" x14ac:dyDescent="0.2">
      <c r="A94" s="19"/>
      <c r="B94" s="19"/>
      <c r="C94" s="19" t="s">
        <v>705</v>
      </c>
      <c r="D94" s="20"/>
      <c r="E94" s="47"/>
      <c r="F94" s="49">
        <f>Source!AN41</f>
        <v>33632.25</v>
      </c>
      <c r="G94" s="21" t="str">
        <f>Source!DF41</f>
        <v/>
      </c>
      <c r="H94" s="47">
        <f>Source!AV41</f>
        <v>1</v>
      </c>
      <c r="I94" s="47">
        <f>IF(Source!BS41&lt;&gt; 0, Source!BS41, 1)</f>
        <v>1</v>
      </c>
      <c r="J94" s="25">
        <f>Source!R41</f>
        <v>1681.61</v>
      </c>
      <c r="K94" s="49"/>
    </row>
    <row r="95" spans="1:22" ht="14.25" x14ac:dyDescent="0.2">
      <c r="A95" s="19"/>
      <c r="B95" s="19"/>
      <c r="C95" s="19" t="s">
        <v>699</v>
      </c>
      <c r="D95" s="20" t="s">
        <v>700</v>
      </c>
      <c r="E95" s="47">
        <f>Source!AT41</f>
        <v>70</v>
      </c>
      <c r="F95" s="49"/>
      <c r="G95" s="21"/>
      <c r="H95" s="47"/>
      <c r="I95" s="47"/>
      <c r="J95" s="49">
        <f>SUM(R91:R94)</f>
        <v>1723.18</v>
      </c>
      <c r="K95" s="49"/>
    </row>
    <row r="96" spans="1:22" ht="14.25" x14ac:dyDescent="0.2">
      <c r="A96" s="19"/>
      <c r="B96" s="19"/>
      <c r="C96" s="19" t="s">
        <v>701</v>
      </c>
      <c r="D96" s="20" t="s">
        <v>700</v>
      </c>
      <c r="E96" s="47">
        <f>Source!AU41</f>
        <v>10</v>
      </c>
      <c r="F96" s="49"/>
      <c r="G96" s="21"/>
      <c r="H96" s="47"/>
      <c r="I96" s="47"/>
      <c r="J96" s="49">
        <f>SUM(T91:T95)</f>
        <v>246.17</v>
      </c>
      <c r="K96" s="49"/>
    </row>
    <row r="97" spans="1:22" ht="14.25" x14ac:dyDescent="0.2">
      <c r="A97" s="19"/>
      <c r="B97" s="19"/>
      <c r="C97" s="19" t="s">
        <v>706</v>
      </c>
      <c r="D97" s="20" t="s">
        <v>700</v>
      </c>
      <c r="E97" s="47">
        <f>108</f>
        <v>108</v>
      </c>
      <c r="F97" s="49"/>
      <c r="G97" s="21"/>
      <c r="H97" s="47"/>
      <c r="I97" s="47"/>
      <c r="J97" s="49">
        <f>SUM(V91:V96)</f>
        <v>1816.14</v>
      </c>
      <c r="K97" s="49"/>
    </row>
    <row r="98" spans="1:22" ht="14.25" x14ac:dyDescent="0.2">
      <c r="A98" s="19"/>
      <c r="B98" s="19"/>
      <c r="C98" s="19" t="s">
        <v>702</v>
      </c>
      <c r="D98" s="20" t="s">
        <v>703</v>
      </c>
      <c r="E98" s="47">
        <f>Source!AQ41</f>
        <v>154</v>
      </c>
      <c r="F98" s="49"/>
      <c r="G98" s="21" t="str">
        <f>Source!DI41</f>
        <v/>
      </c>
      <c r="H98" s="47">
        <f>Source!AV41</f>
        <v>1</v>
      </c>
      <c r="I98" s="47"/>
      <c r="J98" s="49"/>
      <c r="K98" s="49">
        <f>Source!U41</f>
        <v>7.7</v>
      </c>
    </row>
    <row r="99" spans="1:22" ht="15" x14ac:dyDescent="0.25">
      <c r="A99" s="53"/>
      <c r="B99" s="53"/>
      <c r="C99" s="53"/>
      <c r="D99" s="53"/>
      <c r="E99" s="53"/>
      <c r="F99" s="53"/>
      <c r="G99" s="53"/>
      <c r="H99" s="53"/>
      <c r="I99" s="69">
        <f>J92+J93+J95+J96+J97</f>
        <v>8484.84</v>
      </c>
      <c r="J99" s="69"/>
      <c r="K99" s="51">
        <f>IF(Source!I41&lt;&gt;0, ROUND(I99/Source!I41, 2), 0)</f>
        <v>169696.8</v>
      </c>
      <c r="P99" s="54">
        <f>I99</f>
        <v>8484.84</v>
      </c>
    </row>
    <row r="101" spans="1:22" ht="15" x14ac:dyDescent="0.25">
      <c r="A101" s="73" t="str">
        <f>CONCATENATE("Итого по подразделу: ",IF(Source!G43&lt;&gt;"Новый подраздел", Source!G43, ""))</f>
        <v>Итого по подразделу: 1.1 Демонтажные работы</v>
      </c>
      <c r="B101" s="73"/>
      <c r="C101" s="73"/>
      <c r="D101" s="73"/>
      <c r="E101" s="73"/>
      <c r="F101" s="73"/>
      <c r="G101" s="73"/>
      <c r="H101" s="73"/>
      <c r="I101" s="71">
        <f>SUM(P36:P100)</f>
        <v>151830.65</v>
      </c>
      <c r="J101" s="72"/>
      <c r="K101" s="26"/>
    </row>
    <row r="104" spans="1:22" ht="16.5" x14ac:dyDescent="0.25">
      <c r="A104" s="70" t="str">
        <f>CONCATENATE("Подраздел: ",IF(Source!G73&lt;&gt;"Новый подраздел", Source!G73, ""))</f>
        <v>Подраздел: 1.2 Ремонтно-строительные работы</v>
      </c>
      <c r="B104" s="70"/>
      <c r="C104" s="70"/>
      <c r="D104" s="70"/>
      <c r="E104" s="70"/>
      <c r="F104" s="70"/>
      <c r="G104" s="70"/>
      <c r="H104" s="70"/>
      <c r="I104" s="70"/>
      <c r="J104" s="70"/>
      <c r="K104" s="70"/>
    </row>
    <row r="105" spans="1:22" ht="42.75" x14ac:dyDescent="0.2">
      <c r="A105" s="19">
        <v>11</v>
      </c>
      <c r="B105" s="19" t="str">
        <f>Source!F77</f>
        <v>1.13-3103-1-1/1</v>
      </c>
      <c r="C105" s="19" t="str">
        <f>Source!G77</f>
        <v>Простая штукатурка поверхностей стен по камню и бетону известковым раствором</v>
      </c>
      <c r="D105" s="20" t="str">
        <f>Source!H77</f>
        <v>100 м2</v>
      </c>
      <c r="E105" s="47">
        <f>Source!I77</f>
        <v>3.9590999999999998</v>
      </c>
      <c r="F105" s="49"/>
      <c r="G105" s="21"/>
      <c r="H105" s="47"/>
      <c r="I105" s="47"/>
      <c r="J105" s="49"/>
      <c r="K105" s="49"/>
      <c r="Q105" s="46">
        <f>ROUND((Source!BZ77/100)*ROUND((Source!AF77*Source!AV77)*Source!I77, 2), 2)</f>
        <v>52359.47</v>
      </c>
      <c r="R105" s="46">
        <f>Source!X77</f>
        <v>52359.47</v>
      </c>
      <c r="S105" s="46">
        <f>ROUND((Source!CA77/100)*ROUND((Source!AF77*Source!AV77)*Source!I77, 2), 2)</f>
        <v>7479.92</v>
      </c>
      <c r="T105" s="46">
        <f>Source!Y77</f>
        <v>7479.92</v>
      </c>
      <c r="U105" s="46">
        <f>ROUND((175/100)*ROUND((Source!AE77*Source!AV77)*Source!I77, 2), 2)</f>
        <v>14524.27</v>
      </c>
      <c r="V105" s="46">
        <f>ROUND((108/100)*ROUND(Source!CS77*Source!I77, 2), 2)</f>
        <v>8963.5499999999993</v>
      </c>
    </row>
    <row r="106" spans="1:22" ht="14.25" x14ac:dyDescent="0.2">
      <c r="A106" s="19"/>
      <c r="B106" s="19"/>
      <c r="C106" s="19" t="s">
        <v>697</v>
      </c>
      <c r="D106" s="20"/>
      <c r="E106" s="47"/>
      <c r="F106" s="49">
        <f>Source!AO77</f>
        <v>18892.990000000002</v>
      </c>
      <c r="G106" s="21" t="str">
        <f>Source!DG77</f>
        <v/>
      </c>
      <c r="H106" s="47">
        <f>Source!AV77</f>
        <v>1</v>
      </c>
      <c r="I106" s="47">
        <f>IF(Source!BA77&lt;&gt; 0, Source!BA77, 1)</f>
        <v>1</v>
      </c>
      <c r="J106" s="49">
        <f>Source!S77</f>
        <v>74799.240000000005</v>
      </c>
      <c r="K106" s="49"/>
    </row>
    <row r="107" spans="1:22" ht="14.25" x14ac:dyDescent="0.2">
      <c r="A107" s="19"/>
      <c r="B107" s="19"/>
      <c r="C107" s="19" t="s">
        <v>698</v>
      </c>
      <c r="D107" s="20"/>
      <c r="E107" s="47"/>
      <c r="F107" s="49">
        <f>Source!AM77</f>
        <v>2362.37</v>
      </c>
      <c r="G107" s="21" t="str">
        <f>Source!DE77</f>
        <v/>
      </c>
      <c r="H107" s="47">
        <f>Source!AV77</f>
        <v>1</v>
      </c>
      <c r="I107" s="47">
        <f>IF(Source!BB77&lt;&gt; 0, Source!BB77, 1)</f>
        <v>1</v>
      </c>
      <c r="J107" s="49">
        <f>Source!Q77</f>
        <v>9352.86</v>
      </c>
      <c r="K107" s="49"/>
    </row>
    <row r="108" spans="1:22" ht="14.25" x14ac:dyDescent="0.2">
      <c r="A108" s="19"/>
      <c r="B108" s="19"/>
      <c r="C108" s="19" t="s">
        <v>705</v>
      </c>
      <c r="D108" s="20"/>
      <c r="E108" s="47"/>
      <c r="F108" s="49">
        <f>Source!AN77</f>
        <v>2096.33</v>
      </c>
      <c r="G108" s="21" t="str">
        <f>Source!DF77</f>
        <v/>
      </c>
      <c r="H108" s="47">
        <f>Source!AV77</f>
        <v>1</v>
      </c>
      <c r="I108" s="47">
        <f>IF(Source!BS77&lt;&gt; 0, Source!BS77, 1)</f>
        <v>1</v>
      </c>
      <c r="J108" s="25">
        <f>Source!R77</f>
        <v>8299.58</v>
      </c>
      <c r="K108" s="49"/>
    </row>
    <row r="109" spans="1:22" ht="14.25" x14ac:dyDescent="0.2">
      <c r="A109" s="19"/>
      <c r="B109" s="19"/>
      <c r="C109" s="19" t="s">
        <v>704</v>
      </c>
      <c r="D109" s="20"/>
      <c r="E109" s="47"/>
      <c r="F109" s="49">
        <f>Source!AL77</f>
        <v>12290.28</v>
      </c>
      <c r="G109" s="21" t="str">
        <f>Source!DD77</f>
        <v/>
      </c>
      <c r="H109" s="47">
        <f>Source!AW77</f>
        <v>1</v>
      </c>
      <c r="I109" s="47">
        <f>IF(Source!BC77&lt;&gt; 0, Source!BC77, 1)</f>
        <v>1</v>
      </c>
      <c r="J109" s="49">
        <f>Source!P77</f>
        <v>48658.45</v>
      </c>
      <c r="K109" s="49"/>
    </row>
    <row r="110" spans="1:22" ht="14.25" x14ac:dyDescent="0.2">
      <c r="A110" s="19"/>
      <c r="B110" s="19"/>
      <c r="C110" s="19" t="s">
        <v>699</v>
      </c>
      <c r="D110" s="20" t="s">
        <v>700</v>
      </c>
      <c r="E110" s="47">
        <f>Source!AT77</f>
        <v>70</v>
      </c>
      <c r="F110" s="49"/>
      <c r="G110" s="21"/>
      <c r="H110" s="47"/>
      <c r="I110" s="47"/>
      <c r="J110" s="49">
        <f>SUM(R105:R109)</f>
        <v>52359.47</v>
      </c>
      <c r="K110" s="49"/>
    </row>
    <row r="111" spans="1:22" ht="14.25" x14ac:dyDescent="0.2">
      <c r="A111" s="19"/>
      <c r="B111" s="19"/>
      <c r="C111" s="19" t="s">
        <v>701</v>
      </c>
      <c r="D111" s="20" t="s">
        <v>700</v>
      </c>
      <c r="E111" s="47">
        <f>Source!AU77</f>
        <v>10</v>
      </c>
      <c r="F111" s="49"/>
      <c r="G111" s="21"/>
      <c r="H111" s="47"/>
      <c r="I111" s="47"/>
      <c r="J111" s="49">
        <f>SUM(T105:T110)</f>
        <v>7479.92</v>
      </c>
      <c r="K111" s="49"/>
    </row>
    <row r="112" spans="1:22" ht="14.25" x14ac:dyDescent="0.2">
      <c r="A112" s="19"/>
      <c r="B112" s="19"/>
      <c r="C112" s="19" t="s">
        <v>706</v>
      </c>
      <c r="D112" s="20" t="s">
        <v>700</v>
      </c>
      <c r="E112" s="47">
        <f>108</f>
        <v>108</v>
      </c>
      <c r="F112" s="49"/>
      <c r="G112" s="21"/>
      <c r="H112" s="47"/>
      <c r="I112" s="47"/>
      <c r="J112" s="49">
        <f>SUM(V105:V111)</f>
        <v>8963.5499999999993</v>
      </c>
      <c r="K112" s="49"/>
    </row>
    <row r="113" spans="1:22" ht="14.25" x14ac:dyDescent="0.2">
      <c r="A113" s="19"/>
      <c r="B113" s="19"/>
      <c r="C113" s="19" t="s">
        <v>702</v>
      </c>
      <c r="D113" s="20" t="s">
        <v>703</v>
      </c>
      <c r="E113" s="47">
        <f>Source!AQ77</f>
        <v>63.94</v>
      </c>
      <c r="F113" s="49"/>
      <c r="G113" s="21" t="str">
        <f>Source!DI77</f>
        <v/>
      </c>
      <c r="H113" s="47">
        <f>Source!AV77</f>
        <v>1</v>
      </c>
      <c r="I113" s="47"/>
      <c r="J113" s="49"/>
      <c r="K113" s="49">
        <f>Source!U77</f>
        <v>253.14485399999998</v>
      </c>
    </row>
    <row r="114" spans="1:22" ht="15" x14ac:dyDescent="0.25">
      <c r="A114" s="53"/>
      <c r="B114" s="53"/>
      <c r="C114" s="53"/>
      <c r="D114" s="53"/>
      <c r="E114" s="53"/>
      <c r="F114" s="53"/>
      <c r="G114" s="53"/>
      <c r="H114" s="53"/>
      <c r="I114" s="69">
        <f>J106+J107+J109+J110+J111+J112</f>
        <v>201613.49</v>
      </c>
      <c r="J114" s="69"/>
      <c r="K114" s="51">
        <f>IF(Source!I77&lt;&gt;0, ROUND(I114/Source!I77, 2), 0)</f>
        <v>50924.07</v>
      </c>
      <c r="P114" s="54">
        <f>I114</f>
        <v>201613.49</v>
      </c>
    </row>
    <row r="115" spans="1:22" ht="42.75" x14ac:dyDescent="0.2">
      <c r="A115" s="19">
        <v>12</v>
      </c>
      <c r="B115" s="19" t="str">
        <f>Source!F78</f>
        <v>1.13-3703-1-1/1</v>
      </c>
      <c r="C115" s="19" t="str">
        <f>Source!G78</f>
        <v>Обработка поверхностей стен грунтовкой глубокого проникновения внутри помещения</v>
      </c>
      <c r="D115" s="20" t="str">
        <f>Source!H78</f>
        <v>100 м2</v>
      </c>
      <c r="E115" s="47">
        <f>Source!I78</f>
        <v>3.9590999999999998</v>
      </c>
      <c r="F115" s="49"/>
      <c r="G115" s="21"/>
      <c r="H115" s="47"/>
      <c r="I115" s="47"/>
      <c r="J115" s="49"/>
      <c r="K115" s="49"/>
      <c r="Q115" s="46">
        <f>ROUND((Source!BZ78/100)*ROUND((Source!AF78*Source!AV78)*Source!I78, 2), 2)</f>
        <v>4110.97</v>
      </c>
      <c r="R115" s="46">
        <f>Source!X78</f>
        <v>4110.97</v>
      </c>
      <c r="S115" s="46">
        <f>ROUND((Source!CA78/100)*ROUND((Source!AF78*Source!AV78)*Source!I78, 2), 2)</f>
        <v>587.28</v>
      </c>
      <c r="T115" s="46">
        <f>Source!Y78</f>
        <v>587.28</v>
      </c>
      <c r="U115" s="46">
        <f>ROUND((175/100)*ROUND((Source!AE78*Source!AV78)*Source!I78, 2), 2)</f>
        <v>7.0000000000000007E-2</v>
      </c>
      <c r="V115" s="46">
        <f>ROUND((108/100)*ROUND(Source!CS78*Source!I78, 2), 2)</f>
        <v>0.04</v>
      </c>
    </row>
    <row r="116" spans="1:22" ht="14.25" x14ac:dyDescent="0.2">
      <c r="A116" s="19"/>
      <c r="B116" s="19"/>
      <c r="C116" s="19" t="s">
        <v>697</v>
      </c>
      <c r="D116" s="20"/>
      <c r="E116" s="47"/>
      <c r="F116" s="49">
        <f>Source!AO78</f>
        <v>1483.37</v>
      </c>
      <c r="G116" s="21" t="str">
        <f>Source!DG78</f>
        <v/>
      </c>
      <c r="H116" s="47">
        <f>Source!AV78</f>
        <v>1</v>
      </c>
      <c r="I116" s="47">
        <f>IF(Source!BA78&lt;&gt; 0, Source!BA78, 1)</f>
        <v>1</v>
      </c>
      <c r="J116" s="49">
        <f>Source!S78</f>
        <v>5872.81</v>
      </c>
      <c r="K116" s="49"/>
    </row>
    <row r="117" spans="1:22" ht="14.25" x14ac:dyDescent="0.2">
      <c r="A117" s="19"/>
      <c r="B117" s="19"/>
      <c r="C117" s="19" t="s">
        <v>698</v>
      </c>
      <c r="D117" s="20"/>
      <c r="E117" s="47"/>
      <c r="F117" s="49">
        <f>Source!AM78</f>
        <v>0.42</v>
      </c>
      <c r="G117" s="21" t="str">
        <f>Source!DE78</f>
        <v/>
      </c>
      <c r="H117" s="47">
        <f>Source!AV78</f>
        <v>1</v>
      </c>
      <c r="I117" s="47">
        <f>IF(Source!BB78&lt;&gt; 0, Source!BB78, 1)</f>
        <v>1</v>
      </c>
      <c r="J117" s="49">
        <f>Source!Q78</f>
        <v>1.66</v>
      </c>
      <c r="K117" s="49"/>
    </row>
    <row r="118" spans="1:22" ht="14.25" x14ac:dyDescent="0.2">
      <c r="A118" s="19"/>
      <c r="B118" s="19"/>
      <c r="C118" s="19" t="s">
        <v>705</v>
      </c>
      <c r="D118" s="20"/>
      <c r="E118" s="47"/>
      <c r="F118" s="49">
        <f>Source!AN78</f>
        <v>0.01</v>
      </c>
      <c r="G118" s="21" t="str">
        <f>Source!DF78</f>
        <v/>
      </c>
      <c r="H118" s="47">
        <f>Source!AV78</f>
        <v>1</v>
      </c>
      <c r="I118" s="47">
        <f>IF(Source!BS78&lt;&gt; 0, Source!BS78, 1)</f>
        <v>1</v>
      </c>
      <c r="J118" s="25">
        <f>Source!R78</f>
        <v>0.04</v>
      </c>
      <c r="K118" s="49"/>
    </row>
    <row r="119" spans="1:22" ht="14.25" x14ac:dyDescent="0.2">
      <c r="A119" s="19"/>
      <c r="B119" s="19"/>
      <c r="C119" s="19" t="s">
        <v>704</v>
      </c>
      <c r="D119" s="20"/>
      <c r="E119" s="47"/>
      <c r="F119" s="49">
        <f>Source!AL78</f>
        <v>1083.56</v>
      </c>
      <c r="G119" s="21" t="str">
        <f>Source!DD78</f>
        <v/>
      </c>
      <c r="H119" s="47">
        <f>Source!AW78</f>
        <v>1</v>
      </c>
      <c r="I119" s="47">
        <f>IF(Source!BC78&lt;&gt; 0, Source!BC78, 1)</f>
        <v>1</v>
      </c>
      <c r="J119" s="49">
        <f>Source!P78</f>
        <v>4289.92</v>
      </c>
      <c r="K119" s="49"/>
    </row>
    <row r="120" spans="1:22" ht="14.25" x14ac:dyDescent="0.2">
      <c r="A120" s="19"/>
      <c r="B120" s="19"/>
      <c r="C120" s="19" t="s">
        <v>699</v>
      </c>
      <c r="D120" s="20" t="s">
        <v>700</v>
      </c>
      <c r="E120" s="47">
        <f>Source!AT78</f>
        <v>70</v>
      </c>
      <c r="F120" s="49"/>
      <c r="G120" s="21"/>
      <c r="H120" s="47"/>
      <c r="I120" s="47"/>
      <c r="J120" s="49">
        <f>SUM(R115:R119)</f>
        <v>4110.97</v>
      </c>
      <c r="K120" s="49"/>
    </row>
    <row r="121" spans="1:22" ht="14.25" x14ac:dyDescent="0.2">
      <c r="A121" s="19"/>
      <c r="B121" s="19"/>
      <c r="C121" s="19" t="s">
        <v>701</v>
      </c>
      <c r="D121" s="20" t="s">
        <v>700</v>
      </c>
      <c r="E121" s="47">
        <f>Source!AU78</f>
        <v>10</v>
      </c>
      <c r="F121" s="49"/>
      <c r="G121" s="21"/>
      <c r="H121" s="47"/>
      <c r="I121" s="47"/>
      <c r="J121" s="49">
        <f>SUM(T115:T120)</f>
        <v>587.28</v>
      </c>
      <c r="K121" s="49"/>
    </row>
    <row r="122" spans="1:22" ht="14.25" x14ac:dyDescent="0.2">
      <c r="A122" s="19"/>
      <c r="B122" s="19"/>
      <c r="C122" s="19" t="s">
        <v>706</v>
      </c>
      <c r="D122" s="20" t="s">
        <v>700</v>
      </c>
      <c r="E122" s="47">
        <f>108</f>
        <v>108</v>
      </c>
      <c r="F122" s="49"/>
      <c r="G122" s="21"/>
      <c r="H122" s="47"/>
      <c r="I122" s="47"/>
      <c r="J122" s="49">
        <f>SUM(V115:V121)</f>
        <v>0.04</v>
      </c>
      <c r="K122" s="49"/>
    </row>
    <row r="123" spans="1:22" ht="14.25" x14ac:dyDescent="0.2">
      <c r="A123" s="19"/>
      <c r="B123" s="19"/>
      <c r="C123" s="19" t="s">
        <v>702</v>
      </c>
      <c r="D123" s="20" t="s">
        <v>703</v>
      </c>
      <c r="E123" s="47">
        <f>Source!AQ78</f>
        <v>5.35</v>
      </c>
      <c r="F123" s="49"/>
      <c r="G123" s="21" t="str">
        <f>Source!DI78</f>
        <v/>
      </c>
      <c r="H123" s="47">
        <f>Source!AV78</f>
        <v>1</v>
      </c>
      <c r="I123" s="47"/>
      <c r="J123" s="49"/>
      <c r="K123" s="49">
        <f>Source!U78</f>
        <v>21.181184999999999</v>
      </c>
    </row>
    <row r="124" spans="1:22" ht="15" x14ac:dyDescent="0.25">
      <c r="A124" s="53"/>
      <c r="B124" s="53"/>
      <c r="C124" s="53"/>
      <c r="D124" s="53"/>
      <c r="E124" s="53"/>
      <c r="F124" s="53"/>
      <c r="G124" s="53"/>
      <c r="H124" s="53"/>
      <c r="I124" s="69">
        <f>J116+J117+J119+J120+J121+J122</f>
        <v>14862.680000000002</v>
      </c>
      <c r="J124" s="69"/>
      <c r="K124" s="51">
        <f>IF(Source!I78&lt;&gt;0, ROUND(I124/Source!I78, 2), 0)</f>
        <v>3754.06</v>
      </c>
      <c r="P124" s="54">
        <f>I124</f>
        <v>14862.680000000002</v>
      </c>
    </row>
    <row r="125" spans="1:22" ht="57" x14ac:dyDescent="0.2">
      <c r="A125" s="19">
        <v>13</v>
      </c>
      <c r="B125" s="19" t="str">
        <f>Source!F79</f>
        <v>1.13-3203-26-3/3</v>
      </c>
      <c r="C125" s="19" t="str">
        <f>Source!G79</f>
        <v>Улучшенная окраска стен внутри помещений водно-дисперсионными акриловыми красками - краска моющаяся типа ВД-АК-210</v>
      </c>
      <c r="D125" s="20" t="str">
        <f>Source!H79</f>
        <v>100 м2</v>
      </c>
      <c r="E125" s="47">
        <f>Source!I79</f>
        <v>3.9590999999999998</v>
      </c>
      <c r="F125" s="49"/>
      <c r="G125" s="21"/>
      <c r="H125" s="47"/>
      <c r="I125" s="47"/>
      <c r="J125" s="49"/>
      <c r="K125" s="49"/>
      <c r="Q125" s="46">
        <f>ROUND((Source!BZ79/100)*ROUND((Source!AF79*Source!AV79)*Source!I79, 2), 2)</f>
        <v>34924.78</v>
      </c>
      <c r="R125" s="46">
        <f>Source!X79</f>
        <v>34924.78</v>
      </c>
      <c r="S125" s="46">
        <f>ROUND((Source!CA79/100)*ROUND((Source!AF79*Source!AV79)*Source!I79, 2), 2)</f>
        <v>4989.25</v>
      </c>
      <c r="T125" s="46">
        <f>Source!Y79</f>
        <v>4989.25</v>
      </c>
      <c r="U125" s="46">
        <f>ROUND((175/100)*ROUND((Source!AE79*Source!AV79)*Source!I79, 2), 2)</f>
        <v>0</v>
      </c>
      <c r="V125" s="46">
        <f>ROUND((108/100)*ROUND(Source!CS79*Source!I79, 2), 2)</f>
        <v>0</v>
      </c>
    </row>
    <row r="126" spans="1:22" ht="14.25" x14ac:dyDescent="0.2">
      <c r="A126" s="19"/>
      <c r="B126" s="19"/>
      <c r="C126" s="19" t="s">
        <v>697</v>
      </c>
      <c r="D126" s="20"/>
      <c r="E126" s="47"/>
      <c r="F126" s="49">
        <f>Source!AO79</f>
        <v>12601.99</v>
      </c>
      <c r="G126" s="21" t="str">
        <f>Source!DG79</f>
        <v/>
      </c>
      <c r="H126" s="47">
        <f>Source!AV79</f>
        <v>1</v>
      </c>
      <c r="I126" s="47">
        <f>IF(Source!BA79&lt;&gt; 0, Source!BA79, 1)</f>
        <v>1</v>
      </c>
      <c r="J126" s="49">
        <f>Source!S79</f>
        <v>49892.54</v>
      </c>
      <c r="K126" s="49"/>
    </row>
    <row r="127" spans="1:22" ht="14.25" x14ac:dyDescent="0.2">
      <c r="A127" s="19"/>
      <c r="B127" s="19"/>
      <c r="C127" s="19" t="s">
        <v>704</v>
      </c>
      <c r="D127" s="20"/>
      <c r="E127" s="47"/>
      <c r="F127" s="49">
        <f>Source!AL79</f>
        <v>9829.2000000000007</v>
      </c>
      <c r="G127" s="21" t="str">
        <f>Source!DD79</f>
        <v/>
      </c>
      <c r="H127" s="47">
        <f>Source!AW79</f>
        <v>1</v>
      </c>
      <c r="I127" s="47">
        <f>IF(Source!BC79&lt;&gt; 0, Source!BC79, 1)</f>
        <v>1</v>
      </c>
      <c r="J127" s="49">
        <f>Source!P79</f>
        <v>38914.79</v>
      </c>
      <c r="K127" s="49"/>
    </row>
    <row r="128" spans="1:22" ht="14.25" x14ac:dyDescent="0.2">
      <c r="A128" s="19"/>
      <c r="B128" s="19"/>
      <c r="C128" s="19" t="s">
        <v>699</v>
      </c>
      <c r="D128" s="20" t="s">
        <v>700</v>
      </c>
      <c r="E128" s="47">
        <f>Source!AT79</f>
        <v>70</v>
      </c>
      <c r="F128" s="49"/>
      <c r="G128" s="21"/>
      <c r="H128" s="47"/>
      <c r="I128" s="47"/>
      <c r="J128" s="49">
        <f>SUM(R125:R127)</f>
        <v>34924.78</v>
      </c>
      <c r="K128" s="49"/>
    </row>
    <row r="129" spans="1:22" ht="14.25" x14ac:dyDescent="0.2">
      <c r="A129" s="19"/>
      <c r="B129" s="19"/>
      <c r="C129" s="19" t="s">
        <v>701</v>
      </c>
      <c r="D129" s="20" t="s">
        <v>700</v>
      </c>
      <c r="E129" s="47">
        <f>Source!AU79</f>
        <v>10</v>
      </c>
      <c r="F129" s="49"/>
      <c r="G129" s="21"/>
      <c r="H129" s="47"/>
      <c r="I129" s="47"/>
      <c r="J129" s="49">
        <f>SUM(T125:T128)</f>
        <v>4989.25</v>
      </c>
      <c r="K129" s="49"/>
    </row>
    <row r="130" spans="1:22" ht="14.25" x14ac:dyDescent="0.2">
      <c r="A130" s="19"/>
      <c r="B130" s="19"/>
      <c r="C130" s="19" t="s">
        <v>702</v>
      </c>
      <c r="D130" s="20" t="s">
        <v>703</v>
      </c>
      <c r="E130" s="47">
        <f>Source!AQ79</f>
        <v>42.17</v>
      </c>
      <c r="F130" s="49"/>
      <c r="G130" s="21" t="str">
        <f>Source!DI79</f>
        <v/>
      </c>
      <c r="H130" s="47">
        <f>Source!AV79</f>
        <v>1</v>
      </c>
      <c r="I130" s="47"/>
      <c r="J130" s="49"/>
      <c r="K130" s="49">
        <f>Source!U79</f>
        <v>166.95524700000001</v>
      </c>
    </row>
    <row r="131" spans="1:22" ht="15" x14ac:dyDescent="0.25">
      <c r="A131" s="53"/>
      <c r="B131" s="53"/>
      <c r="C131" s="53"/>
      <c r="D131" s="53"/>
      <c r="E131" s="53"/>
      <c r="F131" s="53"/>
      <c r="G131" s="53"/>
      <c r="H131" s="53"/>
      <c r="I131" s="69">
        <f>J126+J127+J128+J129</f>
        <v>128721.36</v>
      </c>
      <c r="J131" s="69"/>
      <c r="K131" s="51">
        <f>IF(Source!I79&lt;&gt;0, ROUND(I131/Source!I79, 2), 0)</f>
        <v>32512.78</v>
      </c>
      <c r="P131" s="54">
        <f>I131</f>
        <v>128721.36</v>
      </c>
    </row>
    <row r="132" spans="1:22" ht="57" x14ac:dyDescent="0.2">
      <c r="A132" s="19">
        <v>14</v>
      </c>
      <c r="B132" s="19" t="str">
        <f>Source!F80</f>
        <v>1.50-3203-33-1/1</v>
      </c>
      <c r="C132" s="19" t="str">
        <f>Source!G80</f>
        <v>Установка и разборка инвентарных лесов внутренних трубчатых при высоте помещений до 6 м (без затрат по эксплуатации лесов)</v>
      </c>
      <c r="D132" s="20" t="str">
        <f>Source!H80</f>
        <v>100 м2</v>
      </c>
      <c r="E132" s="47">
        <f>Source!I80</f>
        <v>2.8370000000000002</v>
      </c>
      <c r="F132" s="49"/>
      <c r="G132" s="21"/>
      <c r="H132" s="47"/>
      <c r="I132" s="47"/>
      <c r="J132" s="49"/>
      <c r="K132" s="49"/>
      <c r="Q132" s="46">
        <f>ROUND((Source!BZ80/100)*ROUND((Source!AF80*Source!AV80)*Source!I80, 2), 2)</f>
        <v>49054.43</v>
      </c>
      <c r="R132" s="46">
        <f>Source!X80</f>
        <v>49054.43</v>
      </c>
      <c r="S132" s="46">
        <f>ROUND((Source!CA80/100)*ROUND((Source!AF80*Source!AV80)*Source!I80, 2), 2)</f>
        <v>7007.78</v>
      </c>
      <c r="T132" s="46">
        <f>Source!Y80</f>
        <v>7007.78</v>
      </c>
      <c r="U132" s="46">
        <f>ROUND((175/100)*ROUND((Source!AE80*Source!AV80)*Source!I80, 2), 2)</f>
        <v>0</v>
      </c>
      <c r="V132" s="46">
        <f>ROUND((108/100)*ROUND(Source!CS80*Source!I80, 2), 2)</f>
        <v>0</v>
      </c>
    </row>
    <row r="133" spans="1:22" ht="14.25" x14ac:dyDescent="0.2">
      <c r="A133" s="19"/>
      <c r="B133" s="19"/>
      <c r="C133" s="19" t="s">
        <v>697</v>
      </c>
      <c r="D133" s="20"/>
      <c r="E133" s="47"/>
      <c r="F133" s="49">
        <f>Source!AO80</f>
        <v>24701.360000000001</v>
      </c>
      <c r="G133" s="21" t="str">
        <f>Source!DG80</f>
        <v/>
      </c>
      <c r="H133" s="47">
        <f>Source!AV80</f>
        <v>1</v>
      </c>
      <c r="I133" s="47">
        <f>IF(Source!BA80&lt;&gt; 0, Source!BA80, 1)</f>
        <v>1</v>
      </c>
      <c r="J133" s="49">
        <f>Source!S80</f>
        <v>70077.759999999995</v>
      </c>
      <c r="K133" s="49"/>
    </row>
    <row r="134" spans="1:22" ht="14.25" x14ac:dyDescent="0.2">
      <c r="A134" s="19"/>
      <c r="B134" s="19"/>
      <c r="C134" s="19" t="s">
        <v>704</v>
      </c>
      <c r="D134" s="20"/>
      <c r="E134" s="47"/>
      <c r="F134" s="49">
        <f>Source!AL80</f>
        <v>64.790000000000006</v>
      </c>
      <c r="G134" s="21" t="str">
        <f>Source!DD80</f>
        <v/>
      </c>
      <c r="H134" s="47">
        <f>Source!AW80</f>
        <v>1</v>
      </c>
      <c r="I134" s="47">
        <f>IF(Source!BC80&lt;&gt; 0, Source!BC80, 1)</f>
        <v>1</v>
      </c>
      <c r="J134" s="49">
        <f>Source!P80</f>
        <v>183.81</v>
      </c>
      <c r="K134" s="49"/>
    </row>
    <row r="135" spans="1:22" ht="14.25" x14ac:dyDescent="0.2">
      <c r="A135" s="19"/>
      <c r="B135" s="19"/>
      <c r="C135" s="19" t="s">
        <v>699</v>
      </c>
      <c r="D135" s="20" t="s">
        <v>700</v>
      </c>
      <c r="E135" s="47">
        <f>Source!AT80</f>
        <v>70</v>
      </c>
      <c r="F135" s="49"/>
      <c r="G135" s="21"/>
      <c r="H135" s="47"/>
      <c r="I135" s="47"/>
      <c r="J135" s="49">
        <f>SUM(R132:R134)</f>
        <v>49054.43</v>
      </c>
      <c r="K135" s="49"/>
    </row>
    <row r="136" spans="1:22" ht="14.25" x14ac:dyDescent="0.2">
      <c r="A136" s="19"/>
      <c r="B136" s="19"/>
      <c r="C136" s="19" t="s">
        <v>701</v>
      </c>
      <c r="D136" s="20" t="s">
        <v>700</v>
      </c>
      <c r="E136" s="47">
        <f>Source!AU80</f>
        <v>10</v>
      </c>
      <c r="F136" s="49"/>
      <c r="G136" s="21"/>
      <c r="H136" s="47"/>
      <c r="I136" s="47"/>
      <c r="J136" s="49">
        <f>SUM(T132:T135)</f>
        <v>7007.78</v>
      </c>
      <c r="K136" s="49"/>
    </row>
    <row r="137" spans="1:22" ht="14.25" x14ac:dyDescent="0.2">
      <c r="A137" s="19"/>
      <c r="B137" s="19"/>
      <c r="C137" s="19" t="s">
        <v>702</v>
      </c>
      <c r="D137" s="20" t="s">
        <v>703</v>
      </c>
      <c r="E137" s="47">
        <f>Source!AQ80</f>
        <v>87.17</v>
      </c>
      <c r="F137" s="49"/>
      <c r="G137" s="21" t="str">
        <f>Source!DI80</f>
        <v/>
      </c>
      <c r="H137" s="47">
        <f>Source!AV80</f>
        <v>1</v>
      </c>
      <c r="I137" s="47"/>
      <c r="J137" s="49"/>
      <c r="K137" s="49">
        <f>Source!U80</f>
        <v>247.30129000000002</v>
      </c>
    </row>
    <row r="138" spans="1:22" ht="15" x14ac:dyDescent="0.25">
      <c r="A138" s="53"/>
      <c r="B138" s="53"/>
      <c r="C138" s="53"/>
      <c r="D138" s="53"/>
      <c r="E138" s="53"/>
      <c r="F138" s="53"/>
      <c r="G138" s="53"/>
      <c r="H138" s="53"/>
      <c r="I138" s="69">
        <f>J133+J134+J135+J136</f>
        <v>126323.78</v>
      </c>
      <c r="J138" s="69"/>
      <c r="K138" s="51">
        <f>IF(Source!I80&lt;&gt;0, ROUND(I138/Source!I80, 2), 0)</f>
        <v>44527.24</v>
      </c>
      <c r="P138" s="54">
        <f>I138</f>
        <v>126323.78</v>
      </c>
    </row>
    <row r="139" spans="1:22" ht="42.75" x14ac:dyDescent="0.2">
      <c r="A139" s="19">
        <v>15</v>
      </c>
      <c r="B139" s="19" t="str">
        <f>Source!F81</f>
        <v>1.13-3103-1-2/1</v>
      </c>
      <c r="C139" s="19" t="str">
        <f>Source!G81</f>
        <v>Простая штукатурка поверхностей потолков по камню и бетону известковым раствором</v>
      </c>
      <c r="D139" s="20" t="str">
        <f>Source!H81</f>
        <v>100 м2</v>
      </c>
      <c r="E139" s="47">
        <f>Source!I81</f>
        <v>2.8370000000000002</v>
      </c>
      <c r="F139" s="49"/>
      <c r="G139" s="21"/>
      <c r="H139" s="47"/>
      <c r="I139" s="47"/>
      <c r="J139" s="49"/>
      <c r="K139" s="49"/>
      <c r="Q139" s="46">
        <f>ROUND((Source!BZ81/100)*ROUND((Source!AF81*Source!AV81)*Source!I81, 2), 2)</f>
        <v>45759.21</v>
      </c>
      <c r="R139" s="46">
        <f>Source!X81</f>
        <v>45759.21</v>
      </c>
      <c r="S139" s="46">
        <f>ROUND((Source!CA81/100)*ROUND((Source!AF81*Source!AV81)*Source!I81, 2), 2)</f>
        <v>6537.03</v>
      </c>
      <c r="T139" s="46">
        <f>Source!Y81</f>
        <v>6537.03</v>
      </c>
      <c r="U139" s="46">
        <f>ROUND((175/100)*ROUND((Source!AE81*Source!AV81)*Source!I81, 2), 2)</f>
        <v>10407.76</v>
      </c>
      <c r="V139" s="46">
        <f>ROUND((108/100)*ROUND(Source!CS81*Source!I81, 2), 2)</f>
        <v>6423.07</v>
      </c>
    </row>
    <row r="140" spans="1:22" ht="14.25" x14ac:dyDescent="0.2">
      <c r="A140" s="19"/>
      <c r="B140" s="19"/>
      <c r="C140" s="19" t="s">
        <v>697</v>
      </c>
      <c r="D140" s="20"/>
      <c r="E140" s="47"/>
      <c r="F140" s="49">
        <f>Source!AO81</f>
        <v>23042.05</v>
      </c>
      <c r="G140" s="21" t="str">
        <f>Source!DG81</f>
        <v/>
      </c>
      <c r="H140" s="47">
        <f>Source!AV81</f>
        <v>1</v>
      </c>
      <c r="I140" s="47">
        <f>IF(Source!BA81&lt;&gt; 0, Source!BA81, 1)</f>
        <v>1</v>
      </c>
      <c r="J140" s="49">
        <f>Source!S81</f>
        <v>65370.3</v>
      </c>
      <c r="K140" s="49"/>
    </row>
    <row r="141" spans="1:22" ht="14.25" x14ac:dyDescent="0.2">
      <c r="A141" s="19"/>
      <c r="B141" s="19"/>
      <c r="C141" s="19" t="s">
        <v>698</v>
      </c>
      <c r="D141" s="20"/>
      <c r="E141" s="47"/>
      <c r="F141" s="49">
        <f>Source!AM81</f>
        <v>2362.37</v>
      </c>
      <c r="G141" s="21" t="str">
        <f>Source!DE81</f>
        <v/>
      </c>
      <c r="H141" s="47">
        <f>Source!AV81</f>
        <v>1</v>
      </c>
      <c r="I141" s="47">
        <f>IF(Source!BB81&lt;&gt; 0, Source!BB81, 1)</f>
        <v>1</v>
      </c>
      <c r="J141" s="49">
        <f>Source!Q81</f>
        <v>6702.04</v>
      </c>
      <c r="K141" s="49"/>
    </row>
    <row r="142" spans="1:22" ht="14.25" x14ac:dyDescent="0.2">
      <c r="A142" s="19"/>
      <c r="B142" s="19"/>
      <c r="C142" s="19" t="s">
        <v>705</v>
      </c>
      <c r="D142" s="20"/>
      <c r="E142" s="47"/>
      <c r="F142" s="49">
        <f>Source!AN81</f>
        <v>2096.33</v>
      </c>
      <c r="G142" s="21" t="str">
        <f>Source!DF81</f>
        <v/>
      </c>
      <c r="H142" s="47">
        <f>Source!AV81</f>
        <v>1</v>
      </c>
      <c r="I142" s="47">
        <f>IF(Source!BS81&lt;&gt; 0, Source!BS81, 1)</f>
        <v>1</v>
      </c>
      <c r="J142" s="25">
        <f>Source!R81</f>
        <v>5947.29</v>
      </c>
      <c r="K142" s="49"/>
    </row>
    <row r="143" spans="1:22" ht="14.25" x14ac:dyDescent="0.2">
      <c r="A143" s="19"/>
      <c r="B143" s="19"/>
      <c r="C143" s="19" t="s">
        <v>704</v>
      </c>
      <c r="D143" s="20"/>
      <c r="E143" s="47"/>
      <c r="F143" s="49">
        <f>Source!AL81</f>
        <v>10758.1</v>
      </c>
      <c r="G143" s="21" t="str">
        <f>Source!DD81</f>
        <v/>
      </c>
      <c r="H143" s="47">
        <f>Source!AW81</f>
        <v>1</v>
      </c>
      <c r="I143" s="47">
        <f>IF(Source!BC81&lt;&gt; 0, Source!BC81, 1)</f>
        <v>1</v>
      </c>
      <c r="J143" s="49">
        <f>Source!P81</f>
        <v>30520.73</v>
      </c>
      <c r="K143" s="49"/>
    </row>
    <row r="144" spans="1:22" ht="14.25" x14ac:dyDescent="0.2">
      <c r="A144" s="19"/>
      <c r="B144" s="19"/>
      <c r="C144" s="19" t="s">
        <v>699</v>
      </c>
      <c r="D144" s="20" t="s">
        <v>700</v>
      </c>
      <c r="E144" s="47">
        <f>Source!AT81</f>
        <v>70</v>
      </c>
      <c r="F144" s="49"/>
      <c r="G144" s="21"/>
      <c r="H144" s="47"/>
      <c r="I144" s="47"/>
      <c r="J144" s="49">
        <f>SUM(R139:R143)</f>
        <v>45759.21</v>
      </c>
      <c r="K144" s="49"/>
    </row>
    <row r="145" spans="1:22" ht="14.25" x14ac:dyDescent="0.2">
      <c r="A145" s="19"/>
      <c r="B145" s="19"/>
      <c r="C145" s="19" t="s">
        <v>701</v>
      </c>
      <c r="D145" s="20" t="s">
        <v>700</v>
      </c>
      <c r="E145" s="47">
        <f>Source!AU81</f>
        <v>10</v>
      </c>
      <c r="F145" s="49"/>
      <c r="G145" s="21"/>
      <c r="H145" s="47"/>
      <c r="I145" s="47"/>
      <c r="J145" s="49">
        <f>SUM(T139:T144)</f>
        <v>6537.03</v>
      </c>
      <c r="K145" s="49"/>
    </row>
    <row r="146" spans="1:22" ht="14.25" x14ac:dyDescent="0.2">
      <c r="A146" s="19"/>
      <c r="B146" s="19"/>
      <c r="C146" s="19" t="s">
        <v>706</v>
      </c>
      <c r="D146" s="20" t="s">
        <v>700</v>
      </c>
      <c r="E146" s="47">
        <f>108</f>
        <v>108</v>
      </c>
      <c r="F146" s="49"/>
      <c r="G146" s="21"/>
      <c r="H146" s="47"/>
      <c r="I146" s="47"/>
      <c r="J146" s="49">
        <f>SUM(V139:V145)</f>
        <v>6423.07</v>
      </c>
      <c r="K146" s="49"/>
    </row>
    <row r="147" spans="1:22" ht="14.25" x14ac:dyDescent="0.2">
      <c r="A147" s="19"/>
      <c r="B147" s="19"/>
      <c r="C147" s="19" t="s">
        <v>702</v>
      </c>
      <c r="D147" s="20" t="s">
        <v>703</v>
      </c>
      <c r="E147" s="47">
        <f>Source!AQ81</f>
        <v>68.2</v>
      </c>
      <c r="F147" s="49"/>
      <c r="G147" s="21" t="str">
        <f>Source!DI81</f>
        <v/>
      </c>
      <c r="H147" s="47">
        <f>Source!AV81</f>
        <v>1</v>
      </c>
      <c r="I147" s="47"/>
      <c r="J147" s="49"/>
      <c r="K147" s="49">
        <f>Source!U81</f>
        <v>193.48340000000002</v>
      </c>
    </row>
    <row r="148" spans="1:22" ht="15" x14ac:dyDescent="0.25">
      <c r="A148" s="53"/>
      <c r="B148" s="53"/>
      <c r="C148" s="53"/>
      <c r="D148" s="53"/>
      <c r="E148" s="53"/>
      <c r="F148" s="53"/>
      <c r="G148" s="53"/>
      <c r="H148" s="53"/>
      <c r="I148" s="69">
        <f>J140+J141+J143+J144+J145+J146</f>
        <v>161312.38</v>
      </c>
      <c r="J148" s="69"/>
      <c r="K148" s="51">
        <f>IF(Source!I81&lt;&gt;0, ROUND(I148/Source!I81, 2), 0)</f>
        <v>56860.2</v>
      </c>
      <c r="P148" s="54">
        <f>I148</f>
        <v>161312.38</v>
      </c>
    </row>
    <row r="149" spans="1:22" ht="42.75" x14ac:dyDescent="0.2">
      <c r="A149" s="19">
        <v>16</v>
      </c>
      <c r="B149" s="19" t="str">
        <f>Source!F82</f>
        <v>1.13-3703-1-2/1</v>
      </c>
      <c r="C149" s="19" t="str">
        <f>Source!G82</f>
        <v>Обработка поверхностей потолков грунтовкой глубокого проникновения внутри помещения</v>
      </c>
      <c r="D149" s="20" t="str">
        <f>Source!H82</f>
        <v>100 м2</v>
      </c>
      <c r="E149" s="47">
        <f>Source!I82</f>
        <v>2.8370000000000002</v>
      </c>
      <c r="F149" s="49"/>
      <c r="G149" s="21"/>
      <c r="H149" s="47"/>
      <c r="I149" s="47"/>
      <c r="J149" s="49"/>
      <c r="K149" s="49"/>
      <c r="Q149" s="46">
        <f>ROUND((Source!BZ82/100)*ROUND((Source!AF82*Source!AV82)*Source!I82, 2), 2)</f>
        <v>3595.69</v>
      </c>
      <c r="R149" s="46">
        <f>Source!X82</f>
        <v>3595.69</v>
      </c>
      <c r="S149" s="46">
        <f>ROUND((Source!CA82/100)*ROUND((Source!AF82*Source!AV82)*Source!I82, 2), 2)</f>
        <v>513.66999999999996</v>
      </c>
      <c r="T149" s="46">
        <f>Source!Y82</f>
        <v>513.66999999999996</v>
      </c>
      <c r="U149" s="46">
        <f>ROUND((175/100)*ROUND((Source!AE82*Source!AV82)*Source!I82, 2), 2)</f>
        <v>0.05</v>
      </c>
      <c r="V149" s="46">
        <f>ROUND((108/100)*ROUND(Source!CS82*Source!I82, 2), 2)</f>
        <v>0.03</v>
      </c>
    </row>
    <row r="150" spans="1:22" ht="14.25" x14ac:dyDescent="0.2">
      <c r="A150" s="19"/>
      <c r="B150" s="19"/>
      <c r="C150" s="19" t="s">
        <v>697</v>
      </c>
      <c r="D150" s="20"/>
      <c r="E150" s="47"/>
      <c r="F150" s="49">
        <f>Source!AO82</f>
        <v>1810.61</v>
      </c>
      <c r="G150" s="21" t="str">
        <f>Source!DG82</f>
        <v/>
      </c>
      <c r="H150" s="47">
        <f>Source!AV82</f>
        <v>1</v>
      </c>
      <c r="I150" s="47">
        <f>IF(Source!BA82&lt;&gt; 0, Source!BA82, 1)</f>
        <v>1</v>
      </c>
      <c r="J150" s="49">
        <f>Source!S82</f>
        <v>5136.7</v>
      </c>
      <c r="K150" s="49"/>
    </row>
    <row r="151" spans="1:22" ht="14.25" x14ac:dyDescent="0.2">
      <c r="A151" s="19"/>
      <c r="B151" s="19"/>
      <c r="C151" s="19" t="s">
        <v>698</v>
      </c>
      <c r="D151" s="20"/>
      <c r="E151" s="47"/>
      <c r="F151" s="49">
        <f>Source!AM82</f>
        <v>0.42</v>
      </c>
      <c r="G151" s="21" t="str">
        <f>Source!DE82</f>
        <v/>
      </c>
      <c r="H151" s="47">
        <f>Source!AV82</f>
        <v>1</v>
      </c>
      <c r="I151" s="47">
        <f>IF(Source!BB82&lt;&gt; 0, Source!BB82, 1)</f>
        <v>1</v>
      </c>
      <c r="J151" s="49">
        <f>Source!Q82</f>
        <v>1.19</v>
      </c>
      <c r="K151" s="49"/>
    </row>
    <row r="152" spans="1:22" ht="14.25" x14ac:dyDescent="0.2">
      <c r="A152" s="19"/>
      <c r="B152" s="19"/>
      <c r="C152" s="19" t="s">
        <v>705</v>
      </c>
      <c r="D152" s="20"/>
      <c r="E152" s="47"/>
      <c r="F152" s="49">
        <f>Source!AN82</f>
        <v>0.01</v>
      </c>
      <c r="G152" s="21" t="str">
        <f>Source!DF82</f>
        <v/>
      </c>
      <c r="H152" s="47">
        <f>Source!AV82</f>
        <v>1</v>
      </c>
      <c r="I152" s="47">
        <f>IF(Source!BS82&lt;&gt; 0, Source!BS82, 1)</f>
        <v>1</v>
      </c>
      <c r="J152" s="25">
        <f>Source!R82</f>
        <v>0.03</v>
      </c>
      <c r="K152" s="49"/>
    </row>
    <row r="153" spans="1:22" ht="14.25" x14ac:dyDescent="0.2">
      <c r="A153" s="19"/>
      <c r="B153" s="19"/>
      <c r="C153" s="19" t="s">
        <v>704</v>
      </c>
      <c r="D153" s="20"/>
      <c r="E153" s="47"/>
      <c r="F153" s="49">
        <f>Source!AL82</f>
        <v>1083.56</v>
      </c>
      <c r="G153" s="21" t="str">
        <f>Source!DD82</f>
        <v/>
      </c>
      <c r="H153" s="47">
        <f>Source!AW82</f>
        <v>1</v>
      </c>
      <c r="I153" s="47">
        <f>IF(Source!BC82&lt;&gt; 0, Source!BC82, 1)</f>
        <v>1</v>
      </c>
      <c r="J153" s="49">
        <f>Source!P82</f>
        <v>3074.06</v>
      </c>
      <c r="K153" s="49"/>
    </row>
    <row r="154" spans="1:22" ht="14.25" x14ac:dyDescent="0.2">
      <c r="A154" s="19"/>
      <c r="B154" s="19"/>
      <c r="C154" s="19" t="s">
        <v>699</v>
      </c>
      <c r="D154" s="20" t="s">
        <v>700</v>
      </c>
      <c r="E154" s="47">
        <f>Source!AT82</f>
        <v>70</v>
      </c>
      <c r="F154" s="49"/>
      <c r="G154" s="21"/>
      <c r="H154" s="47"/>
      <c r="I154" s="47"/>
      <c r="J154" s="49">
        <f>SUM(R149:R153)</f>
        <v>3595.69</v>
      </c>
      <c r="K154" s="49"/>
    </row>
    <row r="155" spans="1:22" ht="14.25" x14ac:dyDescent="0.2">
      <c r="A155" s="19"/>
      <c r="B155" s="19"/>
      <c r="C155" s="19" t="s">
        <v>701</v>
      </c>
      <c r="D155" s="20" t="s">
        <v>700</v>
      </c>
      <c r="E155" s="47">
        <f>Source!AU82</f>
        <v>10</v>
      </c>
      <c r="F155" s="49"/>
      <c r="G155" s="21"/>
      <c r="H155" s="47"/>
      <c r="I155" s="47"/>
      <c r="J155" s="49">
        <f>SUM(T149:T154)</f>
        <v>513.66999999999996</v>
      </c>
      <c r="K155" s="49"/>
    </row>
    <row r="156" spans="1:22" ht="14.25" x14ac:dyDescent="0.2">
      <c r="A156" s="19"/>
      <c r="B156" s="19"/>
      <c r="C156" s="19" t="s">
        <v>706</v>
      </c>
      <c r="D156" s="20" t="s">
        <v>700</v>
      </c>
      <c r="E156" s="47">
        <f>108</f>
        <v>108</v>
      </c>
      <c r="F156" s="49"/>
      <c r="G156" s="21"/>
      <c r="H156" s="47"/>
      <c r="I156" s="47"/>
      <c r="J156" s="49">
        <f>SUM(V149:V155)</f>
        <v>0.03</v>
      </c>
      <c r="K156" s="49"/>
    </row>
    <row r="157" spans="1:22" ht="14.25" x14ac:dyDescent="0.2">
      <c r="A157" s="19"/>
      <c r="B157" s="19"/>
      <c r="C157" s="19" t="s">
        <v>702</v>
      </c>
      <c r="D157" s="20" t="s">
        <v>703</v>
      </c>
      <c r="E157" s="47">
        <f>Source!AQ82</f>
        <v>6.53</v>
      </c>
      <c r="F157" s="49"/>
      <c r="G157" s="21" t="str">
        <f>Source!DI82</f>
        <v/>
      </c>
      <c r="H157" s="47">
        <f>Source!AV82</f>
        <v>1</v>
      </c>
      <c r="I157" s="47"/>
      <c r="J157" s="49"/>
      <c r="K157" s="49">
        <f>Source!U82</f>
        <v>18.52561</v>
      </c>
    </row>
    <row r="158" spans="1:22" ht="15" x14ac:dyDescent="0.25">
      <c r="A158" s="53"/>
      <c r="B158" s="53"/>
      <c r="C158" s="53"/>
      <c r="D158" s="53"/>
      <c r="E158" s="53"/>
      <c r="F158" s="53"/>
      <c r="G158" s="53"/>
      <c r="H158" s="53"/>
      <c r="I158" s="69">
        <f>J150+J151+J153+J154+J155+J156</f>
        <v>12321.34</v>
      </c>
      <c r="J158" s="69"/>
      <c r="K158" s="51">
        <f>IF(Source!I82&lt;&gt;0, ROUND(I158/Source!I82, 2), 0)</f>
        <v>4343.09</v>
      </c>
      <c r="P158" s="54">
        <f>I158</f>
        <v>12321.34</v>
      </c>
    </row>
    <row r="159" spans="1:22" ht="57" x14ac:dyDescent="0.2">
      <c r="A159" s="19">
        <v>17</v>
      </c>
      <c r="B159" s="19" t="str">
        <f>Source!F83</f>
        <v>1.13-3203-26-4/3</v>
      </c>
      <c r="C159" s="19" t="str">
        <f>Source!G83</f>
        <v>Улучшенная окраска потолков внутри помещений водно-дисперсионными акриловыми красками - краска моющаяся типа ВД-АК-210</v>
      </c>
      <c r="D159" s="20" t="str">
        <f>Source!H83</f>
        <v>100 м2</v>
      </c>
      <c r="E159" s="47">
        <f>Source!I83</f>
        <v>2.8370000000000002</v>
      </c>
      <c r="F159" s="49"/>
      <c r="G159" s="21"/>
      <c r="H159" s="47"/>
      <c r="I159" s="47"/>
      <c r="J159" s="49"/>
      <c r="K159" s="49"/>
      <c r="Q159" s="46">
        <f>ROUND((Source!BZ83/100)*ROUND((Source!AF83*Source!AV83)*Source!I83, 2), 2)</f>
        <v>32017.81</v>
      </c>
      <c r="R159" s="46">
        <f>Source!X83</f>
        <v>32017.81</v>
      </c>
      <c r="S159" s="46">
        <f>ROUND((Source!CA83/100)*ROUND((Source!AF83*Source!AV83)*Source!I83, 2), 2)</f>
        <v>4573.97</v>
      </c>
      <c r="T159" s="46">
        <f>Source!Y83</f>
        <v>4573.97</v>
      </c>
      <c r="U159" s="46">
        <f>ROUND((175/100)*ROUND((Source!AE83*Source!AV83)*Source!I83, 2), 2)</f>
        <v>0</v>
      </c>
      <c r="V159" s="46">
        <f>ROUND((108/100)*ROUND(Source!CS83*Source!I83, 2), 2)</f>
        <v>0</v>
      </c>
    </row>
    <row r="160" spans="1:22" ht="14.25" x14ac:dyDescent="0.2">
      <c r="A160" s="19"/>
      <c r="B160" s="19"/>
      <c r="C160" s="19" t="s">
        <v>697</v>
      </c>
      <c r="D160" s="20"/>
      <c r="E160" s="47"/>
      <c r="F160" s="49">
        <f>Source!AO83</f>
        <v>16122.57</v>
      </c>
      <c r="G160" s="21" t="str">
        <f>Source!DG83</f>
        <v/>
      </c>
      <c r="H160" s="47">
        <f>Source!AV83</f>
        <v>1</v>
      </c>
      <c r="I160" s="47">
        <f>IF(Source!BA83&lt;&gt; 0, Source!BA83, 1)</f>
        <v>1</v>
      </c>
      <c r="J160" s="49">
        <f>Source!S83</f>
        <v>45739.73</v>
      </c>
      <c r="K160" s="49"/>
    </row>
    <row r="161" spans="1:22" ht="14.25" x14ac:dyDescent="0.2">
      <c r="A161" s="19"/>
      <c r="B161" s="19"/>
      <c r="C161" s="19" t="s">
        <v>704</v>
      </c>
      <c r="D161" s="20"/>
      <c r="E161" s="47"/>
      <c r="F161" s="49">
        <f>Source!AL83</f>
        <v>10666.84</v>
      </c>
      <c r="G161" s="21" t="str">
        <f>Source!DD83</f>
        <v/>
      </c>
      <c r="H161" s="47">
        <f>Source!AW83</f>
        <v>1</v>
      </c>
      <c r="I161" s="47">
        <f>IF(Source!BC83&lt;&gt; 0, Source!BC83, 1)</f>
        <v>1</v>
      </c>
      <c r="J161" s="49">
        <f>Source!P83</f>
        <v>30261.83</v>
      </c>
      <c r="K161" s="49"/>
    </row>
    <row r="162" spans="1:22" ht="14.25" x14ac:dyDescent="0.2">
      <c r="A162" s="19"/>
      <c r="B162" s="19"/>
      <c r="C162" s="19" t="s">
        <v>699</v>
      </c>
      <c r="D162" s="20" t="s">
        <v>700</v>
      </c>
      <c r="E162" s="47">
        <f>Source!AT83</f>
        <v>70</v>
      </c>
      <c r="F162" s="49"/>
      <c r="G162" s="21"/>
      <c r="H162" s="47"/>
      <c r="I162" s="47"/>
      <c r="J162" s="49">
        <f>SUM(R159:R161)</f>
        <v>32017.81</v>
      </c>
      <c r="K162" s="49"/>
    </row>
    <row r="163" spans="1:22" ht="14.25" x14ac:dyDescent="0.2">
      <c r="A163" s="19"/>
      <c r="B163" s="19"/>
      <c r="C163" s="19" t="s">
        <v>701</v>
      </c>
      <c r="D163" s="20" t="s">
        <v>700</v>
      </c>
      <c r="E163" s="47">
        <f>Source!AU83</f>
        <v>10</v>
      </c>
      <c r="F163" s="49"/>
      <c r="G163" s="21"/>
      <c r="H163" s="47"/>
      <c r="I163" s="47"/>
      <c r="J163" s="49">
        <f>SUM(T159:T162)</f>
        <v>4573.97</v>
      </c>
      <c r="K163" s="49"/>
    </row>
    <row r="164" spans="1:22" ht="14.25" x14ac:dyDescent="0.2">
      <c r="A164" s="19"/>
      <c r="B164" s="19"/>
      <c r="C164" s="19" t="s">
        <v>702</v>
      </c>
      <c r="D164" s="20" t="s">
        <v>703</v>
      </c>
      <c r="E164" s="47">
        <f>Source!AQ83</f>
        <v>54.37</v>
      </c>
      <c r="F164" s="49"/>
      <c r="G164" s="21" t="str">
        <f>Source!DI83</f>
        <v/>
      </c>
      <c r="H164" s="47">
        <f>Source!AV83</f>
        <v>1</v>
      </c>
      <c r="I164" s="47"/>
      <c r="J164" s="49"/>
      <c r="K164" s="49">
        <f>Source!U83</f>
        <v>154.24769000000001</v>
      </c>
    </row>
    <row r="165" spans="1:22" ht="15" x14ac:dyDescent="0.25">
      <c r="A165" s="53"/>
      <c r="B165" s="53"/>
      <c r="C165" s="53"/>
      <c r="D165" s="53"/>
      <c r="E165" s="53"/>
      <c r="F165" s="53"/>
      <c r="G165" s="53"/>
      <c r="H165" s="53"/>
      <c r="I165" s="69">
        <f>J160+J161+J162+J163</f>
        <v>112593.34</v>
      </c>
      <c r="J165" s="69"/>
      <c r="K165" s="51">
        <f>IF(Source!I83&lt;&gt;0, ROUND(I165/Source!I83, 2), 0)</f>
        <v>39687.47</v>
      </c>
      <c r="P165" s="54">
        <f>I165</f>
        <v>112593.34</v>
      </c>
    </row>
    <row r="166" spans="1:22" ht="71.25" x14ac:dyDescent="0.2">
      <c r="A166" s="19">
        <v>18</v>
      </c>
      <c r="B166" s="19" t="str">
        <f>Source!F84</f>
        <v>1.10-3803-1-11/1</v>
      </c>
      <c r="C166" s="19" t="str">
        <f>Source!G84</f>
        <v>Устройство плинтусов - поливинилхлоридных на винтах самонарезающих с креплением через защёлку / с мягким краем, размеры 50-62х21 мм</v>
      </c>
      <c r="D166" s="20" t="str">
        <f>Source!H84</f>
        <v>100 м</v>
      </c>
      <c r="E166" s="47">
        <f>Source!I84</f>
        <v>0.65039999999999998</v>
      </c>
      <c r="F166" s="49"/>
      <c r="G166" s="21"/>
      <c r="H166" s="47"/>
      <c r="I166" s="47"/>
      <c r="J166" s="49"/>
      <c r="K166" s="49"/>
      <c r="Q166" s="46">
        <f>ROUND((Source!BZ84/100)*ROUND((Source!AF84*Source!AV84)*Source!I84, 2), 2)</f>
        <v>2082.44</v>
      </c>
      <c r="R166" s="46">
        <f>Source!X84</f>
        <v>2082.44</v>
      </c>
      <c r="S166" s="46">
        <f>ROUND((Source!CA84/100)*ROUND((Source!AF84*Source!AV84)*Source!I84, 2), 2)</f>
        <v>297.49</v>
      </c>
      <c r="T166" s="46">
        <f>Source!Y84</f>
        <v>297.49</v>
      </c>
      <c r="U166" s="46">
        <f>ROUND((175/100)*ROUND((Source!AE84*Source!AV84)*Source!I84, 2), 2)</f>
        <v>10.1</v>
      </c>
      <c r="V166" s="46">
        <f>ROUND((108/100)*ROUND(Source!CS84*Source!I84, 2), 2)</f>
        <v>6.23</v>
      </c>
    </row>
    <row r="167" spans="1:22" ht="14.25" x14ac:dyDescent="0.2">
      <c r="A167" s="19"/>
      <c r="B167" s="19"/>
      <c r="C167" s="19" t="s">
        <v>697</v>
      </c>
      <c r="D167" s="20"/>
      <c r="E167" s="47"/>
      <c r="F167" s="49">
        <f>Source!AO84</f>
        <v>4573.97</v>
      </c>
      <c r="G167" s="21" t="str">
        <f>Source!DG84</f>
        <v/>
      </c>
      <c r="H167" s="47">
        <f>Source!AV84</f>
        <v>1</v>
      </c>
      <c r="I167" s="47">
        <f>IF(Source!BA84&lt;&gt; 0, Source!BA84, 1)</f>
        <v>1</v>
      </c>
      <c r="J167" s="49">
        <f>Source!S84</f>
        <v>2974.91</v>
      </c>
      <c r="K167" s="49"/>
    </row>
    <row r="168" spans="1:22" ht="14.25" x14ac:dyDescent="0.2">
      <c r="A168" s="19"/>
      <c r="B168" s="19"/>
      <c r="C168" s="19" t="s">
        <v>698</v>
      </c>
      <c r="D168" s="20"/>
      <c r="E168" s="47"/>
      <c r="F168" s="49">
        <f>Source!AM84</f>
        <v>376.99</v>
      </c>
      <c r="G168" s="21" t="str">
        <f>Source!DE84</f>
        <v/>
      </c>
      <c r="H168" s="47">
        <f>Source!AV84</f>
        <v>1</v>
      </c>
      <c r="I168" s="47">
        <f>IF(Source!BB84&lt;&gt; 0, Source!BB84, 1)</f>
        <v>1</v>
      </c>
      <c r="J168" s="49">
        <f>Source!Q84</f>
        <v>245.19</v>
      </c>
      <c r="K168" s="49"/>
    </row>
    <row r="169" spans="1:22" ht="14.25" x14ac:dyDescent="0.2">
      <c r="A169" s="19"/>
      <c r="B169" s="19"/>
      <c r="C169" s="19" t="s">
        <v>705</v>
      </c>
      <c r="D169" s="20"/>
      <c r="E169" s="47"/>
      <c r="F169" s="49">
        <f>Source!AN84</f>
        <v>8.8699999999999992</v>
      </c>
      <c r="G169" s="21" t="str">
        <f>Source!DF84</f>
        <v/>
      </c>
      <c r="H169" s="47">
        <f>Source!AV84</f>
        <v>1</v>
      </c>
      <c r="I169" s="47">
        <f>IF(Source!BS84&lt;&gt; 0, Source!BS84, 1)</f>
        <v>1</v>
      </c>
      <c r="J169" s="25">
        <f>Source!R84</f>
        <v>5.77</v>
      </c>
      <c r="K169" s="49"/>
    </row>
    <row r="170" spans="1:22" ht="14.25" x14ac:dyDescent="0.2">
      <c r="A170" s="19"/>
      <c r="B170" s="19"/>
      <c r="C170" s="19" t="s">
        <v>704</v>
      </c>
      <c r="D170" s="20"/>
      <c r="E170" s="47"/>
      <c r="F170" s="49">
        <f>Source!AL84</f>
        <v>5842.15</v>
      </c>
      <c r="G170" s="21" t="str">
        <f>Source!DD84</f>
        <v/>
      </c>
      <c r="H170" s="47">
        <f>Source!AW84</f>
        <v>1</v>
      </c>
      <c r="I170" s="47">
        <f>IF(Source!BC84&lt;&gt; 0, Source!BC84, 1)</f>
        <v>1</v>
      </c>
      <c r="J170" s="49">
        <f>Source!P84</f>
        <v>3799.73</v>
      </c>
      <c r="K170" s="49"/>
    </row>
    <row r="171" spans="1:22" ht="14.25" x14ac:dyDescent="0.2">
      <c r="A171" s="19"/>
      <c r="B171" s="19"/>
      <c r="C171" s="19" t="s">
        <v>699</v>
      </c>
      <c r="D171" s="20" t="s">
        <v>700</v>
      </c>
      <c r="E171" s="47">
        <f>Source!AT84</f>
        <v>70</v>
      </c>
      <c r="F171" s="49"/>
      <c r="G171" s="21"/>
      <c r="H171" s="47"/>
      <c r="I171" s="47"/>
      <c r="J171" s="49">
        <f>SUM(R166:R170)</f>
        <v>2082.44</v>
      </c>
      <c r="K171" s="49"/>
    </row>
    <row r="172" spans="1:22" ht="14.25" x14ac:dyDescent="0.2">
      <c r="A172" s="19"/>
      <c r="B172" s="19"/>
      <c r="C172" s="19" t="s">
        <v>701</v>
      </c>
      <c r="D172" s="20" t="s">
        <v>700</v>
      </c>
      <c r="E172" s="47">
        <f>Source!AU84</f>
        <v>10</v>
      </c>
      <c r="F172" s="49"/>
      <c r="G172" s="21"/>
      <c r="H172" s="47"/>
      <c r="I172" s="47"/>
      <c r="J172" s="49">
        <f>SUM(T166:T171)</f>
        <v>297.49</v>
      </c>
      <c r="K172" s="49"/>
    </row>
    <row r="173" spans="1:22" ht="14.25" x14ac:dyDescent="0.2">
      <c r="A173" s="19"/>
      <c r="B173" s="19"/>
      <c r="C173" s="19" t="s">
        <v>706</v>
      </c>
      <c r="D173" s="20" t="s">
        <v>700</v>
      </c>
      <c r="E173" s="47">
        <f>108</f>
        <v>108</v>
      </c>
      <c r="F173" s="49"/>
      <c r="G173" s="21"/>
      <c r="H173" s="47"/>
      <c r="I173" s="47"/>
      <c r="J173" s="49">
        <f>SUM(V166:V172)</f>
        <v>6.23</v>
      </c>
      <c r="K173" s="49"/>
    </row>
    <row r="174" spans="1:22" ht="14.25" x14ac:dyDescent="0.2">
      <c r="A174" s="19"/>
      <c r="B174" s="19"/>
      <c r="C174" s="19" t="s">
        <v>702</v>
      </c>
      <c r="D174" s="20" t="s">
        <v>703</v>
      </c>
      <c r="E174" s="47">
        <f>Source!AQ84</f>
        <v>16.91</v>
      </c>
      <c r="F174" s="49"/>
      <c r="G174" s="21" t="str">
        <f>Source!DI84</f>
        <v/>
      </c>
      <c r="H174" s="47">
        <f>Source!AV84</f>
        <v>1</v>
      </c>
      <c r="I174" s="47"/>
      <c r="J174" s="49"/>
      <c r="K174" s="49">
        <f>Source!U84</f>
        <v>10.998263999999999</v>
      </c>
    </row>
    <row r="175" spans="1:22" ht="15" x14ac:dyDescent="0.25">
      <c r="A175" s="53"/>
      <c r="B175" s="53"/>
      <c r="C175" s="53"/>
      <c r="D175" s="53"/>
      <c r="E175" s="53"/>
      <c r="F175" s="53"/>
      <c r="G175" s="53"/>
      <c r="H175" s="53"/>
      <c r="I175" s="69">
        <f>J167+J168+J170+J171+J172+J173</f>
        <v>9405.99</v>
      </c>
      <c r="J175" s="69"/>
      <c r="K175" s="51">
        <f>IF(Source!I84&lt;&gt;0, ROUND(I175/Source!I84, 2), 0)</f>
        <v>14461.85</v>
      </c>
      <c r="P175" s="54">
        <f>I175</f>
        <v>9405.99</v>
      </c>
    </row>
    <row r="176" spans="1:22" ht="42.75" x14ac:dyDescent="0.2">
      <c r="A176" s="19">
        <v>19</v>
      </c>
      <c r="B176" s="19" t="str">
        <f>Source!F85</f>
        <v>1.26-3103-3-1/2</v>
      </c>
      <c r="C176" s="19" t="str">
        <f>Source!G85</f>
        <v>Установка штучных изделий столов, шкафов под мойки, холодильных шкафов и др. (без стоимости изделий)</v>
      </c>
      <c r="D176" s="20" t="str">
        <f>Source!H85</f>
        <v>100 шт.</v>
      </c>
      <c r="E176" s="47">
        <f>Source!I85</f>
        <v>0.04</v>
      </c>
      <c r="F176" s="49"/>
      <c r="G176" s="21"/>
      <c r="H176" s="47"/>
      <c r="I176" s="47"/>
      <c r="J176" s="49"/>
      <c r="K176" s="49"/>
      <c r="Q176" s="46">
        <f>ROUND((Source!BZ85/100)*ROUND((Source!AF85*Source!AV85)*Source!I85, 2), 2)</f>
        <v>559.73</v>
      </c>
      <c r="R176" s="46">
        <f>Source!X85</f>
        <v>559.73</v>
      </c>
      <c r="S176" s="46">
        <f>ROUND((Source!CA85/100)*ROUND((Source!AF85*Source!AV85)*Source!I85, 2), 2)</f>
        <v>79.959999999999994</v>
      </c>
      <c r="T176" s="46">
        <f>Source!Y85</f>
        <v>79.959999999999994</v>
      </c>
      <c r="U176" s="46">
        <f>ROUND((175/100)*ROUND((Source!AE85*Source!AV85)*Source!I85, 2), 2)</f>
        <v>0</v>
      </c>
      <c r="V176" s="46">
        <f>ROUND((108/100)*ROUND(Source!CS85*Source!I85, 2), 2)</f>
        <v>0</v>
      </c>
    </row>
    <row r="177" spans="1:22" ht="14.25" x14ac:dyDescent="0.2">
      <c r="A177" s="19"/>
      <c r="B177" s="19"/>
      <c r="C177" s="19" t="s">
        <v>697</v>
      </c>
      <c r="D177" s="20"/>
      <c r="E177" s="47"/>
      <c r="F177" s="49">
        <f>Source!AO85</f>
        <v>19990.560000000001</v>
      </c>
      <c r="G177" s="21" t="str">
        <f>Source!DG85</f>
        <v/>
      </c>
      <c r="H177" s="47">
        <f>Source!AV85</f>
        <v>1</v>
      </c>
      <c r="I177" s="47">
        <f>IF(Source!BA85&lt;&gt; 0, Source!BA85, 1)</f>
        <v>1</v>
      </c>
      <c r="J177" s="49">
        <f>Source!S85</f>
        <v>799.62</v>
      </c>
      <c r="K177" s="49"/>
    </row>
    <row r="178" spans="1:22" ht="14.25" x14ac:dyDescent="0.2">
      <c r="A178" s="19"/>
      <c r="B178" s="19"/>
      <c r="C178" s="19" t="s">
        <v>704</v>
      </c>
      <c r="D178" s="20"/>
      <c r="E178" s="47"/>
      <c r="F178" s="49">
        <f>Source!AL85</f>
        <v>12188.43</v>
      </c>
      <c r="G178" s="21" t="str">
        <f>Source!DD85</f>
        <v/>
      </c>
      <c r="H178" s="47">
        <f>Source!AW85</f>
        <v>1</v>
      </c>
      <c r="I178" s="47">
        <f>IF(Source!BC85&lt;&gt; 0, Source!BC85, 1)</f>
        <v>1</v>
      </c>
      <c r="J178" s="49">
        <f>Source!P85</f>
        <v>487.54</v>
      </c>
      <c r="K178" s="49"/>
    </row>
    <row r="179" spans="1:22" ht="42.75" x14ac:dyDescent="0.2">
      <c r="A179" s="19">
        <v>20</v>
      </c>
      <c r="B179" s="19" t="str">
        <f>Source!F86</f>
        <v>Цена поставщика</v>
      </c>
      <c r="C179" s="19" t="str">
        <f>Source!G86</f>
        <v>Шведская стенка деревянная с турником 1x3 м или эквивалент</v>
      </c>
      <c r="D179" s="20" t="str">
        <f>Source!H86</f>
        <v>шт.</v>
      </c>
      <c r="E179" s="47">
        <f>Source!I86</f>
        <v>4</v>
      </c>
      <c r="F179" s="49">
        <f>Source!AK86</f>
        <v>8545.0499999999993</v>
      </c>
      <c r="G179" s="24" t="s">
        <v>3</v>
      </c>
      <c r="H179" s="47">
        <f>Source!AW86</f>
        <v>1</v>
      </c>
      <c r="I179" s="47">
        <f>IF(Source!BC86&lt;&gt; 0, Source!BC86, 1)</f>
        <v>1</v>
      </c>
      <c r="J179" s="49">
        <f>Source!O86</f>
        <v>34180.199999999997</v>
      </c>
      <c r="K179" s="49"/>
      <c r="Q179" s="46">
        <f>ROUND((Source!BZ86/100)*ROUND((Source!AF86*Source!AV86)*Source!I86, 2), 2)</f>
        <v>0</v>
      </c>
      <c r="R179" s="46">
        <f>Source!X86</f>
        <v>0</v>
      </c>
      <c r="S179" s="46">
        <f>ROUND((Source!CA86/100)*ROUND((Source!AF86*Source!AV86)*Source!I86, 2), 2)</f>
        <v>0</v>
      </c>
      <c r="T179" s="46">
        <f>Source!Y86</f>
        <v>0</v>
      </c>
      <c r="U179" s="46">
        <f>ROUND((175/100)*ROUND((Source!AE86*Source!AV86)*Source!I86, 2), 2)</f>
        <v>0</v>
      </c>
      <c r="V179" s="46">
        <f>ROUND((108/100)*ROUND(Source!CS86*Source!I86, 2), 2)</f>
        <v>0</v>
      </c>
    </row>
    <row r="180" spans="1:22" ht="14.25" x14ac:dyDescent="0.2">
      <c r="A180" s="19"/>
      <c r="B180" s="19"/>
      <c r="C180" s="19" t="s">
        <v>699</v>
      </c>
      <c r="D180" s="20" t="s">
        <v>700</v>
      </c>
      <c r="E180" s="47">
        <f>Source!AT85</f>
        <v>70</v>
      </c>
      <c r="F180" s="49"/>
      <c r="G180" s="21"/>
      <c r="H180" s="47"/>
      <c r="I180" s="47"/>
      <c r="J180" s="49">
        <f>SUM(R176:R179)</f>
        <v>559.73</v>
      </c>
      <c r="K180" s="49"/>
    </row>
    <row r="181" spans="1:22" ht="14.25" x14ac:dyDescent="0.2">
      <c r="A181" s="19"/>
      <c r="B181" s="19"/>
      <c r="C181" s="19" t="s">
        <v>701</v>
      </c>
      <c r="D181" s="20" t="s">
        <v>700</v>
      </c>
      <c r="E181" s="47">
        <f>Source!AU85</f>
        <v>10</v>
      </c>
      <c r="F181" s="49"/>
      <c r="G181" s="21"/>
      <c r="H181" s="47"/>
      <c r="I181" s="47"/>
      <c r="J181" s="49">
        <f>SUM(T176:T180)</f>
        <v>79.959999999999994</v>
      </c>
      <c r="K181" s="49"/>
    </row>
    <row r="182" spans="1:22" ht="14.25" x14ac:dyDescent="0.2">
      <c r="A182" s="19"/>
      <c r="B182" s="19"/>
      <c r="C182" s="19" t="s">
        <v>702</v>
      </c>
      <c r="D182" s="20" t="s">
        <v>703</v>
      </c>
      <c r="E182" s="47">
        <f>Source!AQ85</f>
        <v>77.86</v>
      </c>
      <c r="F182" s="49"/>
      <c r="G182" s="21" t="str">
        <f>Source!DI85</f>
        <v/>
      </c>
      <c r="H182" s="47">
        <f>Source!AV85</f>
        <v>1</v>
      </c>
      <c r="I182" s="47"/>
      <c r="J182" s="49"/>
      <c r="K182" s="49">
        <f>Source!U85</f>
        <v>3.1143999999999998</v>
      </c>
    </row>
    <row r="183" spans="1:22" ht="15" x14ac:dyDescent="0.25">
      <c r="A183" s="53"/>
      <c r="B183" s="53"/>
      <c r="C183" s="53"/>
      <c r="D183" s="53"/>
      <c r="E183" s="53"/>
      <c r="F183" s="53"/>
      <c r="G183" s="53"/>
      <c r="H183" s="53"/>
      <c r="I183" s="69">
        <f>J177+J178+J180+J181+SUM(J179:J179)</f>
        <v>36107.049999999996</v>
      </c>
      <c r="J183" s="69"/>
      <c r="K183" s="51">
        <f>IF(Source!I85&lt;&gt;0, ROUND(I183/Source!I85, 2), 0)</f>
        <v>902676.25</v>
      </c>
      <c r="P183" s="54">
        <f>I183</f>
        <v>36107.049999999996</v>
      </c>
    </row>
    <row r="185" spans="1:22" ht="15" x14ac:dyDescent="0.25">
      <c r="A185" s="73" t="str">
        <f>CONCATENATE("Итого по подразделу: ",IF(Source!G88&lt;&gt;"Новый подраздел", Source!G88, ""))</f>
        <v>Итого по подразделу: 1.2 Ремонтно-строительные работы</v>
      </c>
      <c r="B185" s="73"/>
      <c r="C185" s="73"/>
      <c r="D185" s="73"/>
      <c r="E185" s="73"/>
      <c r="F185" s="73"/>
      <c r="G185" s="73"/>
      <c r="H185" s="73"/>
      <c r="I185" s="71">
        <f>SUM(P104:P184)</f>
        <v>803261.40999999992</v>
      </c>
      <c r="J185" s="72"/>
      <c r="K185" s="26"/>
    </row>
    <row r="188" spans="1:22" ht="16.5" x14ac:dyDescent="0.25">
      <c r="A188" s="70" t="str">
        <f>CONCATENATE("Подраздел: ",IF(Source!G118&lt;&gt;"Новый подраздел", Source!G118, ""))</f>
        <v>Подраздел: 1.3 Сантехнические работы</v>
      </c>
      <c r="B188" s="70"/>
      <c r="C188" s="70"/>
      <c r="D188" s="70"/>
      <c r="E188" s="70"/>
      <c r="F188" s="70"/>
      <c r="G188" s="70"/>
      <c r="H188" s="70"/>
      <c r="I188" s="70"/>
      <c r="J188" s="70"/>
      <c r="K188" s="70"/>
    </row>
    <row r="189" spans="1:22" ht="57" x14ac:dyDescent="0.2">
      <c r="A189" s="19">
        <v>21</v>
      </c>
      <c r="B189" s="19" t="str">
        <f>Source!F122</f>
        <v>1.17-3303-1-2/5</v>
      </c>
      <c r="C189" s="19" t="str">
        <f>Source!G122</f>
        <v>Установка радиаторов биметаллических "Рифар" / 10 секций, размеры 261х100х800 мм, теплоотдача 1010 Вт</v>
      </c>
      <c r="D189" s="20" t="str">
        <f>Source!H122</f>
        <v>100 квт</v>
      </c>
      <c r="E189" s="47">
        <f>Source!I122</f>
        <v>0.50960000000000005</v>
      </c>
      <c r="F189" s="49"/>
      <c r="G189" s="21"/>
      <c r="H189" s="47"/>
      <c r="I189" s="47"/>
      <c r="J189" s="49"/>
      <c r="K189" s="49"/>
      <c r="Q189" s="46">
        <f>ROUND((Source!BZ122/100)*ROUND((Source!AF122*Source!AV122)*Source!I122, 2), 2)</f>
        <v>7310.14</v>
      </c>
      <c r="R189" s="46">
        <f>Source!X122</f>
        <v>7310.14</v>
      </c>
      <c r="S189" s="46">
        <f>ROUND((Source!CA122/100)*ROUND((Source!AF122*Source!AV122)*Source!I122, 2), 2)</f>
        <v>1044.31</v>
      </c>
      <c r="T189" s="46">
        <f>Source!Y122</f>
        <v>1044.31</v>
      </c>
      <c r="U189" s="46">
        <f>ROUND((175/100)*ROUND((Source!AE122*Source!AV122)*Source!I122, 2), 2)</f>
        <v>0.28000000000000003</v>
      </c>
      <c r="V189" s="46">
        <f>ROUND((108/100)*ROUND(Source!CS122*Source!I122, 2), 2)</f>
        <v>0.17</v>
      </c>
    </row>
    <row r="190" spans="1:22" x14ac:dyDescent="0.2">
      <c r="C190" s="23" t="str">
        <f>"Объем: "&amp;Source!I122&amp;"=1,96*"&amp;"26/"&amp;"100"</f>
        <v>Объем: 0,5096=1,96*26/100</v>
      </c>
    </row>
    <row r="191" spans="1:22" ht="14.25" x14ac:dyDescent="0.2">
      <c r="A191" s="19"/>
      <c r="B191" s="19"/>
      <c r="C191" s="19" t="s">
        <v>697</v>
      </c>
      <c r="D191" s="20"/>
      <c r="E191" s="47"/>
      <c r="F191" s="49">
        <f>Source!AO122</f>
        <v>20492.66</v>
      </c>
      <c r="G191" s="21" t="str">
        <f>Source!DG122</f>
        <v/>
      </c>
      <c r="H191" s="47">
        <f>Source!AV122</f>
        <v>1</v>
      </c>
      <c r="I191" s="47">
        <f>IF(Source!BA122&lt;&gt; 0, Source!BA122, 1)</f>
        <v>1</v>
      </c>
      <c r="J191" s="49">
        <f>Source!S122</f>
        <v>10443.06</v>
      </c>
      <c r="K191" s="49"/>
    </row>
    <row r="192" spans="1:22" ht="14.25" x14ac:dyDescent="0.2">
      <c r="A192" s="19"/>
      <c r="B192" s="19"/>
      <c r="C192" s="19" t="s">
        <v>698</v>
      </c>
      <c r="D192" s="20"/>
      <c r="E192" s="47"/>
      <c r="F192" s="49">
        <f>Source!AM122</f>
        <v>2.1</v>
      </c>
      <c r="G192" s="21" t="str">
        <f>Source!DE122</f>
        <v/>
      </c>
      <c r="H192" s="47">
        <f>Source!AV122</f>
        <v>1</v>
      </c>
      <c r="I192" s="47">
        <f>IF(Source!BB122&lt;&gt; 0, Source!BB122, 1)</f>
        <v>1</v>
      </c>
      <c r="J192" s="49">
        <f>Source!Q122</f>
        <v>1.07</v>
      </c>
      <c r="K192" s="49"/>
    </row>
    <row r="193" spans="1:22" ht="14.25" x14ac:dyDescent="0.2">
      <c r="A193" s="19"/>
      <c r="B193" s="19"/>
      <c r="C193" s="19" t="s">
        <v>705</v>
      </c>
      <c r="D193" s="20"/>
      <c r="E193" s="47"/>
      <c r="F193" s="49">
        <f>Source!AN122</f>
        <v>0.32</v>
      </c>
      <c r="G193" s="21" t="str">
        <f>Source!DF122</f>
        <v/>
      </c>
      <c r="H193" s="47">
        <f>Source!AV122</f>
        <v>1</v>
      </c>
      <c r="I193" s="47">
        <f>IF(Source!BS122&lt;&gt; 0, Source!BS122, 1)</f>
        <v>1</v>
      </c>
      <c r="J193" s="25">
        <f>Source!R122</f>
        <v>0.16</v>
      </c>
      <c r="K193" s="49"/>
    </row>
    <row r="194" spans="1:22" ht="14.25" x14ac:dyDescent="0.2">
      <c r="A194" s="19"/>
      <c r="B194" s="19"/>
      <c r="C194" s="19" t="s">
        <v>704</v>
      </c>
      <c r="D194" s="20"/>
      <c r="E194" s="47"/>
      <c r="F194" s="49">
        <f>Source!AL122</f>
        <v>775129.57</v>
      </c>
      <c r="G194" s="21" t="str">
        <f>Source!DD122</f>
        <v/>
      </c>
      <c r="H194" s="47">
        <f>Source!AW122</f>
        <v>1</v>
      </c>
      <c r="I194" s="47">
        <f>IF(Source!BC122&lt;&gt; 0, Source!BC122, 1)</f>
        <v>1</v>
      </c>
      <c r="J194" s="49">
        <f>Source!P122</f>
        <v>395006.03</v>
      </c>
      <c r="K194" s="49"/>
    </row>
    <row r="195" spans="1:22" ht="71.25" x14ac:dyDescent="0.2">
      <c r="A195" s="19">
        <v>22</v>
      </c>
      <c r="B195" s="19" t="str">
        <f>Source!F123</f>
        <v>21.18-4-174</v>
      </c>
      <c r="C195" s="19" t="str">
        <f>Source!G123</f>
        <v>Радиаторы биметаллические секционные "Рифар", межосевое расстояние 200 мм, 10 секций, размеры 261х100х800 мм, теплоотдача 1010 Вт</v>
      </c>
      <c r="D195" s="20" t="str">
        <f>Source!H123</f>
        <v>шт.</v>
      </c>
      <c r="E195" s="47">
        <f>Source!I123</f>
        <v>-50.455495999999997</v>
      </c>
      <c r="F195" s="49">
        <f>Source!AK123</f>
        <v>7758.26</v>
      </c>
      <c r="G195" s="24" t="s">
        <v>3</v>
      </c>
      <c r="H195" s="47">
        <f>Source!AW123</f>
        <v>1</v>
      </c>
      <c r="I195" s="47">
        <f>IF(Source!BC123&lt;&gt; 0, Source!BC123, 1)</f>
        <v>1</v>
      </c>
      <c r="J195" s="49">
        <f>Source!O123</f>
        <v>-391446.86</v>
      </c>
      <c r="K195" s="49"/>
      <c r="Q195" s="46">
        <f>ROUND((Source!BZ123/100)*ROUND((Source!AF123*Source!AV123)*Source!I123, 2), 2)</f>
        <v>0</v>
      </c>
      <c r="R195" s="46">
        <f>Source!X123</f>
        <v>0</v>
      </c>
      <c r="S195" s="46">
        <f>ROUND((Source!CA123/100)*ROUND((Source!AF123*Source!AV123)*Source!I123, 2), 2)</f>
        <v>0</v>
      </c>
      <c r="T195" s="46">
        <f>Source!Y123</f>
        <v>0</v>
      </c>
      <c r="U195" s="46">
        <f>ROUND((175/100)*ROUND((Source!AE123*Source!AV123)*Source!I123, 2), 2)</f>
        <v>0</v>
      </c>
      <c r="V195" s="46">
        <f>ROUND((108/100)*ROUND(Source!CS123*Source!I123, 2), 2)</f>
        <v>0</v>
      </c>
    </row>
    <row r="196" spans="1:22" ht="42.75" x14ac:dyDescent="0.2">
      <c r="A196" s="19">
        <v>23</v>
      </c>
      <c r="B196" s="19" t="str">
        <f>Source!F124</f>
        <v>Цена поставщика</v>
      </c>
      <c r="C196" s="19" t="str">
        <f>Source!G124</f>
        <v>Радиатор Rifar Monolit 500/100 биметалл 10 секций или эквивалент</v>
      </c>
      <c r="D196" s="20" t="str">
        <f>Source!H124</f>
        <v>шт.</v>
      </c>
      <c r="E196" s="47">
        <f>Source!I124</f>
        <v>26</v>
      </c>
      <c r="F196" s="49">
        <f>Source!AK124</f>
        <v>12673.5</v>
      </c>
      <c r="G196" s="24" t="s">
        <v>3</v>
      </c>
      <c r="H196" s="47">
        <f>Source!AW124</f>
        <v>1</v>
      </c>
      <c r="I196" s="47">
        <f>IF(Source!BC124&lt;&gt; 0, Source!BC124, 1)</f>
        <v>1</v>
      </c>
      <c r="J196" s="49">
        <f>Source!O124</f>
        <v>329511</v>
      </c>
      <c r="K196" s="49"/>
      <c r="Q196" s="46">
        <f>ROUND((Source!BZ124/100)*ROUND((Source!AF124*Source!AV124)*Source!I124, 2), 2)</f>
        <v>0</v>
      </c>
      <c r="R196" s="46">
        <f>Source!X124</f>
        <v>0</v>
      </c>
      <c r="S196" s="46">
        <f>ROUND((Source!CA124/100)*ROUND((Source!AF124*Source!AV124)*Source!I124, 2), 2)</f>
        <v>0</v>
      </c>
      <c r="T196" s="46">
        <f>Source!Y124</f>
        <v>0</v>
      </c>
      <c r="U196" s="46">
        <f>ROUND((175/100)*ROUND((Source!AE124*Source!AV124)*Source!I124, 2), 2)</f>
        <v>0</v>
      </c>
      <c r="V196" s="46">
        <f>ROUND((108/100)*ROUND(Source!CS124*Source!I124, 2), 2)</f>
        <v>0</v>
      </c>
    </row>
    <row r="197" spans="1:22" ht="28.5" x14ac:dyDescent="0.2">
      <c r="A197" s="19">
        <v>24</v>
      </c>
      <c r="B197" s="19" t="str">
        <f>Source!F125</f>
        <v>21.12-10-20</v>
      </c>
      <c r="C197" s="19" t="str">
        <f>Source!G125</f>
        <v>Кронштейны для крепления отопительных приборов, марка КР1-РС</v>
      </c>
      <c r="D197" s="20" t="str">
        <f>Source!H125</f>
        <v>компл.</v>
      </c>
      <c r="E197" s="47">
        <f>Source!I125</f>
        <v>-22.524319999999999</v>
      </c>
      <c r="F197" s="49">
        <f>Source!AK125</f>
        <v>131.81</v>
      </c>
      <c r="G197" s="24" t="s">
        <v>3</v>
      </c>
      <c r="H197" s="47">
        <f>Source!AW125</f>
        <v>1</v>
      </c>
      <c r="I197" s="47">
        <f>IF(Source!BC125&lt;&gt; 0, Source!BC125, 1)</f>
        <v>1</v>
      </c>
      <c r="J197" s="49">
        <f>Source!O125</f>
        <v>-2968.93</v>
      </c>
      <c r="K197" s="49"/>
      <c r="Q197" s="46">
        <f>ROUND((Source!BZ125/100)*ROUND((Source!AF125*Source!AV125)*Source!I125, 2), 2)</f>
        <v>0</v>
      </c>
      <c r="R197" s="46">
        <f>Source!X125</f>
        <v>0</v>
      </c>
      <c r="S197" s="46">
        <f>ROUND((Source!CA125/100)*ROUND((Source!AF125*Source!AV125)*Source!I125, 2), 2)</f>
        <v>0</v>
      </c>
      <c r="T197" s="46">
        <f>Source!Y125</f>
        <v>0</v>
      </c>
      <c r="U197" s="46">
        <f>ROUND((175/100)*ROUND((Source!AE125*Source!AV125)*Source!I125, 2), 2)</f>
        <v>0</v>
      </c>
      <c r="V197" s="46">
        <f>ROUND((108/100)*ROUND(Source!CS125*Source!I125, 2), 2)</f>
        <v>0</v>
      </c>
    </row>
    <row r="198" spans="1:22" ht="42.75" x14ac:dyDescent="0.2">
      <c r="A198" s="19">
        <v>25</v>
      </c>
      <c r="B198" s="19" t="str">
        <f>Source!F126</f>
        <v>21.12-10-45</v>
      </c>
      <c r="C198" s="19" t="str">
        <f>Source!G126</f>
        <v>Кронштейны для крепления отопительных приборов, марка КРД, длина 131 мм</v>
      </c>
      <c r="D198" s="20" t="str">
        <f>Source!H126</f>
        <v>шт.</v>
      </c>
      <c r="E198" s="47">
        <f>Source!I126</f>
        <v>52</v>
      </c>
      <c r="F198" s="49">
        <f>Source!AK126</f>
        <v>51.23</v>
      </c>
      <c r="G198" s="24" t="s">
        <v>3</v>
      </c>
      <c r="H198" s="47">
        <f>Source!AW126</f>
        <v>1</v>
      </c>
      <c r="I198" s="47">
        <f>IF(Source!BC126&lt;&gt; 0, Source!BC126, 1)</f>
        <v>1</v>
      </c>
      <c r="J198" s="49">
        <f>Source!O126</f>
        <v>2663.96</v>
      </c>
      <c r="K198" s="49"/>
      <c r="Q198" s="46">
        <f>ROUND((Source!BZ126/100)*ROUND((Source!AF126*Source!AV126)*Source!I126, 2), 2)</f>
        <v>0</v>
      </c>
      <c r="R198" s="46">
        <f>Source!X126</f>
        <v>0</v>
      </c>
      <c r="S198" s="46">
        <f>ROUND((Source!CA126/100)*ROUND((Source!AF126*Source!AV126)*Source!I126, 2), 2)</f>
        <v>0</v>
      </c>
      <c r="T198" s="46">
        <f>Source!Y126</f>
        <v>0</v>
      </c>
      <c r="U198" s="46">
        <f>ROUND((175/100)*ROUND((Source!AE126*Source!AV126)*Source!I126, 2), 2)</f>
        <v>0</v>
      </c>
      <c r="V198" s="46">
        <f>ROUND((108/100)*ROUND(Source!CS126*Source!I126, 2), 2)</f>
        <v>0</v>
      </c>
    </row>
    <row r="199" spans="1:22" ht="14.25" x14ac:dyDescent="0.2">
      <c r="A199" s="19"/>
      <c r="B199" s="19"/>
      <c r="C199" s="19" t="s">
        <v>699</v>
      </c>
      <c r="D199" s="20" t="s">
        <v>700</v>
      </c>
      <c r="E199" s="47">
        <f>Source!AT122</f>
        <v>70</v>
      </c>
      <c r="F199" s="49"/>
      <c r="G199" s="21"/>
      <c r="H199" s="47"/>
      <c r="I199" s="47"/>
      <c r="J199" s="49">
        <f>SUM(R189:R198)</f>
        <v>7310.14</v>
      </c>
      <c r="K199" s="49"/>
    </row>
    <row r="200" spans="1:22" ht="14.25" x14ac:dyDescent="0.2">
      <c r="A200" s="19"/>
      <c r="B200" s="19"/>
      <c r="C200" s="19" t="s">
        <v>701</v>
      </c>
      <c r="D200" s="20" t="s">
        <v>700</v>
      </c>
      <c r="E200" s="47">
        <f>Source!AU122</f>
        <v>10</v>
      </c>
      <c r="F200" s="49"/>
      <c r="G200" s="21"/>
      <c r="H200" s="47"/>
      <c r="I200" s="47"/>
      <c r="J200" s="49">
        <f>SUM(T189:T199)</f>
        <v>1044.31</v>
      </c>
      <c r="K200" s="49"/>
    </row>
    <row r="201" spans="1:22" ht="14.25" x14ac:dyDescent="0.2">
      <c r="A201" s="19"/>
      <c r="B201" s="19"/>
      <c r="C201" s="19" t="s">
        <v>706</v>
      </c>
      <c r="D201" s="20" t="s">
        <v>700</v>
      </c>
      <c r="E201" s="47">
        <f>108</f>
        <v>108</v>
      </c>
      <c r="F201" s="49"/>
      <c r="G201" s="21"/>
      <c r="H201" s="47"/>
      <c r="I201" s="47"/>
      <c r="J201" s="49">
        <f>SUM(V189:V200)</f>
        <v>0.17</v>
      </c>
      <c r="K201" s="49"/>
    </row>
    <row r="202" spans="1:22" ht="14.25" x14ac:dyDescent="0.2">
      <c r="A202" s="19"/>
      <c r="B202" s="19"/>
      <c r="C202" s="19" t="s">
        <v>702</v>
      </c>
      <c r="D202" s="20" t="s">
        <v>703</v>
      </c>
      <c r="E202" s="47">
        <f>Source!AQ122</f>
        <v>67.959999999999994</v>
      </c>
      <c r="F202" s="49"/>
      <c r="G202" s="21" t="str">
        <f>Source!DI122</f>
        <v/>
      </c>
      <c r="H202" s="47">
        <f>Source!AV122</f>
        <v>1</v>
      </c>
      <c r="I202" s="47"/>
      <c r="J202" s="49"/>
      <c r="K202" s="49">
        <f>Source!U122</f>
        <v>34.632415999999999</v>
      </c>
    </row>
    <row r="203" spans="1:22" ht="15" x14ac:dyDescent="0.25">
      <c r="A203" s="53"/>
      <c r="B203" s="53"/>
      <c r="C203" s="53"/>
      <c r="D203" s="53"/>
      <c r="E203" s="53"/>
      <c r="F203" s="53"/>
      <c r="G203" s="53"/>
      <c r="H203" s="53"/>
      <c r="I203" s="69">
        <f>J191+J192+J194+J199+J200+J201+SUM(J195:J198)</f>
        <v>351563.95000000007</v>
      </c>
      <c r="J203" s="69"/>
      <c r="K203" s="51">
        <f>IF(Source!I122&lt;&gt;0, ROUND(I203/Source!I122, 2), 0)</f>
        <v>689882.16</v>
      </c>
      <c r="P203" s="54">
        <f>I203</f>
        <v>351563.95000000007</v>
      </c>
    </row>
    <row r="204" spans="1:22" ht="28.5" x14ac:dyDescent="0.2">
      <c r="A204" s="19">
        <v>26</v>
      </c>
      <c r="B204" s="19" t="str">
        <f>Source!F127</f>
        <v>1.17-3303-4-1/1</v>
      </c>
      <c r="C204" s="19" t="str">
        <f>Source!G127</f>
        <v>Установка терморегулирующих клапанов на отопительных приборах</v>
      </c>
      <c r="D204" s="20" t="str">
        <f>Source!H127</f>
        <v>100 шт.</v>
      </c>
      <c r="E204" s="47">
        <f>Source!I127</f>
        <v>0.02</v>
      </c>
      <c r="F204" s="49"/>
      <c r="G204" s="21"/>
      <c r="H204" s="47"/>
      <c r="I204" s="47"/>
      <c r="J204" s="49"/>
      <c r="K204" s="49"/>
      <c r="Q204" s="46">
        <f>ROUND((Source!BZ127/100)*ROUND((Source!AF127*Source!AV127)*Source!I127, 2), 2)</f>
        <v>372.61</v>
      </c>
      <c r="R204" s="46">
        <f>Source!X127</f>
        <v>372.61</v>
      </c>
      <c r="S204" s="46">
        <f>ROUND((Source!CA127/100)*ROUND((Source!AF127*Source!AV127)*Source!I127, 2), 2)</f>
        <v>53.23</v>
      </c>
      <c r="T204" s="46">
        <f>Source!Y127</f>
        <v>53.23</v>
      </c>
      <c r="U204" s="46">
        <f>ROUND((175/100)*ROUND((Source!AE127*Source!AV127)*Source!I127, 2), 2)</f>
        <v>0</v>
      </c>
      <c r="V204" s="46">
        <f>ROUND((108/100)*ROUND(Source!CS127*Source!I127, 2), 2)</f>
        <v>0</v>
      </c>
    </row>
    <row r="205" spans="1:22" ht="14.25" x14ac:dyDescent="0.2">
      <c r="A205" s="19"/>
      <c r="B205" s="19"/>
      <c r="C205" s="19" t="s">
        <v>697</v>
      </c>
      <c r="D205" s="20"/>
      <c r="E205" s="47"/>
      <c r="F205" s="49">
        <f>Source!AO127</f>
        <v>26615.16</v>
      </c>
      <c r="G205" s="21" t="str">
        <f>Source!DG127</f>
        <v/>
      </c>
      <c r="H205" s="47">
        <f>Source!AV127</f>
        <v>1</v>
      </c>
      <c r="I205" s="47">
        <f>IF(Source!BA127&lt;&gt; 0, Source!BA127, 1)</f>
        <v>1</v>
      </c>
      <c r="J205" s="49">
        <f>Source!S127</f>
        <v>532.29999999999995</v>
      </c>
      <c r="K205" s="49"/>
    </row>
    <row r="206" spans="1:22" ht="14.25" x14ac:dyDescent="0.2">
      <c r="A206" s="19"/>
      <c r="B206" s="19"/>
      <c r="C206" s="19" t="s">
        <v>698</v>
      </c>
      <c r="D206" s="20"/>
      <c r="E206" s="47"/>
      <c r="F206" s="49">
        <f>Source!AM127</f>
        <v>48.4</v>
      </c>
      <c r="G206" s="21" t="str">
        <f>Source!DE127</f>
        <v/>
      </c>
      <c r="H206" s="47">
        <f>Source!AV127</f>
        <v>1</v>
      </c>
      <c r="I206" s="47">
        <f>IF(Source!BB127&lt;&gt; 0, Source!BB127, 1)</f>
        <v>1</v>
      </c>
      <c r="J206" s="49">
        <f>Source!Q127</f>
        <v>0.97</v>
      </c>
      <c r="K206" s="49"/>
    </row>
    <row r="207" spans="1:22" ht="14.25" x14ac:dyDescent="0.2">
      <c r="A207" s="19"/>
      <c r="B207" s="19"/>
      <c r="C207" s="19" t="s">
        <v>704</v>
      </c>
      <c r="D207" s="20"/>
      <c r="E207" s="47"/>
      <c r="F207" s="49">
        <f>Source!AL127</f>
        <v>393039.65</v>
      </c>
      <c r="G207" s="21" t="str">
        <f>Source!DD127</f>
        <v/>
      </c>
      <c r="H207" s="47">
        <f>Source!AW127</f>
        <v>1</v>
      </c>
      <c r="I207" s="47">
        <f>IF(Source!BC127&lt;&gt; 0, Source!BC127, 1)</f>
        <v>1</v>
      </c>
      <c r="J207" s="49">
        <f>Source!P127</f>
        <v>7860.79</v>
      </c>
      <c r="K207" s="49"/>
    </row>
    <row r="208" spans="1:22" ht="14.25" x14ac:dyDescent="0.2">
      <c r="A208" s="19"/>
      <c r="B208" s="19"/>
      <c r="C208" s="19" t="s">
        <v>699</v>
      </c>
      <c r="D208" s="20" t="s">
        <v>700</v>
      </c>
      <c r="E208" s="47">
        <f>Source!AT127</f>
        <v>70</v>
      </c>
      <c r="F208" s="49"/>
      <c r="G208" s="21"/>
      <c r="H208" s="47"/>
      <c r="I208" s="47"/>
      <c r="J208" s="49">
        <f>SUM(R204:R207)</f>
        <v>372.61</v>
      </c>
      <c r="K208" s="49"/>
    </row>
    <row r="209" spans="1:22" ht="14.25" x14ac:dyDescent="0.2">
      <c r="A209" s="19"/>
      <c r="B209" s="19"/>
      <c r="C209" s="19" t="s">
        <v>701</v>
      </c>
      <c r="D209" s="20" t="s">
        <v>700</v>
      </c>
      <c r="E209" s="47">
        <f>Source!AU127</f>
        <v>10</v>
      </c>
      <c r="F209" s="49"/>
      <c r="G209" s="21"/>
      <c r="H209" s="47"/>
      <c r="I209" s="47"/>
      <c r="J209" s="49">
        <f>SUM(T204:T208)</f>
        <v>53.23</v>
      </c>
      <c r="K209" s="49"/>
    </row>
    <row r="210" spans="1:22" ht="14.25" x14ac:dyDescent="0.2">
      <c r="A210" s="19"/>
      <c r="B210" s="19"/>
      <c r="C210" s="19" t="s">
        <v>702</v>
      </c>
      <c r="D210" s="20" t="s">
        <v>703</v>
      </c>
      <c r="E210" s="47">
        <f>Source!AQ127</f>
        <v>86.53</v>
      </c>
      <c r="F210" s="49"/>
      <c r="G210" s="21" t="str">
        <f>Source!DI127</f>
        <v/>
      </c>
      <c r="H210" s="47">
        <f>Source!AV127</f>
        <v>1</v>
      </c>
      <c r="I210" s="47"/>
      <c r="J210" s="49"/>
      <c r="K210" s="49">
        <f>Source!U127</f>
        <v>1.7306000000000001</v>
      </c>
    </row>
    <row r="211" spans="1:22" ht="15" x14ac:dyDescent="0.25">
      <c r="A211" s="53"/>
      <c r="B211" s="53"/>
      <c r="C211" s="53"/>
      <c r="D211" s="53"/>
      <c r="E211" s="53"/>
      <c r="F211" s="53"/>
      <c r="G211" s="53"/>
      <c r="H211" s="53"/>
      <c r="I211" s="69">
        <f>J205+J206+J207+J208+J209</f>
        <v>8819.9</v>
      </c>
      <c r="J211" s="69"/>
      <c r="K211" s="51">
        <f>IF(Source!I127&lt;&gt;0, ROUND(I211/Source!I127, 2), 0)</f>
        <v>440995</v>
      </c>
      <c r="P211" s="54">
        <f>I211</f>
        <v>8819.9</v>
      </c>
    </row>
    <row r="212" spans="1:22" ht="57" x14ac:dyDescent="0.2">
      <c r="A212" s="19">
        <v>27</v>
      </c>
      <c r="B212" s="19" t="str">
        <f>Source!F128</f>
        <v>1.13-3203-18-4/1</v>
      </c>
      <c r="C212" s="19" t="str">
        <f>Source!G128</f>
        <v>Окраска суриком металлических решеток, переплетов, радиаторов, труб диаметром менее 50 мм и т.п. за два раза</v>
      </c>
      <c r="D212" s="20" t="str">
        <f>Source!H128</f>
        <v>100 м2</v>
      </c>
      <c r="E212" s="47">
        <f>Source!I128</f>
        <v>2.188E-2</v>
      </c>
      <c r="F212" s="49"/>
      <c r="G212" s="21"/>
      <c r="H212" s="47"/>
      <c r="I212" s="47"/>
      <c r="J212" s="49"/>
      <c r="K212" s="49"/>
      <c r="Q212" s="46">
        <f>ROUND((Source!BZ128/100)*ROUND((Source!AF128*Source!AV128)*Source!I128, 2), 2)</f>
        <v>343.1</v>
      </c>
      <c r="R212" s="46">
        <f>Source!X128</f>
        <v>343.1</v>
      </c>
      <c r="S212" s="46">
        <f>ROUND((Source!CA128/100)*ROUND((Source!AF128*Source!AV128)*Source!I128, 2), 2)</f>
        <v>49.01</v>
      </c>
      <c r="T212" s="46">
        <f>Source!Y128</f>
        <v>49.01</v>
      </c>
      <c r="U212" s="46">
        <f>ROUND((175/100)*ROUND((Source!AE128*Source!AV128)*Source!I128, 2), 2)</f>
        <v>0</v>
      </c>
      <c r="V212" s="46">
        <f>ROUND((108/100)*ROUND(Source!CS128*Source!I128, 2), 2)</f>
        <v>0</v>
      </c>
    </row>
    <row r="213" spans="1:22" ht="14.25" x14ac:dyDescent="0.2">
      <c r="A213" s="19"/>
      <c r="B213" s="19"/>
      <c r="C213" s="19" t="s">
        <v>697</v>
      </c>
      <c r="D213" s="20"/>
      <c r="E213" s="47"/>
      <c r="F213" s="49">
        <f>Source!AO128</f>
        <v>22401.41</v>
      </c>
      <c r="G213" s="21" t="str">
        <f>Source!DG128</f>
        <v/>
      </c>
      <c r="H213" s="47">
        <f>Source!AV128</f>
        <v>1</v>
      </c>
      <c r="I213" s="47">
        <f>IF(Source!BA128&lt;&gt; 0, Source!BA128, 1)</f>
        <v>1</v>
      </c>
      <c r="J213" s="49">
        <f>Source!S128</f>
        <v>490.14</v>
      </c>
      <c r="K213" s="49"/>
    </row>
    <row r="214" spans="1:22" ht="14.25" x14ac:dyDescent="0.2">
      <c r="A214" s="19"/>
      <c r="B214" s="19"/>
      <c r="C214" s="19" t="s">
        <v>704</v>
      </c>
      <c r="D214" s="20"/>
      <c r="E214" s="47"/>
      <c r="F214" s="49">
        <f>Source!AL128</f>
        <v>3012.82</v>
      </c>
      <c r="G214" s="21" t="str">
        <f>Source!DD128</f>
        <v/>
      </c>
      <c r="H214" s="47">
        <f>Source!AW128</f>
        <v>1</v>
      </c>
      <c r="I214" s="47">
        <f>IF(Source!BC128&lt;&gt; 0, Source!BC128, 1)</f>
        <v>1</v>
      </c>
      <c r="J214" s="49">
        <f>Source!P128</f>
        <v>65.92</v>
      </c>
      <c r="K214" s="49"/>
    </row>
    <row r="215" spans="1:22" ht="14.25" x14ac:dyDescent="0.2">
      <c r="A215" s="19"/>
      <c r="B215" s="19"/>
      <c r="C215" s="19" t="s">
        <v>699</v>
      </c>
      <c r="D215" s="20" t="s">
        <v>700</v>
      </c>
      <c r="E215" s="47">
        <f>Source!AT128</f>
        <v>70</v>
      </c>
      <c r="F215" s="49"/>
      <c r="G215" s="21"/>
      <c r="H215" s="47"/>
      <c r="I215" s="47"/>
      <c r="J215" s="49">
        <f>SUM(R212:R214)</f>
        <v>343.1</v>
      </c>
      <c r="K215" s="49"/>
    </row>
    <row r="216" spans="1:22" ht="14.25" x14ac:dyDescent="0.2">
      <c r="A216" s="19"/>
      <c r="B216" s="19"/>
      <c r="C216" s="19" t="s">
        <v>701</v>
      </c>
      <c r="D216" s="20" t="s">
        <v>700</v>
      </c>
      <c r="E216" s="47">
        <f>Source!AU128</f>
        <v>10</v>
      </c>
      <c r="F216" s="49"/>
      <c r="G216" s="21"/>
      <c r="H216" s="47"/>
      <c r="I216" s="47"/>
      <c r="J216" s="49">
        <f>SUM(T212:T215)</f>
        <v>49.01</v>
      </c>
      <c r="K216" s="49"/>
    </row>
    <row r="217" spans="1:22" ht="14.25" x14ac:dyDescent="0.2">
      <c r="A217" s="19"/>
      <c r="B217" s="19"/>
      <c r="C217" s="19" t="s">
        <v>702</v>
      </c>
      <c r="D217" s="20" t="s">
        <v>703</v>
      </c>
      <c r="E217" s="47">
        <f>Source!AQ128</f>
        <v>74.290000000000006</v>
      </c>
      <c r="F217" s="49"/>
      <c r="G217" s="21" t="str">
        <f>Source!DI128</f>
        <v/>
      </c>
      <c r="H217" s="47">
        <f>Source!AV128</f>
        <v>1</v>
      </c>
      <c r="I217" s="47"/>
      <c r="J217" s="49"/>
      <c r="K217" s="49">
        <f>Source!U128</f>
        <v>1.6254652000000001</v>
      </c>
    </row>
    <row r="218" spans="1:22" ht="15" x14ac:dyDescent="0.25">
      <c r="A218" s="53"/>
      <c r="B218" s="53"/>
      <c r="C218" s="53"/>
      <c r="D218" s="53"/>
      <c r="E218" s="53"/>
      <c r="F218" s="53"/>
      <c r="G218" s="53"/>
      <c r="H218" s="53"/>
      <c r="I218" s="69">
        <f>J213+J214+J215+J216</f>
        <v>948.17</v>
      </c>
      <c r="J218" s="69"/>
      <c r="K218" s="51">
        <f>IF(Source!I128&lt;&gt;0, ROUND(I218/Source!I128, 2), 0)</f>
        <v>43335.01</v>
      </c>
      <c r="P218" s="54">
        <f>I218</f>
        <v>948.17</v>
      </c>
    </row>
    <row r="219" spans="1:22" ht="71.25" x14ac:dyDescent="0.2">
      <c r="A219" s="19">
        <v>28</v>
      </c>
      <c r="B219" s="19" t="str">
        <f>Source!F129</f>
        <v>1.17-3203-1-2/1</v>
      </c>
      <c r="C219" s="19" t="str">
        <f>Source!G129</f>
        <v>Прокладка трубопроводов отопления из стальных водогазопроводных неоцинкованных труб диаметром 20 мм (без стоимости арматуры и креплений)</v>
      </c>
      <c r="D219" s="20" t="str">
        <f>Source!H129</f>
        <v>100 м</v>
      </c>
      <c r="E219" s="47">
        <f>Source!I129</f>
        <v>0.54</v>
      </c>
      <c r="F219" s="49"/>
      <c r="G219" s="21"/>
      <c r="H219" s="47"/>
      <c r="I219" s="47"/>
      <c r="J219" s="49"/>
      <c r="K219" s="49"/>
      <c r="Q219" s="46">
        <f>ROUND((Source!BZ129/100)*ROUND((Source!AF129*Source!AV129)*Source!I129, 2), 2)</f>
        <v>4284.49</v>
      </c>
      <c r="R219" s="46">
        <f>Source!X129</f>
        <v>4284.49</v>
      </c>
      <c r="S219" s="46">
        <f>ROUND((Source!CA129/100)*ROUND((Source!AF129*Source!AV129)*Source!I129, 2), 2)</f>
        <v>612.07000000000005</v>
      </c>
      <c r="T219" s="46">
        <f>Source!Y129</f>
        <v>612.07000000000005</v>
      </c>
      <c r="U219" s="46">
        <f>ROUND((175/100)*ROUND((Source!AE129*Source!AV129)*Source!I129, 2), 2)</f>
        <v>0.21</v>
      </c>
      <c r="V219" s="46">
        <f>ROUND((108/100)*ROUND(Source!CS129*Source!I129, 2), 2)</f>
        <v>0.13</v>
      </c>
    </row>
    <row r="220" spans="1:22" ht="14.25" x14ac:dyDescent="0.2">
      <c r="A220" s="19"/>
      <c r="B220" s="19"/>
      <c r="C220" s="19" t="s">
        <v>697</v>
      </c>
      <c r="D220" s="20"/>
      <c r="E220" s="47"/>
      <c r="F220" s="49">
        <f>Source!AO129</f>
        <v>11334.63</v>
      </c>
      <c r="G220" s="21" t="str">
        <f>Source!DG129</f>
        <v/>
      </c>
      <c r="H220" s="47">
        <f>Source!AV129</f>
        <v>1</v>
      </c>
      <c r="I220" s="47">
        <f>IF(Source!BA129&lt;&gt; 0, Source!BA129, 1)</f>
        <v>1</v>
      </c>
      <c r="J220" s="49">
        <f>Source!S129</f>
        <v>6120.7</v>
      </c>
      <c r="K220" s="49"/>
    </row>
    <row r="221" spans="1:22" ht="14.25" x14ac:dyDescent="0.2">
      <c r="A221" s="19"/>
      <c r="B221" s="19"/>
      <c r="C221" s="19" t="s">
        <v>698</v>
      </c>
      <c r="D221" s="20"/>
      <c r="E221" s="47"/>
      <c r="F221" s="49">
        <f>Source!AM129</f>
        <v>7.85</v>
      </c>
      <c r="G221" s="21" t="str">
        <f>Source!DE129</f>
        <v/>
      </c>
      <c r="H221" s="47">
        <f>Source!AV129</f>
        <v>1</v>
      </c>
      <c r="I221" s="47">
        <f>IF(Source!BB129&lt;&gt; 0, Source!BB129, 1)</f>
        <v>1</v>
      </c>
      <c r="J221" s="49">
        <f>Source!Q129</f>
        <v>4.24</v>
      </c>
      <c r="K221" s="49"/>
    </row>
    <row r="222" spans="1:22" ht="14.25" x14ac:dyDescent="0.2">
      <c r="A222" s="19"/>
      <c r="B222" s="19"/>
      <c r="C222" s="19" t="s">
        <v>705</v>
      </c>
      <c r="D222" s="20"/>
      <c r="E222" s="47"/>
      <c r="F222" s="49">
        <f>Source!AN129</f>
        <v>0.22</v>
      </c>
      <c r="G222" s="21" t="str">
        <f>Source!DF129</f>
        <v/>
      </c>
      <c r="H222" s="47">
        <f>Source!AV129</f>
        <v>1</v>
      </c>
      <c r="I222" s="47">
        <f>IF(Source!BS129&lt;&gt; 0, Source!BS129, 1)</f>
        <v>1</v>
      </c>
      <c r="J222" s="25">
        <f>Source!R129</f>
        <v>0.12</v>
      </c>
      <c r="K222" s="49"/>
    </row>
    <row r="223" spans="1:22" ht="14.25" x14ac:dyDescent="0.2">
      <c r="A223" s="19"/>
      <c r="B223" s="19"/>
      <c r="C223" s="19" t="s">
        <v>704</v>
      </c>
      <c r="D223" s="20"/>
      <c r="E223" s="47"/>
      <c r="F223" s="49">
        <f>Source!AL129</f>
        <v>34399.51</v>
      </c>
      <c r="G223" s="21" t="str">
        <f>Source!DD129</f>
        <v/>
      </c>
      <c r="H223" s="47">
        <f>Source!AW129</f>
        <v>1</v>
      </c>
      <c r="I223" s="47">
        <f>IF(Source!BC129&lt;&gt; 0, Source!BC129, 1)</f>
        <v>1</v>
      </c>
      <c r="J223" s="49">
        <f>Source!P129</f>
        <v>18575.740000000002</v>
      </c>
      <c r="K223" s="49"/>
    </row>
    <row r="224" spans="1:22" ht="71.25" x14ac:dyDescent="0.2">
      <c r="A224" s="19">
        <v>29</v>
      </c>
      <c r="B224" s="19" t="str">
        <f>Source!F130</f>
        <v>21.3-4-19</v>
      </c>
      <c r="C224" s="19" t="str">
        <f>Source!G130</f>
        <v>Арматурные заготовки (стержни, хомуты и т.п.), не собранные в каркасы или сетки, арматурная сталь периодического профиля, класс А-III, диаметр 20-22 мм</v>
      </c>
      <c r="D224" s="20" t="str">
        <f>Source!H130</f>
        <v>т</v>
      </c>
      <c r="E224" s="47">
        <f>Source!I130</f>
        <v>7.2900000000000006E-2</v>
      </c>
      <c r="F224" s="49">
        <f>Source!AK130</f>
        <v>71207.520000000004</v>
      </c>
      <c r="G224" s="24" t="s">
        <v>3</v>
      </c>
      <c r="H224" s="47">
        <f>Source!AW130</f>
        <v>1</v>
      </c>
      <c r="I224" s="47">
        <f>IF(Source!BC130&lt;&gt; 0, Source!BC130, 1)</f>
        <v>1</v>
      </c>
      <c r="J224" s="49">
        <f>Source!O130</f>
        <v>5191.03</v>
      </c>
      <c r="K224" s="49"/>
      <c r="Q224" s="46">
        <f>ROUND((Source!BZ130/100)*ROUND((Source!AF130*Source!AV130)*Source!I130, 2), 2)</f>
        <v>0</v>
      </c>
      <c r="R224" s="46">
        <f>Source!X130</f>
        <v>0</v>
      </c>
      <c r="S224" s="46">
        <f>ROUND((Source!CA130/100)*ROUND((Source!AF130*Source!AV130)*Source!I130, 2), 2)</f>
        <v>0</v>
      </c>
      <c r="T224" s="46">
        <f>Source!Y130</f>
        <v>0</v>
      </c>
      <c r="U224" s="46">
        <f>ROUND((175/100)*ROUND((Source!AE130*Source!AV130)*Source!I130, 2), 2)</f>
        <v>0</v>
      </c>
      <c r="V224" s="46">
        <f>ROUND((108/100)*ROUND(Source!CS130*Source!I130, 2), 2)</f>
        <v>0</v>
      </c>
    </row>
    <row r="225" spans="1:22" ht="14.25" x14ac:dyDescent="0.2">
      <c r="A225" s="19"/>
      <c r="B225" s="19"/>
      <c r="C225" s="19" t="s">
        <v>699</v>
      </c>
      <c r="D225" s="20" t="s">
        <v>700</v>
      </c>
      <c r="E225" s="47">
        <f>Source!AT129</f>
        <v>70</v>
      </c>
      <c r="F225" s="49"/>
      <c r="G225" s="21"/>
      <c r="H225" s="47"/>
      <c r="I225" s="47"/>
      <c r="J225" s="49">
        <f>SUM(R219:R224)</f>
        <v>4284.49</v>
      </c>
      <c r="K225" s="49"/>
    </row>
    <row r="226" spans="1:22" ht="14.25" x14ac:dyDescent="0.2">
      <c r="A226" s="19"/>
      <c r="B226" s="19"/>
      <c r="C226" s="19" t="s">
        <v>701</v>
      </c>
      <c r="D226" s="20" t="s">
        <v>700</v>
      </c>
      <c r="E226" s="47">
        <f>Source!AU129</f>
        <v>10</v>
      </c>
      <c r="F226" s="49"/>
      <c r="G226" s="21"/>
      <c r="H226" s="47"/>
      <c r="I226" s="47"/>
      <c r="J226" s="49">
        <f>SUM(T219:T225)</f>
        <v>612.07000000000005</v>
      </c>
      <c r="K226" s="49"/>
    </row>
    <row r="227" spans="1:22" ht="14.25" x14ac:dyDescent="0.2">
      <c r="A227" s="19"/>
      <c r="B227" s="19"/>
      <c r="C227" s="19" t="s">
        <v>706</v>
      </c>
      <c r="D227" s="20" t="s">
        <v>700</v>
      </c>
      <c r="E227" s="47">
        <f>108</f>
        <v>108</v>
      </c>
      <c r="F227" s="49"/>
      <c r="G227" s="21"/>
      <c r="H227" s="47"/>
      <c r="I227" s="47"/>
      <c r="J227" s="49">
        <f>SUM(V219:V226)</f>
        <v>0.13</v>
      </c>
      <c r="K227" s="49"/>
    </row>
    <row r="228" spans="1:22" ht="14.25" x14ac:dyDescent="0.2">
      <c r="A228" s="19"/>
      <c r="B228" s="19"/>
      <c r="C228" s="19" t="s">
        <v>702</v>
      </c>
      <c r="D228" s="20" t="s">
        <v>703</v>
      </c>
      <c r="E228" s="47">
        <f>Source!AQ129</f>
        <v>34.159999999999997</v>
      </c>
      <c r="F228" s="49"/>
      <c r="G228" s="21" t="str">
        <f>Source!DI129</f>
        <v/>
      </c>
      <c r="H228" s="47">
        <f>Source!AV129</f>
        <v>1</v>
      </c>
      <c r="I228" s="47"/>
      <c r="J228" s="49"/>
      <c r="K228" s="49">
        <f>Source!U129</f>
        <v>18.446400000000001</v>
      </c>
    </row>
    <row r="229" spans="1:22" ht="15" x14ac:dyDescent="0.25">
      <c r="A229" s="53"/>
      <c r="B229" s="53"/>
      <c r="C229" s="53"/>
      <c r="D229" s="53"/>
      <c r="E229" s="53"/>
      <c r="F229" s="53"/>
      <c r="G229" s="53"/>
      <c r="H229" s="53"/>
      <c r="I229" s="69">
        <f>J220+J221+J223+J225+J226+J227+SUM(J224:J224)</f>
        <v>34788.400000000001</v>
      </c>
      <c r="J229" s="69"/>
      <c r="K229" s="51">
        <f>IF(Source!I129&lt;&gt;0, ROUND(I229/Source!I129, 2), 0)</f>
        <v>64422.96</v>
      </c>
      <c r="P229" s="54">
        <f>I229</f>
        <v>34788.400000000001</v>
      </c>
    </row>
    <row r="230" spans="1:22" ht="71.25" x14ac:dyDescent="0.2">
      <c r="A230" s="19">
        <v>30</v>
      </c>
      <c r="B230" s="19" t="str">
        <f>Source!F131</f>
        <v>1.17-3203-1-3/1</v>
      </c>
      <c r="C230" s="19" t="str">
        <f>Source!G131</f>
        <v>Прокладка трубопроводов отопления из стальных водогазопроводных неоцинкованных труб диаметром 25 мм (без стоимости арматуры и креплений)</v>
      </c>
      <c r="D230" s="20" t="str">
        <f>Source!H131</f>
        <v>100 м</v>
      </c>
      <c r="E230" s="47">
        <f>Source!I131</f>
        <v>0.3</v>
      </c>
      <c r="F230" s="49"/>
      <c r="G230" s="21"/>
      <c r="H230" s="47"/>
      <c r="I230" s="47"/>
      <c r="J230" s="49"/>
      <c r="K230" s="49"/>
      <c r="Q230" s="46">
        <f>ROUND((Source!BZ131/100)*ROUND((Source!AF131*Source!AV131)*Source!I131, 2), 2)</f>
        <v>2380.27</v>
      </c>
      <c r="R230" s="46">
        <f>Source!X131</f>
        <v>2380.27</v>
      </c>
      <c r="S230" s="46">
        <f>ROUND((Source!CA131/100)*ROUND((Source!AF131*Source!AV131)*Source!I131, 2), 2)</f>
        <v>340.04</v>
      </c>
      <c r="T230" s="46">
        <f>Source!Y131</f>
        <v>340.04</v>
      </c>
      <c r="U230" s="46">
        <f>ROUND((175/100)*ROUND((Source!AE131*Source!AV131)*Source!I131, 2), 2)</f>
        <v>0.12</v>
      </c>
      <c r="V230" s="46">
        <f>ROUND((108/100)*ROUND(Source!CS131*Source!I131, 2), 2)</f>
        <v>0.08</v>
      </c>
    </row>
    <row r="231" spans="1:22" ht="14.25" x14ac:dyDescent="0.2">
      <c r="A231" s="19"/>
      <c r="B231" s="19"/>
      <c r="C231" s="19" t="s">
        <v>697</v>
      </c>
      <c r="D231" s="20"/>
      <c r="E231" s="47"/>
      <c r="F231" s="49">
        <f>Source!AO131</f>
        <v>11334.63</v>
      </c>
      <c r="G231" s="21" t="str">
        <f>Source!DG131</f>
        <v/>
      </c>
      <c r="H231" s="47">
        <f>Source!AV131</f>
        <v>1</v>
      </c>
      <c r="I231" s="47">
        <f>IF(Source!BA131&lt;&gt; 0, Source!BA131, 1)</f>
        <v>1</v>
      </c>
      <c r="J231" s="49">
        <f>Source!S131</f>
        <v>3400.39</v>
      </c>
      <c r="K231" s="49"/>
    </row>
    <row r="232" spans="1:22" ht="14.25" x14ac:dyDescent="0.2">
      <c r="A232" s="19"/>
      <c r="B232" s="19"/>
      <c r="C232" s="19" t="s">
        <v>698</v>
      </c>
      <c r="D232" s="20"/>
      <c r="E232" s="47"/>
      <c r="F232" s="49">
        <f>Source!AM131</f>
        <v>7.85</v>
      </c>
      <c r="G232" s="21" t="str">
        <f>Source!DE131</f>
        <v/>
      </c>
      <c r="H232" s="47">
        <f>Source!AV131</f>
        <v>1</v>
      </c>
      <c r="I232" s="47">
        <f>IF(Source!BB131&lt;&gt; 0, Source!BB131, 1)</f>
        <v>1</v>
      </c>
      <c r="J232" s="49">
        <f>Source!Q131</f>
        <v>2.36</v>
      </c>
      <c r="K232" s="49"/>
    </row>
    <row r="233" spans="1:22" ht="14.25" x14ac:dyDescent="0.2">
      <c r="A233" s="19"/>
      <c r="B233" s="19"/>
      <c r="C233" s="19" t="s">
        <v>705</v>
      </c>
      <c r="D233" s="20"/>
      <c r="E233" s="47"/>
      <c r="F233" s="49">
        <f>Source!AN131</f>
        <v>0.22</v>
      </c>
      <c r="G233" s="21" t="str">
        <f>Source!DF131</f>
        <v/>
      </c>
      <c r="H233" s="47">
        <f>Source!AV131</f>
        <v>1</v>
      </c>
      <c r="I233" s="47">
        <f>IF(Source!BS131&lt;&gt; 0, Source!BS131, 1)</f>
        <v>1</v>
      </c>
      <c r="J233" s="25">
        <f>Source!R131</f>
        <v>7.0000000000000007E-2</v>
      </c>
      <c r="K233" s="49"/>
    </row>
    <row r="234" spans="1:22" ht="14.25" x14ac:dyDescent="0.2">
      <c r="A234" s="19"/>
      <c r="B234" s="19"/>
      <c r="C234" s="19" t="s">
        <v>704</v>
      </c>
      <c r="D234" s="20"/>
      <c r="E234" s="47"/>
      <c r="F234" s="49">
        <f>Source!AL131</f>
        <v>40077.17</v>
      </c>
      <c r="G234" s="21" t="str">
        <f>Source!DD131</f>
        <v/>
      </c>
      <c r="H234" s="47">
        <f>Source!AW131</f>
        <v>1</v>
      </c>
      <c r="I234" s="47">
        <f>IF(Source!BC131&lt;&gt; 0, Source!BC131, 1)</f>
        <v>1</v>
      </c>
      <c r="J234" s="49">
        <f>Source!P131</f>
        <v>12023.15</v>
      </c>
      <c r="K234" s="49"/>
    </row>
    <row r="235" spans="1:22" ht="71.25" x14ac:dyDescent="0.2">
      <c r="A235" s="19">
        <v>31</v>
      </c>
      <c r="B235" s="19" t="str">
        <f>Source!F132</f>
        <v>21.3-4-19</v>
      </c>
      <c r="C235" s="19" t="str">
        <f>Source!G132</f>
        <v>Арматурные заготовки (стержни, хомуты и т.п.), не собранные в каркасы или сетки, арматурная сталь периодического профиля, класс А-III, диаметр 20-22 мм</v>
      </c>
      <c r="D235" s="20" t="str">
        <f>Source!H132</f>
        <v>т</v>
      </c>
      <c r="E235" s="47">
        <f>Source!I132</f>
        <v>4.0500000000000001E-2</v>
      </c>
      <c r="F235" s="49">
        <f>Source!AK132</f>
        <v>71207.520000000004</v>
      </c>
      <c r="G235" s="24" t="s">
        <v>3</v>
      </c>
      <c r="H235" s="47">
        <f>Source!AW132</f>
        <v>1</v>
      </c>
      <c r="I235" s="47">
        <f>IF(Source!BC132&lt;&gt; 0, Source!BC132, 1)</f>
        <v>1</v>
      </c>
      <c r="J235" s="49">
        <f>Source!O132</f>
        <v>2883.9</v>
      </c>
      <c r="K235" s="49"/>
      <c r="Q235" s="46">
        <f>ROUND((Source!BZ132/100)*ROUND((Source!AF132*Source!AV132)*Source!I132, 2), 2)</f>
        <v>0</v>
      </c>
      <c r="R235" s="46">
        <f>Source!X132</f>
        <v>0</v>
      </c>
      <c r="S235" s="46">
        <f>ROUND((Source!CA132/100)*ROUND((Source!AF132*Source!AV132)*Source!I132, 2), 2)</f>
        <v>0</v>
      </c>
      <c r="T235" s="46">
        <f>Source!Y132</f>
        <v>0</v>
      </c>
      <c r="U235" s="46">
        <f>ROUND((175/100)*ROUND((Source!AE132*Source!AV132)*Source!I132, 2), 2)</f>
        <v>0</v>
      </c>
      <c r="V235" s="46">
        <f>ROUND((108/100)*ROUND(Source!CS132*Source!I132, 2), 2)</f>
        <v>0</v>
      </c>
    </row>
    <row r="236" spans="1:22" ht="14.25" x14ac:dyDescent="0.2">
      <c r="A236" s="19"/>
      <c r="B236" s="19"/>
      <c r="C236" s="19" t="s">
        <v>699</v>
      </c>
      <c r="D236" s="20" t="s">
        <v>700</v>
      </c>
      <c r="E236" s="47">
        <f>Source!AT131</f>
        <v>70</v>
      </c>
      <c r="F236" s="49"/>
      <c r="G236" s="21"/>
      <c r="H236" s="47"/>
      <c r="I236" s="47"/>
      <c r="J236" s="49">
        <f>SUM(R230:R235)</f>
        <v>2380.27</v>
      </c>
      <c r="K236" s="49"/>
    </row>
    <row r="237" spans="1:22" ht="14.25" x14ac:dyDescent="0.2">
      <c r="A237" s="19"/>
      <c r="B237" s="19"/>
      <c r="C237" s="19" t="s">
        <v>701</v>
      </c>
      <c r="D237" s="20" t="s">
        <v>700</v>
      </c>
      <c r="E237" s="47">
        <f>Source!AU131</f>
        <v>10</v>
      </c>
      <c r="F237" s="49"/>
      <c r="G237" s="21"/>
      <c r="H237" s="47"/>
      <c r="I237" s="47"/>
      <c r="J237" s="49">
        <f>SUM(T230:T236)</f>
        <v>340.04</v>
      </c>
      <c r="K237" s="49"/>
    </row>
    <row r="238" spans="1:22" ht="14.25" x14ac:dyDescent="0.2">
      <c r="A238" s="19"/>
      <c r="B238" s="19"/>
      <c r="C238" s="19" t="s">
        <v>706</v>
      </c>
      <c r="D238" s="20" t="s">
        <v>700</v>
      </c>
      <c r="E238" s="47">
        <f>108</f>
        <v>108</v>
      </c>
      <c r="F238" s="49"/>
      <c r="G238" s="21"/>
      <c r="H238" s="47"/>
      <c r="I238" s="47"/>
      <c r="J238" s="49">
        <f>SUM(V230:V237)</f>
        <v>0.08</v>
      </c>
      <c r="K238" s="49"/>
    </row>
    <row r="239" spans="1:22" ht="14.25" x14ac:dyDescent="0.2">
      <c r="A239" s="19"/>
      <c r="B239" s="19"/>
      <c r="C239" s="19" t="s">
        <v>702</v>
      </c>
      <c r="D239" s="20" t="s">
        <v>703</v>
      </c>
      <c r="E239" s="47">
        <f>Source!AQ131</f>
        <v>34.159999999999997</v>
      </c>
      <c r="F239" s="49"/>
      <c r="G239" s="21" t="str">
        <f>Source!DI131</f>
        <v/>
      </c>
      <c r="H239" s="47">
        <f>Source!AV131</f>
        <v>1</v>
      </c>
      <c r="I239" s="47"/>
      <c r="J239" s="49"/>
      <c r="K239" s="49">
        <f>Source!U131</f>
        <v>10.247999999999999</v>
      </c>
    </row>
    <row r="240" spans="1:22" ht="15" x14ac:dyDescent="0.25">
      <c r="A240" s="53"/>
      <c r="B240" s="53"/>
      <c r="C240" s="53"/>
      <c r="D240" s="53"/>
      <c r="E240" s="53"/>
      <c r="F240" s="53"/>
      <c r="G240" s="53"/>
      <c r="H240" s="53"/>
      <c r="I240" s="69">
        <f>J231+J232+J234+J236+J237+J238+SUM(J235:J235)</f>
        <v>21030.190000000002</v>
      </c>
      <c r="J240" s="69"/>
      <c r="K240" s="51">
        <f>IF(Source!I131&lt;&gt;0, ROUND(I240/Source!I131, 2), 0)</f>
        <v>70100.63</v>
      </c>
      <c r="P240" s="54">
        <f>I240</f>
        <v>21030.190000000002</v>
      </c>
    </row>
    <row r="241" spans="1:22" ht="42.75" x14ac:dyDescent="0.2">
      <c r="A241" s="19">
        <v>32</v>
      </c>
      <c r="B241" s="19" t="str">
        <f>Source!F133</f>
        <v>1.17-3205-2-1/1</v>
      </c>
      <c r="C241" s="19" t="str">
        <f>Source!G133</f>
        <v>Гидравлическое испытание трубопроводов систем отопления диаметром до 50 мм</v>
      </c>
      <c r="D241" s="20" t="str">
        <f>Source!H133</f>
        <v>100 м</v>
      </c>
      <c r="E241" s="47">
        <f>Source!I133</f>
        <v>0.84</v>
      </c>
      <c r="F241" s="49"/>
      <c r="G241" s="21"/>
      <c r="H241" s="47"/>
      <c r="I241" s="47"/>
      <c r="J241" s="49"/>
      <c r="K241" s="49"/>
      <c r="Q241" s="46">
        <f>ROUND((Source!BZ133/100)*ROUND((Source!AF133*Source!AV133)*Source!I133, 2), 2)</f>
        <v>2511.29</v>
      </c>
      <c r="R241" s="46">
        <f>Source!X133</f>
        <v>2511.29</v>
      </c>
      <c r="S241" s="46">
        <f>ROUND((Source!CA133/100)*ROUND((Source!AF133*Source!AV133)*Source!I133, 2), 2)</f>
        <v>358.76</v>
      </c>
      <c r="T241" s="46">
        <f>Source!Y133</f>
        <v>358.76</v>
      </c>
      <c r="U241" s="46">
        <f>ROUND((175/100)*ROUND((Source!AE133*Source!AV133)*Source!I133, 2), 2)</f>
        <v>0</v>
      </c>
      <c r="V241" s="46">
        <f>ROUND((108/100)*ROUND(Source!CS133*Source!I133, 2), 2)</f>
        <v>0</v>
      </c>
    </row>
    <row r="242" spans="1:22" ht="14.25" x14ac:dyDescent="0.2">
      <c r="A242" s="19"/>
      <c r="B242" s="19"/>
      <c r="C242" s="19" t="s">
        <v>697</v>
      </c>
      <c r="D242" s="20"/>
      <c r="E242" s="47"/>
      <c r="F242" s="49">
        <f>Source!AO133</f>
        <v>4270.8999999999996</v>
      </c>
      <c r="G242" s="21" t="str">
        <f>Source!DG133</f>
        <v/>
      </c>
      <c r="H242" s="47">
        <f>Source!AV133</f>
        <v>1</v>
      </c>
      <c r="I242" s="47">
        <f>IF(Source!BA133&lt;&gt; 0, Source!BA133, 1)</f>
        <v>1</v>
      </c>
      <c r="J242" s="49">
        <f>Source!S133</f>
        <v>3587.56</v>
      </c>
      <c r="K242" s="49"/>
    </row>
    <row r="243" spans="1:22" ht="14.25" x14ac:dyDescent="0.2">
      <c r="A243" s="19"/>
      <c r="B243" s="19"/>
      <c r="C243" s="19" t="s">
        <v>704</v>
      </c>
      <c r="D243" s="20"/>
      <c r="E243" s="47"/>
      <c r="F243" s="49">
        <f>Source!AL133</f>
        <v>42.44</v>
      </c>
      <c r="G243" s="21" t="str">
        <f>Source!DD133</f>
        <v/>
      </c>
      <c r="H243" s="47">
        <f>Source!AW133</f>
        <v>1</v>
      </c>
      <c r="I243" s="47">
        <f>IF(Source!BC133&lt;&gt; 0, Source!BC133, 1)</f>
        <v>1</v>
      </c>
      <c r="J243" s="49">
        <f>Source!P133</f>
        <v>35.65</v>
      </c>
      <c r="K243" s="49"/>
    </row>
    <row r="244" spans="1:22" ht="14.25" x14ac:dyDescent="0.2">
      <c r="A244" s="19"/>
      <c r="B244" s="19"/>
      <c r="C244" s="19" t="s">
        <v>699</v>
      </c>
      <c r="D244" s="20" t="s">
        <v>700</v>
      </c>
      <c r="E244" s="47">
        <f>Source!AT133</f>
        <v>70</v>
      </c>
      <c r="F244" s="49"/>
      <c r="G244" s="21"/>
      <c r="H244" s="47"/>
      <c r="I244" s="47"/>
      <c r="J244" s="49">
        <f>SUM(R241:R243)</f>
        <v>2511.29</v>
      </c>
      <c r="K244" s="49"/>
    </row>
    <row r="245" spans="1:22" ht="14.25" x14ac:dyDescent="0.2">
      <c r="A245" s="19"/>
      <c r="B245" s="19"/>
      <c r="C245" s="19" t="s">
        <v>701</v>
      </c>
      <c r="D245" s="20" t="s">
        <v>700</v>
      </c>
      <c r="E245" s="47">
        <f>Source!AU133</f>
        <v>10</v>
      </c>
      <c r="F245" s="49"/>
      <c r="G245" s="21"/>
      <c r="H245" s="47"/>
      <c r="I245" s="47"/>
      <c r="J245" s="49">
        <f>SUM(T241:T244)</f>
        <v>358.76</v>
      </c>
      <c r="K245" s="49"/>
    </row>
    <row r="246" spans="1:22" ht="14.25" x14ac:dyDescent="0.2">
      <c r="A246" s="19"/>
      <c r="B246" s="19"/>
      <c r="C246" s="19" t="s">
        <v>702</v>
      </c>
      <c r="D246" s="20" t="s">
        <v>703</v>
      </c>
      <c r="E246" s="47">
        <f>Source!AQ133</f>
        <v>10.64</v>
      </c>
      <c r="F246" s="49"/>
      <c r="G246" s="21" t="str">
        <f>Source!DI133</f>
        <v/>
      </c>
      <c r="H246" s="47">
        <f>Source!AV133</f>
        <v>1</v>
      </c>
      <c r="I246" s="47"/>
      <c r="J246" s="49"/>
      <c r="K246" s="49">
        <f>Source!U133</f>
        <v>8.9375999999999998</v>
      </c>
    </row>
    <row r="247" spans="1:22" ht="15" x14ac:dyDescent="0.25">
      <c r="A247" s="53"/>
      <c r="B247" s="53"/>
      <c r="C247" s="53"/>
      <c r="D247" s="53"/>
      <c r="E247" s="53"/>
      <c r="F247" s="53"/>
      <c r="G247" s="53"/>
      <c r="H247" s="53"/>
      <c r="I247" s="69">
        <f>J242+J243+J244+J245</f>
        <v>6493.26</v>
      </c>
      <c r="J247" s="69"/>
      <c r="K247" s="51">
        <f>IF(Source!I133&lt;&gt;0, ROUND(I247/Source!I133, 2), 0)</f>
        <v>7730.07</v>
      </c>
      <c r="P247" s="54">
        <f>I247</f>
        <v>6493.26</v>
      </c>
    </row>
    <row r="248" spans="1:22" ht="42.75" x14ac:dyDescent="0.2">
      <c r="A248" s="19">
        <v>33</v>
      </c>
      <c r="B248" s="19" t="str">
        <f>Source!F134</f>
        <v>1.15-3203-5-2/1</v>
      </c>
      <c r="C248" s="19" t="str">
        <f>Source!G134</f>
        <v>Установка муфтовой арматуры диаметром 20 мм (без стоимости арматуры)</v>
      </c>
      <c r="D248" s="20" t="str">
        <f>Source!H134</f>
        <v>10 шт.</v>
      </c>
      <c r="E248" s="47">
        <f>Source!I134</f>
        <v>1</v>
      </c>
      <c r="F248" s="49"/>
      <c r="G248" s="21"/>
      <c r="H248" s="47"/>
      <c r="I248" s="47"/>
      <c r="J248" s="49"/>
      <c r="K248" s="49"/>
      <c r="Q248" s="46">
        <f>ROUND((Source!BZ134/100)*ROUND((Source!AF134*Source!AV134)*Source!I134, 2), 2)</f>
        <v>406.78</v>
      </c>
      <c r="R248" s="46">
        <f>Source!X134</f>
        <v>406.78</v>
      </c>
      <c r="S248" s="46">
        <f>ROUND((Source!CA134/100)*ROUND((Source!AF134*Source!AV134)*Source!I134, 2), 2)</f>
        <v>58.11</v>
      </c>
      <c r="T248" s="46">
        <f>Source!Y134</f>
        <v>58.11</v>
      </c>
      <c r="U248" s="46">
        <f>ROUND((175/100)*ROUND((Source!AE134*Source!AV134)*Source!I134, 2), 2)</f>
        <v>0</v>
      </c>
      <c r="V248" s="46">
        <f>ROUND((108/100)*ROUND(Source!CS134*Source!I134, 2), 2)</f>
        <v>0</v>
      </c>
    </row>
    <row r="249" spans="1:22" ht="14.25" x14ac:dyDescent="0.2">
      <c r="A249" s="19"/>
      <c r="B249" s="19"/>
      <c r="C249" s="19" t="s">
        <v>697</v>
      </c>
      <c r="D249" s="20"/>
      <c r="E249" s="47"/>
      <c r="F249" s="49">
        <f>Source!AO134</f>
        <v>581.12</v>
      </c>
      <c r="G249" s="21" t="str">
        <f>Source!DG134</f>
        <v/>
      </c>
      <c r="H249" s="47">
        <f>Source!AV134</f>
        <v>1</v>
      </c>
      <c r="I249" s="47">
        <f>IF(Source!BA134&lt;&gt; 0, Source!BA134, 1)</f>
        <v>1</v>
      </c>
      <c r="J249" s="49">
        <f>Source!S134</f>
        <v>581.12</v>
      </c>
      <c r="K249" s="49"/>
    </row>
    <row r="250" spans="1:22" ht="14.25" x14ac:dyDescent="0.2">
      <c r="A250" s="19"/>
      <c r="B250" s="19"/>
      <c r="C250" s="19" t="s">
        <v>704</v>
      </c>
      <c r="D250" s="20"/>
      <c r="E250" s="47"/>
      <c r="F250" s="49">
        <f>Source!AL134</f>
        <v>57.57</v>
      </c>
      <c r="G250" s="21" t="str">
        <f>Source!DD134</f>
        <v/>
      </c>
      <c r="H250" s="47">
        <f>Source!AW134</f>
        <v>1</v>
      </c>
      <c r="I250" s="47">
        <f>IF(Source!BC134&lt;&gt; 0, Source!BC134, 1)</f>
        <v>1</v>
      </c>
      <c r="J250" s="49">
        <f>Source!P134</f>
        <v>57.57</v>
      </c>
      <c r="K250" s="49"/>
    </row>
    <row r="251" spans="1:22" ht="42.75" x14ac:dyDescent="0.2">
      <c r="A251" s="19">
        <v>34</v>
      </c>
      <c r="B251" s="19" t="str">
        <f>Source!F135</f>
        <v>Цена поставщика</v>
      </c>
      <c r="C251" s="19" t="str">
        <f>Source!G135</f>
        <v>Кран шаровой Ду 20 Бугатти или эквивалент</v>
      </c>
      <c r="D251" s="20" t="str">
        <f>Source!H135</f>
        <v>шт.</v>
      </c>
      <c r="E251" s="47">
        <f>Source!I135</f>
        <v>10</v>
      </c>
      <c r="F251" s="49">
        <f>Source!AK135</f>
        <v>544</v>
      </c>
      <c r="G251" s="24" t="s">
        <v>3</v>
      </c>
      <c r="H251" s="47">
        <f>Source!AW135</f>
        <v>1</v>
      </c>
      <c r="I251" s="47">
        <f>IF(Source!BC135&lt;&gt; 0, Source!BC135, 1)</f>
        <v>1</v>
      </c>
      <c r="J251" s="49">
        <f>Source!O135</f>
        <v>5440</v>
      </c>
      <c r="K251" s="49"/>
      <c r="Q251" s="46">
        <f>ROUND((Source!BZ135/100)*ROUND((Source!AF135*Source!AV135)*Source!I135, 2), 2)</f>
        <v>0</v>
      </c>
      <c r="R251" s="46">
        <f>Source!X135</f>
        <v>0</v>
      </c>
      <c r="S251" s="46">
        <f>ROUND((Source!CA135/100)*ROUND((Source!AF135*Source!AV135)*Source!I135, 2), 2)</f>
        <v>0</v>
      </c>
      <c r="T251" s="46">
        <f>Source!Y135</f>
        <v>0</v>
      </c>
      <c r="U251" s="46">
        <f>ROUND((175/100)*ROUND((Source!AE135*Source!AV135)*Source!I135, 2), 2)</f>
        <v>0</v>
      </c>
      <c r="V251" s="46">
        <f>ROUND((108/100)*ROUND(Source!CS135*Source!I135, 2), 2)</f>
        <v>0</v>
      </c>
    </row>
    <row r="252" spans="1:22" ht="14.25" x14ac:dyDescent="0.2">
      <c r="A252" s="19"/>
      <c r="B252" s="19"/>
      <c r="C252" s="19" t="s">
        <v>699</v>
      </c>
      <c r="D252" s="20" t="s">
        <v>700</v>
      </c>
      <c r="E252" s="47">
        <f>Source!AT134</f>
        <v>70</v>
      </c>
      <c r="F252" s="49"/>
      <c r="G252" s="21"/>
      <c r="H252" s="47"/>
      <c r="I252" s="47"/>
      <c r="J252" s="49">
        <f>SUM(R248:R251)</f>
        <v>406.78</v>
      </c>
      <c r="K252" s="49"/>
    </row>
    <row r="253" spans="1:22" ht="14.25" x14ac:dyDescent="0.2">
      <c r="A253" s="19"/>
      <c r="B253" s="19"/>
      <c r="C253" s="19" t="s">
        <v>701</v>
      </c>
      <c r="D253" s="20" t="s">
        <v>700</v>
      </c>
      <c r="E253" s="47">
        <f>Source!AU134</f>
        <v>10</v>
      </c>
      <c r="F253" s="49"/>
      <c r="G253" s="21"/>
      <c r="H253" s="47"/>
      <c r="I253" s="47"/>
      <c r="J253" s="49">
        <f>SUM(T248:T252)</f>
        <v>58.11</v>
      </c>
      <c r="K253" s="49"/>
    </row>
    <row r="254" spans="1:22" ht="14.25" x14ac:dyDescent="0.2">
      <c r="A254" s="19"/>
      <c r="B254" s="19"/>
      <c r="C254" s="19" t="s">
        <v>702</v>
      </c>
      <c r="D254" s="20" t="s">
        <v>703</v>
      </c>
      <c r="E254" s="47">
        <f>Source!AQ134</f>
        <v>1.72</v>
      </c>
      <c r="F254" s="49"/>
      <c r="G254" s="21" t="str">
        <f>Source!DI134</f>
        <v/>
      </c>
      <c r="H254" s="47">
        <f>Source!AV134</f>
        <v>1</v>
      </c>
      <c r="I254" s="47"/>
      <c r="J254" s="49"/>
      <c r="K254" s="49">
        <f>Source!U134</f>
        <v>1.72</v>
      </c>
    </row>
    <row r="255" spans="1:22" ht="15" x14ac:dyDescent="0.25">
      <c r="A255" s="53"/>
      <c r="B255" s="53"/>
      <c r="C255" s="53"/>
      <c r="D255" s="53"/>
      <c r="E255" s="53"/>
      <c r="F255" s="53"/>
      <c r="G255" s="53"/>
      <c r="H255" s="53"/>
      <c r="I255" s="69">
        <f>J249+J250+J252+J253+SUM(J251:J251)</f>
        <v>6543.58</v>
      </c>
      <c r="J255" s="69"/>
      <c r="K255" s="51">
        <f>IF(Source!I134&lt;&gt;0, ROUND(I255/Source!I134, 2), 0)</f>
        <v>6543.58</v>
      </c>
      <c r="P255" s="54">
        <f>I255</f>
        <v>6543.58</v>
      </c>
    </row>
    <row r="256" spans="1:22" ht="42.75" x14ac:dyDescent="0.2">
      <c r="A256" s="19">
        <v>35</v>
      </c>
      <c r="B256" s="19" t="str">
        <f>Source!F136</f>
        <v>1.15-3203-5-3/1</v>
      </c>
      <c r="C256" s="19" t="str">
        <f>Source!G136</f>
        <v>Установка муфтовой арматуры диаметром 25 мм (без стоимости арматуры)</v>
      </c>
      <c r="D256" s="20" t="str">
        <f>Source!H136</f>
        <v>10 шт.</v>
      </c>
      <c r="E256" s="47">
        <f>Source!I136</f>
        <v>0.4</v>
      </c>
      <c r="F256" s="49"/>
      <c r="G256" s="21"/>
      <c r="H256" s="47"/>
      <c r="I256" s="47"/>
      <c r="J256" s="49"/>
      <c r="K256" s="49"/>
      <c r="Q256" s="46">
        <f>ROUND((Source!BZ136/100)*ROUND((Source!AF136*Source!AV136)*Source!I136, 2), 2)</f>
        <v>181.64</v>
      </c>
      <c r="R256" s="46">
        <f>Source!X136</f>
        <v>181.64</v>
      </c>
      <c r="S256" s="46">
        <f>ROUND((Source!CA136/100)*ROUND((Source!AF136*Source!AV136)*Source!I136, 2), 2)</f>
        <v>25.95</v>
      </c>
      <c r="T256" s="46">
        <f>Source!Y136</f>
        <v>25.95</v>
      </c>
      <c r="U256" s="46">
        <f>ROUND((175/100)*ROUND((Source!AE136*Source!AV136)*Source!I136, 2), 2)</f>
        <v>0</v>
      </c>
      <c r="V256" s="46">
        <f>ROUND((108/100)*ROUND(Source!CS136*Source!I136, 2), 2)</f>
        <v>0</v>
      </c>
    </row>
    <row r="257" spans="1:22" ht="14.25" x14ac:dyDescent="0.2">
      <c r="A257" s="19"/>
      <c r="B257" s="19"/>
      <c r="C257" s="19" t="s">
        <v>697</v>
      </c>
      <c r="D257" s="20"/>
      <c r="E257" s="47"/>
      <c r="F257" s="49">
        <f>Source!AO136</f>
        <v>648.69000000000005</v>
      </c>
      <c r="G257" s="21" t="str">
        <f>Source!DG136</f>
        <v/>
      </c>
      <c r="H257" s="47">
        <f>Source!AV136</f>
        <v>1</v>
      </c>
      <c r="I257" s="47">
        <f>IF(Source!BA136&lt;&gt; 0, Source!BA136, 1)</f>
        <v>1</v>
      </c>
      <c r="J257" s="49">
        <f>Source!S136</f>
        <v>259.48</v>
      </c>
      <c r="K257" s="49"/>
    </row>
    <row r="258" spans="1:22" ht="14.25" x14ac:dyDescent="0.2">
      <c r="A258" s="19"/>
      <c r="B258" s="19"/>
      <c r="C258" s="19" t="s">
        <v>704</v>
      </c>
      <c r="D258" s="20"/>
      <c r="E258" s="47"/>
      <c r="F258" s="49">
        <f>Source!AL136</f>
        <v>71.180000000000007</v>
      </c>
      <c r="G258" s="21" t="str">
        <f>Source!DD136</f>
        <v/>
      </c>
      <c r="H258" s="47">
        <f>Source!AW136</f>
        <v>1</v>
      </c>
      <c r="I258" s="47">
        <f>IF(Source!BC136&lt;&gt; 0, Source!BC136, 1)</f>
        <v>1</v>
      </c>
      <c r="J258" s="49">
        <f>Source!P136</f>
        <v>28.47</v>
      </c>
      <c r="K258" s="49"/>
    </row>
    <row r="259" spans="1:22" ht="42.75" x14ac:dyDescent="0.2">
      <c r="A259" s="19">
        <v>36</v>
      </c>
      <c r="B259" s="19" t="str">
        <f>Source!F137</f>
        <v>Цена поставщика</v>
      </c>
      <c r="C259" s="19" t="str">
        <f>Source!G137</f>
        <v>Кран шаровой Ду 25 Бугатти или эквивалент</v>
      </c>
      <c r="D259" s="20" t="str">
        <f>Source!H137</f>
        <v>шт.</v>
      </c>
      <c r="E259" s="47">
        <f>Source!I137</f>
        <v>4</v>
      </c>
      <c r="F259" s="49">
        <f>Source!AK137</f>
        <v>1471.35</v>
      </c>
      <c r="G259" s="24" t="s">
        <v>3</v>
      </c>
      <c r="H259" s="47">
        <f>Source!AW137</f>
        <v>1</v>
      </c>
      <c r="I259" s="47">
        <f>IF(Source!BC137&lt;&gt; 0, Source!BC137, 1)</f>
        <v>1</v>
      </c>
      <c r="J259" s="49">
        <f>Source!O137</f>
        <v>5885.4</v>
      </c>
      <c r="K259" s="49"/>
      <c r="Q259" s="46">
        <f>ROUND((Source!BZ137/100)*ROUND((Source!AF137*Source!AV137)*Source!I137, 2), 2)</f>
        <v>0</v>
      </c>
      <c r="R259" s="46">
        <f>Source!X137</f>
        <v>0</v>
      </c>
      <c r="S259" s="46">
        <f>ROUND((Source!CA137/100)*ROUND((Source!AF137*Source!AV137)*Source!I137, 2), 2)</f>
        <v>0</v>
      </c>
      <c r="T259" s="46">
        <f>Source!Y137</f>
        <v>0</v>
      </c>
      <c r="U259" s="46">
        <f>ROUND((175/100)*ROUND((Source!AE137*Source!AV137)*Source!I137, 2), 2)</f>
        <v>0</v>
      </c>
      <c r="V259" s="46">
        <f>ROUND((108/100)*ROUND(Source!CS137*Source!I137, 2), 2)</f>
        <v>0</v>
      </c>
    </row>
    <row r="260" spans="1:22" ht="14.25" x14ac:dyDescent="0.2">
      <c r="A260" s="19"/>
      <c r="B260" s="19"/>
      <c r="C260" s="19" t="s">
        <v>699</v>
      </c>
      <c r="D260" s="20" t="s">
        <v>700</v>
      </c>
      <c r="E260" s="47">
        <f>Source!AT136</f>
        <v>70</v>
      </c>
      <c r="F260" s="49"/>
      <c r="G260" s="21"/>
      <c r="H260" s="47"/>
      <c r="I260" s="47"/>
      <c r="J260" s="49">
        <f>SUM(R256:R259)</f>
        <v>181.64</v>
      </c>
      <c r="K260" s="49"/>
    </row>
    <row r="261" spans="1:22" ht="14.25" x14ac:dyDescent="0.2">
      <c r="A261" s="19"/>
      <c r="B261" s="19"/>
      <c r="C261" s="19" t="s">
        <v>701</v>
      </c>
      <c r="D261" s="20" t="s">
        <v>700</v>
      </c>
      <c r="E261" s="47">
        <f>Source!AU136</f>
        <v>10</v>
      </c>
      <c r="F261" s="49"/>
      <c r="G261" s="21"/>
      <c r="H261" s="47"/>
      <c r="I261" s="47"/>
      <c r="J261" s="49">
        <f>SUM(T256:T260)</f>
        <v>25.95</v>
      </c>
      <c r="K261" s="49"/>
    </row>
    <row r="262" spans="1:22" ht="14.25" x14ac:dyDescent="0.2">
      <c r="A262" s="19"/>
      <c r="B262" s="19"/>
      <c r="C262" s="19" t="s">
        <v>702</v>
      </c>
      <c r="D262" s="20" t="s">
        <v>703</v>
      </c>
      <c r="E262" s="47">
        <f>Source!AQ136</f>
        <v>1.92</v>
      </c>
      <c r="F262" s="49"/>
      <c r="G262" s="21" t="str">
        <f>Source!DI136</f>
        <v/>
      </c>
      <c r="H262" s="47">
        <f>Source!AV136</f>
        <v>1</v>
      </c>
      <c r="I262" s="47"/>
      <c r="J262" s="49"/>
      <c r="K262" s="49">
        <f>Source!U136</f>
        <v>0.76800000000000002</v>
      </c>
    </row>
    <row r="263" spans="1:22" ht="15" x14ac:dyDescent="0.25">
      <c r="A263" s="53"/>
      <c r="B263" s="53"/>
      <c r="C263" s="53"/>
      <c r="D263" s="53"/>
      <c r="E263" s="53"/>
      <c r="F263" s="53"/>
      <c r="G263" s="53"/>
      <c r="H263" s="53"/>
      <c r="I263" s="69">
        <f>J257+J258+J260+J261+SUM(J259:J259)</f>
        <v>6380.94</v>
      </c>
      <c r="J263" s="69"/>
      <c r="K263" s="51">
        <f>IF(Source!I136&lt;&gt;0, ROUND(I263/Source!I136, 2), 0)</f>
        <v>15952.35</v>
      </c>
      <c r="P263" s="54">
        <f>I263</f>
        <v>6380.94</v>
      </c>
    </row>
    <row r="264" spans="1:22" ht="42.75" x14ac:dyDescent="0.2">
      <c r="A264" s="19">
        <v>37</v>
      </c>
      <c r="B264" s="19" t="str">
        <f>Source!F138</f>
        <v>1.50-3201-2-3/1</v>
      </c>
      <c r="C264" s="19" t="str">
        <f>Source!G138</f>
        <v>Заделка отверстий в бетонных перекрытиях в местах прохода трубопроводов</v>
      </c>
      <c r="D264" s="20" t="str">
        <f>Source!H138</f>
        <v>100 шт.</v>
      </c>
      <c r="E264" s="47">
        <f>Source!I138</f>
        <v>0.05</v>
      </c>
      <c r="F264" s="49"/>
      <c r="G264" s="21"/>
      <c r="H264" s="47"/>
      <c r="I264" s="47"/>
      <c r="J264" s="49"/>
      <c r="K264" s="49"/>
      <c r="Q264" s="46">
        <f>ROUND((Source!BZ138/100)*ROUND((Source!AF138*Source!AV138)*Source!I138, 2), 2)</f>
        <v>1309.17</v>
      </c>
      <c r="R264" s="46">
        <f>Source!X138</f>
        <v>1309.17</v>
      </c>
      <c r="S264" s="46">
        <f>ROUND((Source!CA138/100)*ROUND((Source!AF138*Source!AV138)*Source!I138, 2), 2)</f>
        <v>187.02</v>
      </c>
      <c r="T264" s="46">
        <f>Source!Y138</f>
        <v>187.02</v>
      </c>
      <c r="U264" s="46">
        <f>ROUND((175/100)*ROUND((Source!AE138*Source!AV138)*Source!I138, 2), 2)</f>
        <v>0</v>
      </c>
      <c r="V264" s="46">
        <f>ROUND((108/100)*ROUND(Source!CS138*Source!I138, 2), 2)</f>
        <v>0</v>
      </c>
    </row>
    <row r="265" spans="1:22" ht="14.25" x14ac:dyDescent="0.2">
      <c r="A265" s="19"/>
      <c r="B265" s="19"/>
      <c r="C265" s="19" t="s">
        <v>697</v>
      </c>
      <c r="D265" s="20"/>
      <c r="E265" s="47"/>
      <c r="F265" s="49">
        <f>Source!AO138</f>
        <v>37404.839999999997</v>
      </c>
      <c r="G265" s="21" t="str">
        <f>Source!DG138</f>
        <v/>
      </c>
      <c r="H265" s="47">
        <f>Source!AV138</f>
        <v>1</v>
      </c>
      <c r="I265" s="47">
        <f>IF(Source!BA138&lt;&gt; 0, Source!BA138, 1)</f>
        <v>1</v>
      </c>
      <c r="J265" s="49">
        <f>Source!S138</f>
        <v>1870.24</v>
      </c>
      <c r="K265" s="49"/>
    </row>
    <row r="266" spans="1:22" ht="14.25" x14ac:dyDescent="0.2">
      <c r="A266" s="19"/>
      <c r="B266" s="19"/>
      <c r="C266" s="19" t="s">
        <v>704</v>
      </c>
      <c r="D266" s="20"/>
      <c r="E266" s="47"/>
      <c r="F266" s="49">
        <f>Source!AL138</f>
        <v>5941.66</v>
      </c>
      <c r="G266" s="21" t="str">
        <f>Source!DD138</f>
        <v/>
      </c>
      <c r="H266" s="47">
        <f>Source!AW138</f>
        <v>1</v>
      </c>
      <c r="I266" s="47">
        <f>IF(Source!BC138&lt;&gt; 0, Source!BC138, 1)</f>
        <v>1</v>
      </c>
      <c r="J266" s="49">
        <f>Source!P138</f>
        <v>297.08</v>
      </c>
      <c r="K266" s="49"/>
    </row>
    <row r="267" spans="1:22" ht="14.25" x14ac:dyDescent="0.2">
      <c r="A267" s="19"/>
      <c r="B267" s="19"/>
      <c r="C267" s="19" t="s">
        <v>699</v>
      </c>
      <c r="D267" s="20" t="s">
        <v>700</v>
      </c>
      <c r="E267" s="47">
        <f>Source!AT138</f>
        <v>70</v>
      </c>
      <c r="F267" s="49"/>
      <c r="G267" s="21"/>
      <c r="H267" s="47"/>
      <c r="I267" s="47"/>
      <c r="J267" s="49">
        <f>SUM(R264:R266)</f>
        <v>1309.17</v>
      </c>
      <c r="K267" s="49"/>
    </row>
    <row r="268" spans="1:22" ht="14.25" x14ac:dyDescent="0.2">
      <c r="A268" s="19"/>
      <c r="B268" s="19"/>
      <c r="C268" s="19" t="s">
        <v>701</v>
      </c>
      <c r="D268" s="20" t="s">
        <v>700</v>
      </c>
      <c r="E268" s="47">
        <f>Source!AU138</f>
        <v>10</v>
      </c>
      <c r="F268" s="49"/>
      <c r="G268" s="21"/>
      <c r="H268" s="47"/>
      <c r="I268" s="47"/>
      <c r="J268" s="49">
        <f>SUM(T264:T267)</f>
        <v>187.02</v>
      </c>
      <c r="K268" s="49"/>
    </row>
    <row r="269" spans="1:22" ht="14.25" x14ac:dyDescent="0.2">
      <c r="A269" s="19"/>
      <c r="B269" s="19"/>
      <c r="C269" s="19" t="s">
        <v>702</v>
      </c>
      <c r="D269" s="20" t="s">
        <v>703</v>
      </c>
      <c r="E269" s="47">
        <f>Source!AQ138</f>
        <v>132</v>
      </c>
      <c r="F269" s="49"/>
      <c r="G269" s="21" t="str">
        <f>Source!DI138</f>
        <v/>
      </c>
      <c r="H269" s="47">
        <f>Source!AV138</f>
        <v>1</v>
      </c>
      <c r="I269" s="47"/>
      <c r="J269" s="49"/>
      <c r="K269" s="49">
        <f>Source!U138</f>
        <v>6.6000000000000005</v>
      </c>
    </row>
    <row r="270" spans="1:22" ht="15" x14ac:dyDescent="0.25">
      <c r="A270" s="53"/>
      <c r="B270" s="53"/>
      <c r="C270" s="53"/>
      <c r="D270" s="53"/>
      <c r="E270" s="53"/>
      <c r="F270" s="53"/>
      <c r="G270" s="53"/>
      <c r="H270" s="53"/>
      <c r="I270" s="69">
        <f>J265+J266+J267+J268</f>
        <v>3663.51</v>
      </c>
      <c r="J270" s="69"/>
      <c r="K270" s="51">
        <f>IF(Source!I138&lt;&gt;0, ROUND(I270/Source!I138, 2), 0)</f>
        <v>73270.2</v>
      </c>
      <c r="P270" s="54">
        <f>I270</f>
        <v>3663.51</v>
      </c>
    </row>
    <row r="272" spans="1:22" ht="15" x14ac:dyDescent="0.25">
      <c r="A272" s="73" t="str">
        <f>CONCATENATE("Итого по подразделу: ",IF(Source!G140&lt;&gt;"Новый подраздел", Source!G140, ""))</f>
        <v>Итого по подразделу: 1.3 Сантехнические работы</v>
      </c>
      <c r="B272" s="73"/>
      <c r="C272" s="73"/>
      <c r="D272" s="73"/>
      <c r="E272" s="73"/>
      <c r="F272" s="73"/>
      <c r="G272" s="73"/>
      <c r="H272" s="73"/>
      <c r="I272" s="71">
        <f>SUM(P188:P271)</f>
        <v>440231.90000000014</v>
      </c>
      <c r="J272" s="72"/>
      <c r="K272" s="26"/>
    </row>
    <row r="275" spans="1:22" ht="16.5" x14ac:dyDescent="0.25">
      <c r="A275" s="70" t="str">
        <f>CONCATENATE("Подраздел: ",IF(Source!G170&lt;&gt;"Новый подраздел", Source!G170, ""))</f>
        <v>Подраздел: 1.4 Электромонтажные работы</v>
      </c>
      <c r="B275" s="70"/>
      <c r="C275" s="70"/>
      <c r="D275" s="70"/>
      <c r="E275" s="70"/>
      <c r="F275" s="70"/>
      <c r="G275" s="70"/>
      <c r="H275" s="70"/>
      <c r="I275" s="70"/>
      <c r="J275" s="70"/>
      <c r="K275" s="70"/>
    </row>
    <row r="276" spans="1:22" ht="28.5" x14ac:dyDescent="0.2">
      <c r="A276" s="19">
        <v>38</v>
      </c>
      <c r="B276" s="19" t="str">
        <f>Source!F174</f>
        <v>1.20-3104-1-4/1</v>
      </c>
      <c r="C276" s="19" t="str">
        <f>Source!G174</f>
        <v>Демонтаж осветительных приборов - светильник для люминесцентных ламп</v>
      </c>
      <c r="D276" s="20" t="str">
        <f>Source!H174</f>
        <v>100 шт.</v>
      </c>
      <c r="E276" s="47">
        <f>Source!I174</f>
        <v>0.98</v>
      </c>
      <c r="F276" s="49"/>
      <c r="G276" s="21"/>
      <c r="H276" s="47"/>
      <c r="I276" s="47"/>
      <c r="J276" s="49"/>
      <c r="K276" s="49"/>
      <c r="Q276" s="46">
        <f>ROUND((Source!BZ174/100)*ROUND((Source!AF174*Source!AV174)*Source!I174, 2), 2)</f>
        <v>3150.97</v>
      </c>
      <c r="R276" s="46">
        <f>Source!X174</f>
        <v>3150.97</v>
      </c>
      <c r="S276" s="46">
        <f>ROUND((Source!CA174/100)*ROUND((Source!AF174*Source!AV174)*Source!I174, 2), 2)</f>
        <v>450.14</v>
      </c>
      <c r="T276" s="46">
        <f>Source!Y174</f>
        <v>450.14</v>
      </c>
      <c r="U276" s="46">
        <f>ROUND((175/100)*ROUND((Source!AE174*Source!AV174)*Source!I174, 2), 2)</f>
        <v>0</v>
      </c>
      <c r="V276" s="46">
        <f>ROUND((108/100)*ROUND(Source!CS174*Source!I174, 2), 2)</f>
        <v>0</v>
      </c>
    </row>
    <row r="277" spans="1:22" ht="14.25" x14ac:dyDescent="0.2">
      <c r="A277" s="19"/>
      <c r="B277" s="19"/>
      <c r="C277" s="19" t="s">
        <v>697</v>
      </c>
      <c r="D277" s="20"/>
      <c r="E277" s="47"/>
      <c r="F277" s="49">
        <f>Source!AO174</f>
        <v>4593.26</v>
      </c>
      <c r="G277" s="21" t="str">
        <f>Source!DG174</f>
        <v/>
      </c>
      <c r="H277" s="47">
        <f>Source!AV174</f>
        <v>1</v>
      </c>
      <c r="I277" s="47">
        <f>IF(Source!BA174&lt;&gt; 0, Source!BA174, 1)</f>
        <v>1</v>
      </c>
      <c r="J277" s="49">
        <f>Source!S174</f>
        <v>4501.3900000000003</v>
      </c>
      <c r="K277" s="49"/>
    </row>
    <row r="278" spans="1:22" ht="14.25" x14ac:dyDescent="0.2">
      <c r="A278" s="19"/>
      <c r="B278" s="19"/>
      <c r="C278" s="19" t="s">
        <v>699</v>
      </c>
      <c r="D278" s="20" t="s">
        <v>700</v>
      </c>
      <c r="E278" s="47">
        <f>Source!AT174</f>
        <v>70</v>
      </c>
      <c r="F278" s="49"/>
      <c r="G278" s="21"/>
      <c r="H278" s="47"/>
      <c r="I278" s="47"/>
      <c r="J278" s="49">
        <f>SUM(R276:R277)</f>
        <v>3150.97</v>
      </c>
      <c r="K278" s="49"/>
    </row>
    <row r="279" spans="1:22" ht="14.25" x14ac:dyDescent="0.2">
      <c r="A279" s="19"/>
      <c r="B279" s="19"/>
      <c r="C279" s="19" t="s">
        <v>701</v>
      </c>
      <c r="D279" s="20" t="s">
        <v>700</v>
      </c>
      <c r="E279" s="47">
        <f>Source!AU174</f>
        <v>10</v>
      </c>
      <c r="F279" s="49"/>
      <c r="G279" s="21"/>
      <c r="H279" s="47"/>
      <c r="I279" s="47"/>
      <c r="J279" s="49">
        <f>SUM(T276:T278)</f>
        <v>450.14</v>
      </c>
      <c r="K279" s="49"/>
    </row>
    <row r="280" spans="1:22" ht="14.25" x14ac:dyDescent="0.2">
      <c r="A280" s="19"/>
      <c r="B280" s="19"/>
      <c r="C280" s="19" t="s">
        <v>702</v>
      </c>
      <c r="D280" s="20" t="s">
        <v>703</v>
      </c>
      <c r="E280" s="47">
        <f>Source!AQ174</f>
        <v>17.89</v>
      </c>
      <c r="F280" s="49"/>
      <c r="G280" s="21" t="str">
        <f>Source!DI174</f>
        <v/>
      </c>
      <c r="H280" s="47">
        <f>Source!AV174</f>
        <v>1</v>
      </c>
      <c r="I280" s="47"/>
      <c r="J280" s="49"/>
      <c r="K280" s="49">
        <f>Source!U174</f>
        <v>17.5322</v>
      </c>
    </row>
    <row r="281" spans="1:22" ht="15" x14ac:dyDescent="0.25">
      <c r="A281" s="53"/>
      <c r="B281" s="53"/>
      <c r="C281" s="53"/>
      <c r="D281" s="53"/>
      <c r="E281" s="53"/>
      <c r="F281" s="53"/>
      <c r="G281" s="53"/>
      <c r="H281" s="53"/>
      <c r="I281" s="69">
        <f>J277+J278+J279</f>
        <v>8102.5000000000009</v>
      </c>
      <c r="J281" s="69"/>
      <c r="K281" s="51">
        <f>IF(Source!I174&lt;&gt;0, ROUND(I281/Source!I174, 2), 0)</f>
        <v>8267.86</v>
      </c>
      <c r="P281" s="54">
        <f>I281</f>
        <v>8102.5000000000009</v>
      </c>
    </row>
    <row r="282" spans="1:22" ht="28.5" x14ac:dyDescent="0.2">
      <c r="A282" s="19">
        <v>39</v>
      </c>
      <c r="B282" s="19" t="str">
        <f>Source!F175</f>
        <v>1.21-3104-6-1/1</v>
      </c>
      <c r="C282" s="19" t="str">
        <f>Source!G175</f>
        <v>Демонтаж кабеля</v>
      </c>
      <c r="D282" s="20" t="str">
        <f>Source!H175</f>
        <v>100 м</v>
      </c>
      <c r="E282" s="47">
        <f>Source!I175</f>
        <v>0.35489999999999999</v>
      </c>
      <c r="F282" s="49"/>
      <c r="G282" s="21"/>
      <c r="H282" s="47"/>
      <c r="I282" s="47"/>
      <c r="J282" s="49"/>
      <c r="K282" s="49"/>
      <c r="Q282" s="46">
        <f>ROUND((Source!BZ175/100)*ROUND((Source!AF175*Source!AV175)*Source!I175, 2), 2)</f>
        <v>593.76</v>
      </c>
      <c r="R282" s="46">
        <f>Source!X175</f>
        <v>593.76</v>
      </c>
      <c r="S282" s="46">
        <f>ROUND((Source!CA175/100)*ROUND((Source!AF175*Source!AV175)*Source!I175, 2), 2)</f>
        <v>84.82</v>
      </c>
      <c r="T282" s="46">
        <f>Source!Y175</f>
        <v>84.82</v>
      </c>
      <c r="U282" s="46">
        <f>ROUND((175/100)*ROUND((Source!AE175*Source!AV175)*Source!I175, 2), 2)</f>
        <v>0</v>
      </c>
      <c r="V282" s="46">
        <f>ROUND((108/100)*ROUND(Source!CS175*Source!I175, 2), 2)</f>
        <v>0</v>
      </c>
    </row>
    <row r="283" spans="1:22" ht="14.25" x14ac:dyDescent="0.2">
      <c r="A283" s="19"/>
      <c r="B283" s="19"/>
      <c r="C283" s="19" t="s">
        <v>697</v>
      </c>
      <c r="D283" s="20"/>
      <c r="E283" s="47"/>
      <c r="F283" s="49">
        <f>Source!AO175</f>
        <v>2390.0500000000002</v>
      </c>
      <c r="G283" s="21" t="str">
        <f>Source!DG175</f>
        <v/>
      </c>
      <c r="H283" s="47">
        <f>Source!AV175</f>
        <v>1</v>
      </c>
      <c r="I283" s="47">
        <f>IF(Source!BA175&lt;&gt; 0, Source!BA175, 1)</f>
        <v>1</v>
      </c>
      <c r="J283" s="49">
        <f>Source!S175</f>
        <v>848.23</v>
      </c>
      <c r="K283" s="49"/>
    </row>
    <row r="284" spans="1:22" ht="14.25" x14ac:dyDescent="0.2">
      <c r="A284" s="19"/>
      <c r="B284" s="19"/>
      <c r="C284" s="19" t="s">
        <v>699</v>
      </c>
      <c r="D284" s="20" t="s">
        <v>700</v>
      </c>
      <c r="E284" s="47">
        <f>Source!AT175</f>
        <v>70</v>
      </c>
      <c r="F284" s="49"/>
      <c r="G284" s="21"/>
      <c r="H284" s="47"/>
      <c r="I284" s="47"/>
      <c r="J284" s="49">
        <f>SUM(R282:R283)</f>
        <v>593.76</v>
      </c>
      <c r="K284" s="49"/>
    </row>
    <row r="285" spans="1:22" ht="14.25" x14ac:dyDescent="0.2">
      <c r="A285" s="19"/>
      <c r="B285" s="19"/>
      <c r="C285" s="19" t="s">
        <v>701</v>
      </c>
      <c r="D285" s="20" t="s">
        <v>700</v>
      </c>
      <c r="E285" s="47">
        <f>Source!AU175</f>
        <v>10</v>
      </c>
      <c r="F285" s="49"/>
      <c r="G285" s="21"/>
      <c r="H285" s="47"/>
      <c r="I285" s="47"/>
      <c r="J285" s="49">
        <f>SUM(T282:T284)</f>
        <v>84.82</v>
      </c>
      <c r="K285" s="49"/>
    </row>
    <row r="286" spans="1:22" ht="14.25" x14ac:dyDescent="0.2">
      <c r="A286" s="19"/>
      <c r="B286" s="19"/>
      <c r="C286" s="19" t="s">
        <v>702</v>
      </c>
      <c r="D286" s="20" t="s">
        <v>703</v>
      </c>
      <c r="E286" s="47">
        <f>Source!AQ175</f>
        <v>9.64</v>
      </c>
      <c r="F286" s="49"/>
      <c r="G286" s="21" t="str">
        <f>Source!DI175</f>
        <v/>
      </c>
      <c r="H286" s="47">
        <f>Source!AV175</f>
        <v>1</v>
      </c>
      <c r="I286" s="47"/>
      <c r="J286" s="49"/>
      <c r="K286" s="49">
        <f>Source!U175</f>
        <v>3.4212359999999999</v>
      </c>
    </row>
    <row r="287" spans="1:22" ht="15" x14ac:dyDescent="0.25">
      <c r="A287" s="53"/>
      <c r="B287" s="53"/>
      <c r="C287" s="53"/>
      <c r="D287" s="53"/>
      <c r="E287" s="53"/>
      <c r="F287" s="53"/>
      <c r="G287" s="53"/>
      <c r="H287" s="53"/>
      <c r="I287" s="69">
        <f>J283+J284+J285</f>
        <v>1526.81</v>
      </c>
      <c r="J287" s="69"/>
      <c r="K287" s="51">
        <f>IF(Source!I175&lt;&gt;0, ROUND(I287/Source!I175, 2), 0)</f>
        <v>4302.09</v>
      </c>
      <c r="P287" s="54">
        <f>I287</f>
        <v>1526.81</v>
      </c>
    </row>
    <row r="288" spans="1:22" ht="42.75" x14ac:dyDescent="0.2">
      <c r="A288" s="19">
        <v>40</v>
      </c>
      <c r="B288" s="19" t="str">
        <f>Source!F176</f>
        <v>1.21-3103-31-2/1</v>
      </c>
      <c r="C288" s="19" t="str">
        <f>Source!G176</f>
        <v>Прокладка пластикового кабель-канала по бетонному основанию / сечение 20х12,5 мм</v>
      </c>
      <c r="D288" s="20" t="str">
        <f>Source!H176</f>
        <v>100 м</v>
      </c>
      <c r="E288" s="47">
        <f>Source!I176</f>
        <v>0.1</v>
      </c>
      <c r="F288" s="49"/>
      <c r="G288" s="21"/>
      <c r="H288" s="47"/>
      <c r="I288" s="47"/>
      <c r="J288" s="49"/>
      <c r="K288" s="49"/>
      <c r="Q288" s="46">
        <f>ROUND((Source!BZ176/100)*ROUND((Source!AF176*Source!AV176)*Source!I176, 2), 2)</f>
        <v>994.18</v>
      </c>
      <c r="R288" s="46">
        <f>Source!X176</f>
        <v>994.18</v>
      </c>
      <c r="S288" s="46">
        <f>ROUND((Source!CA176/100)*ROUND((Source!AF176*Source!AV176)*Source!I176, 2), 2)</f>
        <v>142.03</v>
      </c>
      <c r="T288" s="46">
        <f>Source!Y176</f>
        <v>142.03</v>
      </c>
      <c r="U288" s="46">
        <f>ROUND((175/100)*ROUND((Source!AE176*Source!AV176)*Source!I176, 2), 2)</f>
        <v>0.05</v>
      </c>
      <c r="V288" s="46">
        <f>ROUND((108/100)*ROUND(Source!CS176*Source!I176, 2), 2)</f>
        <v>0.03</v>
      </c>
    </row>
    <row r="289" spans="1:22" ht="14.25" x14ac:dyDescent="0.2">
      <c r="A289" s="19"/>
      <c r="B289" s="19"/>
      <c r="C289" s="19" t="s">
        <v>697</v>
      </c>
      <c r="D289" s="20"/>
      <c r="E289" s="47"/>
      <c r="F289" s="49">
        <f>Source!AO176</f>
        <v>14202.49</v>
      </c>
      <c r="G289" s="21" t="str">
        <f>Source!DG176</f>
        <v/>
      </c>
      <c r="H289" s="47">
        <f>Source!AV176</f>
        <v>1</v>
      </c>
      <c r="I289" s="47">
        <f>IF(Source!BA176&lt;&gt; 0, Source!BA176, 1)</f>
        <v>1</v>
      </c>
      <c r="J289" s="49">
        <f>Source!S176</f>
        <v>1420.25</v>
      </c>
      <c r="K289" s="49"/>
    </row>
    <row r="290" spans="1:22" ht="14.25" x14ac:dyDescent="0.2">
      <c r="A290" s="19"/>
      <c r="B290" s="19"/>
      <c r="C290" s="19" t="s">
        <v>698</v>
      </c>
      <c r="D290" s="20"/>
      <c r="E290" s="47"/>
      <c r="F290" s="49">
        <f>Source!AM176</f>
        <v>42.94</v>
      </c>
      <c r="G290" s="21" t="str">
        <f>Source!DE176</f>
        <v/>
      </c>
      <c r="H290" s="47">
        <f>Source!AV176</f>
        <v>1</v>
      </c>
      <c r="I290" s="47">
        <f>IF(Source!BB176&lt;&gt; 0, Source!BB176, 1)</f>
        <v>1</v>
      </c>
      <c r="J290" s="49">
        <f>Source!Q176</f>
        <v>4.29</v>
      </c>
      <c r="K290" s="49"/>
    </row>
    <row r="291" spans="1:22" ht="14.25" x14ac:dyDescent="0.2">
      <c r="A291" s="19"/>
      <c r="B291" s="19"/>
      <c r="C291" s="19" t="s">
        <v>705</v>
      </c>
      <c r="D291" s="20"/>
      <c r="E291" s="47"/>
      <c r="F291" s="49">
        <f>Source!AN176</f>
        <v>0.31</v>
      </c>
      <c r="G291" s="21" t="str">
        <f>Source!DF176</f>
        <v/>
      </c>
      <c r="H291" s="47">
        <f>Source!AV176</f>
        <v>1</v>
      </c>
      <c r="I291" s="47">
        <f>IF(Source!BS176&lt;&gt; 0, Source!BS176, 1)</f>
        <v>1</v>
      </c>
      <c r="J291" s="25">
        <f>Source!R176</f>
        <v>0.03</v>
      </c>
      <c r="K291" s="49"/>
    </row>
    <row r="292" spans="1:22" ht="14.25" x14ac:dyDescent="0.2">
      <c r="A292" s="19"/>
      <c r="B292" s="19"/>
      <c r="C292" s="19" t="s">
        <v>704</v>
      </c>
      <c r="D292" s="20"/>
      <c r="E292" s="47"/>
      <c r="F292" s="49">
        <f>Source!AL176</f>
        <v>24128.52</v>
      </c>
      <c r="G292" s="21" t="str">
        <f>Source!DD176</f>
        <v/>
      </c>
      <c r="H292" s="47">
        <f>Source!AW176</f>
        <v>1</v>
      </c>
      <c r="I292" s="47">
        <f>IF(Source!BC176&lt;&gt; 0, Source!BC176, 1)</f>
        <v>1</v>
      </c>
      <c r="J292" s="49">
        <f>Source!P176</f>
        <v>2412.85</v>
      </c>
      <c r="K292" s="49"/>
    </row>
    <row r="293" spans="1:22" ht="14.25" x14ac:dyDescent="0.2">
      <c r="A293" s="19"/>
      <c r="B293" s="19"/>
      <c r="C293" s="19" t="s">
        <v>699</v>
      </c>
      <c r="D293" s="20" t="s">
        <v>700</v>
      </c>
      <c r="E293" s="47">
        <f>Source!AT176</f>
        <v>70</v>
      </c>
      <c r="F293" s="49"/>
      <c r="G293" s="21"/>
      <c r="H293" s="47"/>
      <c r="I293" s="47"/>
      <c r="J293" s="49">
        <f>SUM(R288:R292)</f>
        <v>994.18</v>
      </c>
      <c r="K293" s="49"/>
    </row>
    <row r="294" spans="1:22" ht="14.25" x14ac:dyDescent="0.2">
      <c r="A294" s="19"/>
      <c r="B294" s="19"/>
      <c r="C294" s="19" t="s">
        <v>701</v>
      </c>
      <c r="D294" s="20" t="s">
        <v>700</v>
      </c>
      <c r="E294" s="47">
        <f>Source!AU176</f>
        <v>10</v>
      </c>
      <c r="F294" s="49"/>
      <c r="G294" s="21"/>
      <c r="H294" s="47"/>
      <c r="I294" s="47"/>
      <c r="J294" s="49">
        <f>SUM(T288:T293)</f>
        <v>142.03</v>
      </c>
      <c r="K294" s="49"/>
    </row>
    <row r="295" spans="1:22" ht="14.25" x14ac:dyDescent="0.2">
      <c r="A295" s="19"/>
      <c r="B295" s="19"/>
      <c r="C295" s="19" t="s">
        <v>706</v>
      </c>
      <c r="D295" s="20" t="s">
        <v>700</v>
      </c>
      <c r="E295" s="47">
        <f>108</f>
        <v>108</v>
      </c>
      <c r="F295" s="49"/>
      <c r="G295" s="21"/>
      <c r="H295" s="47"/>
      <c r="I295" s="47"/>
      <c r="J295" s="49">
        <f>SUM(V288:V294)</f>
        <v>0.03</v>
      </c>
      <c r="K295" s="49"/>
    </row>
    <row r="296" spans="1:22" ht="14.25" x14ac:dyDescent="0.2">
      <c r="A296" s="19"/>
      <c r="B296" s="19"/>
      <c r="C296" s="19" t="s">
        <v>702</v>
      </c>
      <c r="D296" s="20" t="s">
        <v>703</v>
      </c>
      <c r="E296" s="47">
        <f>Source!AQ176</f>
        <v>46.78</v>
      </c>
      <c r="F296" s="49"/>
      <c r="G296" s="21" t="str">
        <f>Source!DI176</f>
        <v/>
      </c>
      <c r="H296" s="47">
        <f>Source!AV176</f>
        <v>1</v>
      </c>
      <c r="I296" s="47"/>
      <c r="J296" s="49"/>
      <c r="K296" s="49">
        <f>Source!U176</f>
        <v>4.6779999999999999</v>
      </c>
    </row>
    <row r="297" spans="1:22" ht="15" x14ac:dyDescent="0.25">
      <c r="A297" s="53"/>
      <c r="B297" s="53"/>
      <c r="C297" s="53"/>
      <c r="D297" s="53"/>
      <c r="E297" s="53"/>
      <c r="F297" s="53"/>
      <c r="G297" s="53"/>
      <c r="H297" s="53"/>
      <c r="I297" s="69">
        <f>J289+J290+J292+J293+J294+J295</f>
        <v>4973.6299999999992</v>
      </c>
      <c r="J297" s="69"/>
      <c r="K297" s="51">
        <f>IF(Source!I176&lt;&gt;0, ROUND(I297/Source!I176, 2), 0)</f>
        <v>49736.3</v>
      </c>
      <c r="P297" s="54">
        <f>I297</f>
        <v>4973.6299999999992</v>
      </c>
    </row>
    <row r="298" spans="1:22" ht="71.25" x14ac:dyDescent="0.2">
      <c r="A298" s="19">
        <v>41</v>
      </c>
      <c r="B298" s="19" t="str">
        <f>Source!F177</f>
        <v>1.21-3103-33-2/1</v>
      </c>
      <c r="C298" s="19" t="str">
        <f>Source!G177</f>
        <v>Прокладка труб гофрированных поливинилхлоридных наружным диаметром 20 мм открыто по стенам и потолкам с установкой соединительных коробок</v>
      </c>
      <c r="D298" s="20" t="str">
        <f>Source!H177</f>
        <v>100 м</v>
      </c>
      <c r="E298" s="47">
        <f>Source!I177</f>
        <v>0.35489999999999999</v>
      </c>
      <c r="F298" s="49"/>
      <c r="G298" s="21"/>
      <c r="H298" s="47"/>
      <c r="I298" s="47"/>
      <c r="J298" s="49"/>
      <c r="K298" s="49"/>
      <c r="Q298" s="46">
        <f>ROUND((Source!BZ177/100)*ROUND((Source!AF177*Source!AV177)*Source!I177, 2), 2)</f>
        <v>1431.42</v>
      </c>
      <c r="R298" s="46">
        <f>Source!X177</f>
        <v>1431.42</v>
      </c>
      <c r="S298" s="46">
        <f>ROUND((Source!CA177/100)*ROUND((Source!AF177*Source!AV177)*Source!I177, 2), 2)</f>
        <v>204.49</v>
      </c>
      <c r="T298" s="46">
        <f>Source!Y177</f>
        <v>204.49</v>
      </c>
      <c r="U298" s="46">
        <f>ROUND((175/100)*ROUND((Source!AE177*Source!AV177)*Source!I177, 2), 2)</f>
        <v>3.68</v>
      </c>
      <c r="V298" s="46">
        <f>ROUND((108/100)*ROUND(Source!CS177*Source!I177, 2), 2)</f>
        <v>2.27</v>
      </c>
    </row>
    <row r="299" spans="1:22" ht="14.25" x14ac:dyDescent="0.2">
      <c r="A299" s="19"/>
      <c r="B299" s="19"/>
      <c r="C299" s="19" t="s">
        <v>697</v>
      </c>
      <c r="D299" s="20"/>
      <c r="E299" s="47"/>
      <c r="F299" s="49">
        <f>Source!AO177</f>
        <v>5761.88</v>
      </c>
      <c r="G299" s="21" t="str">
        <f>Source!DG177</f>
        <v/>
      </c>
      <c r="H299" s="47">
        <f>Source!AV177</f>
        <v>1</v>
      </c>
      <c r="I299" s="47">
        <f>IF(Source!BA177&lt;&gt; 0, Source!BA177, 1)</f>
        <v>1</v>
      </c>
      <c r="J299" s="49">
        <f>Source!S177</f>
        <v>2044.89</v>
      </c>
      <c r="K299" s="49"/>
    </row>
    <row r="300" spans="1:22" ht="14.25" x14ac:dyDescent="0.2">
      <c r="A300" s="19"/>
      <c r="B300" s="19"/>
      <c r="C300" s="19" t="s">
        <v>698</v>
      </c>
      <c r="D300" s="20"/>
      <c r="E300" s="47"/>
      <c r="F300" s="49">
        <f>Source!AM177</f>
        <v>45.21</v>
      </c>
      <c r="G300" s="21" t="str">
        <f>Source!DE177</f>
        <v/>
      </c>
      <c r="H300" s="47">
        <f>Source!AV177</f>
        <v>1</v>
      </c>
      <c r="I300" s="47">
        <f>IF(Source!BB177&lt;&gt; 0, Source!BB177, 1)</f>
        <v>1</v>
      </c>
      <c r="J300" s="49">
        <f>Source!Q177</f>
        <v>16.05</v>
      </c>
      <c r="K300" s="49"/>
    </row>
    <row r="301" spans="1:22" ht="14.25" x14ac:dyDescent="0.2">
      <c r="A301" s="19"/>
      <c r="B301" s="19"/>
      <c r="C301" s="19" t="s">
        <v>705</v>
      </c>
      <c r="D301" s="20"/>
      <c r="E301" s="47"/>
      <c r="F301" s="49">
        <f>Source!AN177</f>
        <v>5.92</v>
      </c>
      <c r="G301" s="21" t="str">
        <f>Source!DF177</f>
        <v/>
      </c>
      <c r="H301" s="47">
        <f>Source!AV177</f>
        <v>1</v>
      </c>
      <c r="I301" s="47">
        <f>IF(Source!BS177&lt;&gt; 0, Source!BS177, 1)</f>
        <v>1</v>
      </c>
      <c r="J301" s="25">
        <f>Source!R177</f>
        <v>2.1</v>
      </c>
      <c r="K301" s="49"/>
    </row>
    <row r="302" spans="1:22" ht="14.25" x14ac:dyDescent="0.2">
      <c r="A302" s="19"/>
      <c r="B302" s="19"/>
      <c r="C302" s="19" t="s">
        <v>704</v>
      </c>
      <c r="D302" s="20"/>
      <c r="E302" s="47"/>
      <c r="F302" s="49">
        <f>Source!AL177</f>
        <v>4561.8999999999996</v>
      </c>
      <c r="G302" s="21" t="str">
        <f>Source!DD177</f>
        <v/>
      </c>
      <c r="H302" s="47">
        <f>Source!AW177</f>
        <v>1</v>
      </c>
      <c r="I302" s="47">
        <f>IF(Source!BC177&lt;&gt; 0, Source!BC177, 1)</f>
        <v>1</v>
      </c>
      <c r="J302" s="49">
        <f>Source!P177</f>
        <v>1619.02</v>
      </c>
      <c r="K302" s="49"/>
    </row>
    <row r="303" spans="1:22" ht="14.25" x14ac:dyDescent="0.2">
      <c r="A303" s="19"/>
      <c r="B303" s="19"/>
      <c r="C303" s="19" t="s">
        <v>699</v>
      </c>
      <c r="D303" s="20" t="s">
        <v>700</v>
      </c>
      <c r="E303" s="47">
        <f>Source!AT177</f>
        <v>70</v>
      </c>
      <c r="F303" s="49"/>
      <c r="G303" s="21"/>
      <c r="H303" s="47"/>
      <c r="I303" s="47"/>
      <c r="J303" s="49">
        <f>SUM(R298:R302)</f>
        <v>1431.42</v>
      </c>
      <c r="K303" s="49"/>
    </row>
    <row r="304" spans="1:22" ht="14.25" x14ac:dyDescent="0.2">
      <c r="A304" s="19"/>
      <c r="B304" s="19"/>
      <c r="C304" s="19" t="s">
        <v>701</v>
      </c>
      <c r="D304" s="20" t="s">
        <v>700</v>
      </c>
      <c r="E304" s="47">
        <f>Source!AU177</f>
        <v>10</v>
      </c>
      <c r="F304" s="49"/>
      <c r="G304" s="21"/>
      <c r="H304" s="47"/>
      <c r="I304" s="47"/>
      <c r="J304" s="49">
        <f>SUM(T298:T303)</f>
        <v>204.49</v>
      </c>
      <c r="K304" s="49"/>
    </row>
    <row r="305" spans="1:22" ht="14.25" x14ac:dyDescent="0.2">
      <c r="A305" s="19"/>
      <c r="B305" s="19"/>
      <c r="C305" s="19" t="s">
        <v>706</v>
      </c>
      <c r="D305" s="20" t="s">
        <v>700</v>
      </c>
      <c r="E305" s="47">
        <f>108</f>
        <v>108</v>
      </c>
      <c r="F305" s="49"/>
      <c r="G305" s="21"/>
      <c r="H305" s="47"/>
      <c r="I305" s="47"/>
      <c r="J305" s="49">
        <f>SUM(V298:V304)</f>
        <v>2.27</v>
      </c>
      <c r="K305" s="49"/>
    </row>
    <row r="306" spans="1:22" ht="14.25" x14ac:dyDescent="0.2">
      <c r="A306" s="19"/>
      <c r="B306" s="19"/>
      <c r="C306" s="19" t="s">
        <v>702</v>
      </c>
      <c r="D306" s="20" t="s">
        <v>703</v>
      </c>
      <c r="E306" s="47">
        <f>Source!AQ177</f>
        <v>17.260000000000002</v>
      </c>
      <c r="F306" s="49"/>
      <c r="G306" s="21" t="str">
        <f>Source!DI177</f>
        <v/>
      </c>
      <c r="H306" s="47">
        <f>Source!AV177</f>
        <v>1</v>
      </c>
      <c r="I306" s="47"/>
      <c r="J306" s="49"/>
      <c r="K306" s="49">
        <f>Source!U177</f>
        <v>6.1255740000000003</v>
      </c>
    </row>
    <row r="307" spans="1:22" ht="15" x14ac:dyDescent="0.25">
      <c r="A307" s="53"/>
      <c r="B307" s="53"/>
      <c r="C307" s="53"/>
      <c r="D307" s="53"/>
      <c r="E307" s="53"/>
      <c r="F307" s="53"/>
      <c r="G307" s="53"/>
      <c r="H307" s="53"/>
      <c r="I307" s="69">
        <f>J299+J300+J302+J303+J304+J305</f>
        <v>5318.14</v>
      </c>
      <c r="J307" s="69"/>
      <c r="K307" s="51">
        <f>IF(Source!I177&lt;&gt;0, ROUND(I307/Source!I177, 2), 0)</f>
        <v>14984.9</v>
      </c>
      <c r="P307" s="54">
        <f>I307</f>
        <v>5318.14</v>
      </c>
    </row>
    <row r="308" spans="1:22" ht="85.5" x14ac:dyDescent="0.2">
      <c r="A308" s="19">
        <v>42</v>
      </c>
      <c r="B308" s="19" t="str">
        <f>Source!F178</f>
        <v>1.21-3103-21-2/1</v>
      </c>
      <c r="C308" s="19" t="str">
        <f>Source!G178</f>
        <v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6 мм2 (без стоимости материалов)</v>
      </c>
      <c r="D308" s="20" t="str">
        <f>Source!H178</f>
        <v>100 м</v>
      </c>
      <c r="E308" s="47">
        <f>Source!I178</f>
        <v>0.35489999999999999</v>
      </c>
      <c r="F308" s="49"/>
      <c r="G308" s="21"/>
      <c r="H308" s="47"/>
      <c r="I308" s="47"/>
      <c r="J308" s="49"/>
      <c r="K308" s="49"/>
      <c r="Q308" s="46">
        <f>ROUND((Source!BZ178/100)*ROUND((Source!AF178*Source!AV178)*Source!I178, 2), 2)</f>
        <v>575.39</v>
      </c>
      <c r="R308" s="46">
        <f>Source!X178</f>
        <v>575.39</v>
      </c>
      <c r="S308" s="46">
        <f>ROUND((Source!CA178/100)*ROUND((Source!AF178*Source!AV178)*Source!I178, 2), 2)</f>
        <v>82.2</v>
      </c>
      <c r="T308" s="46">
        <f>Source!Y178</f>
        <v>82.2</v>
      </c>
      <c r="U308" s="46">
        <f>ROUND((175/100)*ROUND((Source!AE178*Source!AV178)*Source!I178, 2), 2)</f>
        <v>0</v>
      </c>
      <c r="V308" s="46">
        <f>ROUND((108/100)*ROUND(Source!CS178*Source!I178, 2), 2)</f>
        <v>0</v>
      </c>
    </row>
    <row r="309" spans="1:22" ht="14.25" x14ac:dyDescent="0.2">
      <c r="A309" s="19"/>
      <c r="B309" s="19"/>
      <c r="C309" s="19" t="s">
        <v>697</v>
      </c>
      <c r="D309" s="20"/>
      <c r="E309" s="47"/>
      <c r="F309" s="49">
        <f>Source!AO178</f>
        <v>2316.08</v>
      </c>
      <c r="G309" s="21" t="str">
        <f>Source!DG178</f>
        <v/>
      </c>
      <c r="H309" s="47">
        <f>Source!AV178</f>
        <v>1</v>
      </c>
      <c r="I309" s="47">
        <f>IF(Source!BA178&lt;&gt; 0, Source!BA178, 1)</f>
        <v>1</v>
      </c>
      <c r="J309" s="49">
        <f>Source!S178</f>
        <v>821.98</v>
      </c>
      <c r="K309" s="49"/>
    </row>
    <row r="310" spans="1:22" ht="114" x14ac:dyDescent="0.2">
      <c r="A310" s="19">
        <v>43</v>
      </c>
      <c r="B310" s="19" t="str">
        <f>Source!F179</f>
        <v>21.23-8-269</v>
      </c>
      <c r="C310" s="19" t="str">
        <f>Source!G179</f>
        <v>Кабели силовые, с медными жилами, с изоляц. и оболоч.из ПВХ пластиката пониж.пожар.опасности, не распростр.горение, с пониж.дымо- и газовыделением и с низк.токсич-тью продуктов горения, напряж.1000 В, марка ВВГнг(А)-LSLTx, число жил и сечение, мм2: 3х1,5</v>
      </c>
      <c r="D310" s="20" t="str">
        <f>Source!H179</f>
        <v>км</v>
      </c>
      <c r="E310" s="47">
        <f>Source!I179</f>
        <v>3.6200000000000003E-2</v>
      </c>
      <c r="F310" s="49">
        <f>Source!AK179</f>
        <v>100115.51</v>
      </c>
      <c r="G310" s="24" t="s">
        <v>3</v>
      </c>
      <c r="H310" s="47">
        <f>Source!AW179</f>
        <v>1</v>
      </c>
      <c r="I310" s="47">
        <f>IF(Source!BC179&lt;&gt; 0, Source!BC179, 1)</f>
        <v>1</v>
      </c>
      <c r="J310" s="49">
        <f>Source!O179</f>
        <v>3624.18</v>
      </c>
      <c r="K310" s="49"/>
      <c r="Q310" s="46">
        <f>ROUND((Source!BZ179/100)*ROUND((Source!AF179*Source!AV179)*Source!I179, 2), 2)</f>
        <v>0</v>
      </c>
      <c r="R310" s="46">
        <f>Source!X179</f>
        <v>0</v>
      </c>
      <c r="S310" s="46">
        <f>ROUND((Source!CA179/100)*ROUND((Source!AF179*Source!AV179)*Source!I179, 2), 2)</f>
        <v>0</v>
      </c>
      <c r="T310" s="46">
        <f>Source!Y179</f>
        <v>0</v>
      </c>
      <c r="U310" s="46">
        <f>ROUND((175/100)*ROUND((Source!AE179*Source!AV179)*Source!I179, 2), 2)</f>
        <v>0</v>
      </c>
      <c r="V310" s="46">
        <f>ROUND((108/100)*ROUND(Source!CS179*Source!I179, 2), 2)</f>
        <v>0</v>
      </c>
    </row>
    <row r="311" spans="1:22" ht="14.25" x14ac:dyDescent="0.2">
      <c r="A311" s="19"/>
      <c r="B311" s="19"/>
      <c r="C311" s="19" t="s">
        <v>699</v>
      </c>
      <c r="D311" s="20" t="s">
        <v>700</v>
      </c>
      <c r="E311" s="47">
        <f>Source!AT178</f>
        <v>70</v>
      </c>
      <c r="F311" s="49"/>
      <c r="G311" s="21"/>
      <c r="H311" s="47"/>
      <c r="I311" s="47"/>
      <c r="J311" s="49">
        <f>SUM(R308:R310)</f>
        <v>575.39</v>
      </c>
      <c r="K311" s="49"/>
    </row>
    <row r="312" spans="1:22" ht="14.25" x14ac:dyDescent="0.2">
      <c r="A312" s="19"/>
      <c r="B312" s="19"/>
      <c r="C312" s="19" t="s">
        <v>701</v>
      </c>
      <c r="D312" s="20" t="s">
        <v>700</v>
      </c>
      <c r="E312" s="47">
        <f>Source!AU178</f>
        <v>10</v>
      </c>
      <c r="F312" s="49"/>
      <c r="G312" s="21"/>
      <c r="H312" s="47"/>
      <c r="I312" s="47"/>
      <c r="J312" s="49">
        <f>SUM(T308:T311)</f>
        <v>82.2</v>
      </c>
      <c r="K312" s="49"/>
    </row>
    <row r="313" spans="1:22" ht="14.25" x14ac:dyDescent="0.2">
      <c r="A313" s="19"/>
      <c r="B313" s="19"/>
      <c r="C313" s="19" t="s">
        <v>702</v>
      </c>
      <c r="D313" s="20" t="s">
        <v>703</v>
      </c>
      <c r="E313" s="47">
        <f>Source!AQ178</f>
        <v>7.11</v>
      </c>
      <c r="F313" s="49"/>
      <c r="G313" s="21" t="str">
        <f>Source!DI178</f>
        <v/>
      </c>
      <c r="H313" s="47">
        <f>Source!AV178</f>
        <v>1</v>
      </c>
      <c r="I313" s="47"/>
      <c r="J313" s="49"/>
      <c r="K313" s="49">
        <f>Source!U178</f>
        <v>2.523339</v>
      </c>
    </row>
    <row r="314" spans="1:22" ht="15" x14ac:dyDescent="0.25">
      <c r="A314" s="53"/>
      <c r="B314" s="53"/>
      <c r="C314" s="53"/>
      <c r="D314" s="53"/>
      <c r="E314" s="53"/>
      <c r="F314" s="53"/>
      <c r="G314" s="53"/>
      <c r="H314" s="53"/>
      <c r="I314" s="69">
        <f>J309+J311+J312+SUM(J310:J310)</f>
        <v>5103.75</v>
      </c>
      <c r="J314" s="69"/>
      <c r="K314" s="51">
        <f>IF(Source!I178&lt;&gt;0, ROUND(I314/Source!I178, 2), 0)</f>
        <v>14380.81</v>
      </c>
      <c r="P314" s="54">
        <f>I314</f>
        <v>5103.75</v>
      </c>
    </row>
    <row r="315" spans="1:22" ht="42.75" x14ac:dyDescent="0.2">
      <c r="A315" s="19">
        <v>44</v>
      </c>
      <c r="B315" s="19" t="str">
        <f>Source!F180</f>
        <v>1.21-3102-8-2/1</v>
      </c>
      <c r="C315" s="19" t="str">
        <f>Source!G180</f>
        <v>Замена электроустановочных изделий, открытая проводка, выключатель, розетка (без стоимости материалов)</v>
      </c>
      <c r="D315" s="20" t="str">
        <f>Source!H180</f>
        <v>100 шт.</v>
      </c>
      <c r="E315" s="47">
        <f>Source!I180</f>
        <v>0.02</v>
      </c>
      <c r="F315" s="49"/>
      <c r="G315" s="21"/>
      <c r="H315" s="47"/>
      <c r="I315" s="47"/>
      <c r="J315" s="49"/>
      <c r="K315" s="49"/>
      <c r="Q315" s="46">
        <f>ROUND((Source!BZ180/100)*ROUND((Source!AF180*Source!AV180)*Source!I180, 2), 2)</f>
        <v>103.23</v>
      </c>
      <c r="R315" s="46">
        <f>Source!X180</f>
        <v>103.23</v>
      </c>
      <c r="S315" s="46">
        <f>ROUND((Source!CA180/100)*ROUND((Source!AF180*Source!AV180)*Source!I180, 2), 2)</f>
        <v>14.75</v>
      </c>
      <c r="T315" s="46">
        <f>Source!Y180</f>
        <v>14.75</v>
      </c>
      <c r="U315" s="46">
        <f>ROUND((175/100)*ROUND((Source!AE180*Source!AV180)*Source!I180, 2), 2)</f>
        <v>0</v>
      </c>
      <c r="V315" s="46">
        <f>ROUND((108/100)*ROUND(Source!CS180*Source!I180, 2), 2)</f>
        <v>0</v>
      </c>
    </row>
    <row r="316" spans="1:22" ht="14.25" x14ac:dyDescent="0.2">
      <c r="A316" s="19"/>
      <c r="B316" s="19"/>
      <c r="C316" s="19" t="s">
        <v>697</v>
      </c>
      <c r="D316" s="20"/>
      <c r="E316" s="47"/>
      <c r="F316" s="49">
        <f>Source!AO180</f>
        <v>7373.44</v>
      </c>
      <c r="G316" s="21" t="str">
        <f>Source!DG180</f>
        <v/>
      </c>
      <c r="H316" s="47">
        <f>Source!AV180</f>
        <v>1</v>
      </c>
      <c r="I316" s="47">
        <f>IF(Source!BA180&lt;&gt; 0, Source!BA180, 1)</f>
        <v>1</v>
      </c>
      <c r="J316" s="49">
        <f>Source!S180</f>
        <v>147.47</v>
      </c>
      <c r="K316" s="49"/>
    </row>
    <row r="317" spans="1:22" ht="57" x14ac:dyDescent="0.2">
      <c r="A317" s="19">
        <v>45</v>
      </c>
      <c r="B317" s="19" t="str">
        <f>Source!F181</f>
        <v>21.21-5-24</v>
      </c>
      <c r="C317" s="19" t="str">
        <f>Source!G181</f>
        <v>Выключатели, серия "Прима", напряжение 250 В, сила тока 6 А, тип: А16-051, одноклавишный, открытой установки</v>
      </c>
      <c r="D317" s="20" t="str">
        <f>Source!H181</f>
        <v>шт.</v>
      </c>
      <c r="E317" s="47">
        <f>Source!I181</f>
        <v>1</v>
      </c>
      <c r="F317" s="49">
        <f>Source!AK181</f>
        <v>39.99</v>
      </c>
      <c r="G317" s="24" t="s">
        <v>3</v>
      </c>
      <c r="H317" s="47">
        <f>Source!AW181</f>
        <v>1</v>
      </c>
      <c r="I317" s="47">
        <f>IF(Source!BC181&lt;&gt; 0, Source!BC181, 1)</f>
        <v>1</v>
      </c>
      <c r="J317" s="49">
        <f>Source!O181</f>
        <v>39.99</v>
      </c>
      <c r="K317" s="49"/>
      <c r="Q317" s="46">
        <f>ROUND((Source!BZ181/100)*ROUND((Source!AF181*Source!AV181)*Source!I181, 2), 2)</f>
        <v>0</v>
      </c>
      <c r="R317" s="46">
        <f>Source!X181</f>
        <v>0</v>
      </c>
      <c r="S317" s="46">
        <f>ROUND((Source!CA181/100)*ROUND((Source!AF181*Source!AV181)*Source!I181, 2), 2)</f>
        <v>0</v>
      </c>
      <c r="T317" s="46">
        <f>Source!Y181</f>
        <v>0</v>
      </c>
      <c r="U317" s="46">
        <f>ROUND((175/100)*ROUND((Source!AE181*Source!AV181)*Source!I181, 2), 2)</f>
        <v>0</v>
      </c>
      <c r="V317" s="46">
        <f>ROUND((108/100)*ROUND(Source!CS181*Source!I181, 2), 2)</f>
        <v>0</v>
      </c>
    </row>
    <row r="318" spans="1:22" ht="57" x14ac:dyDescent="0.2">
      <c r="A318" s="19">
        <v>46</v>
      </c>
      <c r="B318" s="19" t="str">
        <f>Source!F182</f>
        <v>21.21-5-25</v>
      </c>
      <c r="C318" s="19" t="str">
        <f>Source!G182</f>
        <v>Выключатели серии "Прима", напряжение 250 В, сила тока 6 А, открытой установки двухклавишные, тип А56-029</v>
      </c>
      <c r="D318" s="20" t="str">
        <f>Source!H182</f>
        <v>шт.</v>
      </c>
      <c r="E318" s="47">
        <f>Source!I182</f>
        <v>1</v>
      </c>
      <c r="F318" s="49">
        <f>Source!AK182</f>
        <v>102.63</v>
      </c>
      <c r="G318" s="24" t="s">
        <v>3</v>
      </c>
      <c r="H318" s="47">
        <f>Source!AW182</f>
        <v>1</v>
      </c>
      <c r="I318" s="47">
        <f>IF(Source!BC182&lt;&gt; 0, Source!BC182, 1)</f>
        <v>1</v>
      </c>
      <c r="J318" s="49">
        <f>Source!O182</f>
        <v>102.63</v>
      </c>
      <c r="K318" s="49"/>
      <c r="Q318" s="46">
        <f>ROUND((Source!BZ182/100)*ROUND((Source!AF182*Source!AV182)*Source!I182, 2), 2)</f>
        <v>0</v>
      </c>
      <c r="R318" s="46">
        <f>Source!X182</f>
        <v>0</v>
      </c>
      <c r="S318" s="46">
        <f>ROUND((Source!CA182/100)*ROUND((Source!AF182*Source!AV182)*Source!I182, 2), 2)</f>
        <v>0</v>
      </c>
      <c r="T318" s="46">
        <f>Source!Y182</f>
        <v>0</v>
      </c>
      <c r="U318" s="46">
        <f>ROUND((175/100)*ROUND((Source!AE182*Source!AV182)*Source!I182, 2), 2)</f>
        <v>0</v>
      </c>
      <c r="V318" s="46">
        <f>ROUND((108/100)*ROUND(Source!CS182*Source!I182, 2), 2)</f>
        <v>0</v>
      </c>
    </row>
    <row r="319" spans="1:22" ht="14.25" x14ac:dyDescent="0.2">
      <c r="A319" s="19"/>
      <c r="B319" s="19"/>
      <c r="C319" s="19" t="s">
        <v>699</v>
      </c>
      <c r="D319" s="20" t="s">
        <v>700</v>
      </c>
      <c r="E319" s="47">
        <f>Source!AT180</f>
        <v>70</v>
      </c>
      <c r="F319" s="49"/>
      <c r="G319" s="21"/>
      <c r="H319" s="47"/>
      <c r="I319" s="47"/>
      <c r="J319" s="49">
        <f>SUM(R315:R318)</f>
        <v>103.23</v>
      </c>
      <c r="K319" s="49"/>
    </row>
    <row r="320" spans="1:22" ht="14.25" x14ac:dyDescent="0.2">
      <c r="A320" s="19"/>
      <c r="B320" s="19"/>
      <c r="C320" s="19" t="s">
        <v>701</v>
      </c>
      <c r="D320" s="20" t="s">
        <v>700</v>
      </c>
      <c r="E320" s="47">
        <f>Source!AU180</f>
        <v>10</v>
      </c>
      <c r="F320" s="49"/>
      <c r="G320" s="21"/>
      <c r="H320" s="47"/>
      <c r="I320" s="47"/>
      <c r="J320" s="49">
        <f>SUM(T315:T319)</f>
        <v>14.75</v>
      </c>
      <c r="K320" s="49"/>
    </row>
    <row r="321" spans="1:22" ht="14.25" x14ac:dyDescent="0.2">
      <c r="A321" s="19"/>
      <c r="B321" s="19"/>
      <c r="C321" s="19" t="s">
        <v>702</v>
      </c>
      <c r="D321" s="20" t="s">
        <v>703</v>
      </c>
      <c r="E321" s="47">
        <f>Source!AQ180</f>
        <v>29.74</v>
      </c>
      <c r="F321" s="49"/>
      <c r="G321" s="21" t="str">
        <f>Source!DI180</f>
        <v/>
      </c>
      <c r="H321" s="47">
        <f>Source!AV180</f>
        <v>1</v>
      </c>
      <c r="I321" s="47"/>
      <c r="J321" s="49"/>
      <c r="K321" s="49">
        <f>Source!U180</f>
        <v>0.5948</v>
      </c>
    </row>
    <row r="322" spans="1:22" ht="15" x14ac:dyDescent="0.25">
      <c r="A322" s="53"/>
      <c r="B322" s="53"/>
      <c r="C322" s="53"/>
      <c r="D322" s="53"/>
      <c r="E322" s="53"/>
      <c r="F322" s="53"/>
      <c r="G322" s="53"/>
      <c r="H322" s="53"/>
      <c r="I322" s="69">
        <f>J316+J319+J320+SUM(J317:J318)</f>
        <v>408.07</v>
      </c>
      <c r="J322" s="69"/>
      <c r="K322" s="51">
        <f>IF(Source!I180&lt;&gt;0, ROUND(I322/Source!I180, 2), 0)</f>
        <v>20403.5</v>
      </c>
      <c r="P322" s="54">
        <f>I322</f>
        <v>408.07</v>
      </c>
    </row>
    <row r="323" spans="1:22" ht="71.25" x14ac:dyDescent="0.2">
      <c r="A323" s="19">
        <v>47</v>
      </c>
      <c r="B323" s="19" t="str">
        <f>Source!F183</f>
        <v>1.20-3103-4-3/1</v>
      </c>
      <c r="C323" s="19" t="str">
        <f>Source!G183</f>
        <v>Установка светильников с люминесцентными лампами, отдельно устанавливаемых на штырях с количеством ламп в светильнике до 4 (без стоимости материалов)</v>
      </c>
      <c r="D323" s="20" t="str">
        <f>Source!H183</f>
        <v>100 шт.</v>
      </c>
      <c r="E323" s="47">
        <f>Source!I183</f>
        <v>0.64</v>
      </c>
      <c r="F323" s="49"/>
      <c r="G323" s="21"/>
      <c r="H323" s="47"/>
      <c r="I323" s="47"/>
      <c r="J323" s="49"/>
      <c r="K323" s="49"/>
      <c r="Q323" s="46">
        <f>ROUND((Source!BZ183/100)*ROUND((Source!AF183*Source!AV183)*Source!I183, 2), 2)</f>
        <v>30618.27</v>
      </c>
      <c r="R323" s="46">
        <f>Source!X183</f>
        <v>30618.27</v>
      </c>
      <c r="S323" s="46">
        <f>ROUND((Source!CA183/100)*ROUND((Source!AF183*Source!AV183)*Source!I183, 2), 2)</f>
        <v>4374.04</v>
      </c>
      <c r="T323" s="46">
        <f>Source!Y183</f>
        <v>4374.04</v>
      </c>
      <c r="U323" s="46">
        <f>ROUND((175/100)*ROUND((Source!AE183*Source!AV183)*Source!I183, 2), 2)</f>
        <v>0</v>
      </c>
      <c r="V323" s="46">
        <f>ROUND((108/100)*ROUND(Source!CS183*Source!I183, 2), 2)</f>
        <v>0</v>
      </c>
    </row>
    <row r="324" spans="1:22" ht="14.25" x14ac:dyDescent="0.2">
      <c r="A324" s="19"/>
      <c r="B324" s="19"/>
      <c r="C324" s="19" t="s">
        <v>697</v>
      </c>
      <c r="D324" s="20"/>
      <c r="E324" s="47"/>
      <c r="F324" s="49">
        <f>Source!AO183</f>
        <v>68344.34</v>
      </c>
      <c r="G324" s="21" t="str">
        <f>Source!DG183</f>
        <v/>
      </c>
      <c r="H324" s="47">
        <f>Source!AV183</f>
        <v>1</v>
      </c>
      <c r="I324" s="47">
        <f>IF(Source!BA183&lt;&gt; 0, Source!BA183, 1)</f>
        <v>1</v>
      </c>
      <c r="J324" s="49">
        <f>Source!S183</f>
        <v>43740.38</v>
      </c>
      <c r="K324" s="49"/>
    </row>
    <row r="325" spans="1:22" ht="42.75" x14ac:dyDescent="0.2">
      <c r="A325" s="19">
        <v>48</v>
      </c>
      <c r="B325" s="19" t="str">
        <f>Source!F184</f>
        <v>Цена поставщика</v>
      </c>
      <c r="C325" s="19" t="str">
        <f>Source!G184</f>
        <v>Светильник светодиодный Geniled ЛПО 1200х180х40мм 40Вт 4000К Опал или эквивалент</v>
      </c>
      <c r="D325" s="20" t="str">
        <f>Source!H184</f>
        <v>шт.</v>
      </c>
      <c r="E325" s="47">
        <f>Source!I184</f>
        <v>56</v>
      </c>
      <c r="F325" s="49">
        <f>Source!AK184</f>
        <v>3323.5</v>
      </c>
      <c r="G325" s="24" t="s">
        <v>3</v>
      </c>
      <c r="H325" s="47">
        <f>Source!AW184</f>
        <v>1</v>
      </c>
      <c r="I325" s="47">
        <f>IF(Source!BC184&lt;&gt; 0, Source!BC184, 1)</f>
        <v>1</v>
      </c>
      <c r="J325" s="49">
        <f>Source!O184</f>
        <v>186116</v>
      </c>
      <c r="K325" s="49"/>
      <c r="Q325" s="46">
        <f>ROUND((Source!BZ184/100)*ROUND((Source!AF184*Source!AV184)*Source!I184, 2), 2)</f>
        <v>0</v>
      </c>
      <c r="R325" s="46">
        <f>Source!X184</f>
        <v>0</v>
      </c>
      <c r="S325" s="46">
        <f>ROUND((Source!CA184/100)*ROUND((Source!AF184*Source!AV184)*Source!I184, 2), 2)</f>
        <v>0</v>
      </c>
      <c r="T325" s="46">
        <f>Source!Y184</f>
        <v>0</v>
      </c>
      <c r="U325" s="46">
        <f>ROUND((175/100)*ROUND((Source!AE184*Source!AV184)*Source!I184, 2), 2)</f>
        <v>0</v>
      </c>
      <c r="V325" s="46">
        <f>ROUND((108/100)*ROUND(Source!CS184*Source!I184, 2), 2)</f>
        <v>0</v>
      </c>
    </row>
    <row r="326" spans="1:22" ht="42.75" x14ac:dyDescent="0.2">
      <c r="A326" s="19">
        <v>49</v>
      </c>
      <c r="B326" s="19" t="str">
        <f>Source!F185</f>
        <v>Цена поставщика</v>
      </c>
      <c r="C326" s="19" t="str">
        <f>Source!G185</f>
        <v>Светильник светодиодный Geniled ЛПО 1200х180х40мм 40Вт 4000К Опал БАП или эквивалент</v>
      </c>
      <c r="D326" s="20" t="str">
        <f>Source!H185</f>
        <v>шт.</v>
      </c>
      <c r="E326" s="47">
        <f>Source!I185</f>
        <v>8</v>
      </c>
      <c r="F326" s="49">
        <f>Source!AK185</f>
        <v>5321</v>
      </c>
      <c r="G326" s="24" t="s">
        <v>3</v>
      </c>
      <c r="H326" s="47">
        <f>Source!AW185</f>
        <v>1</v>
      </c>
      <c r="I326" s="47">
        <f>IF(Source!BC185&lt;&gt; 0, Source!BC185, 1)</f>
        <v>1</v>
      </c>
      <c r="J326" s="49">
        <f>Source!O185</f>
        <v>42568</v>
      </c>
      <c r="K326" s="49"/>
      <c r="Q326" s="46">
        <f>ROUND((Source!BZ185/100)*ROUND((Source!AF185*Source!AV185)*Source!I185, 2), 2)</f>
        <v>0</v>
      </c>
      <c r="R326" s="46">
        <f>Source!X185</f>
        <v>0</v>
      </c>
      <c r="S326" s="46">
        <f>ROUND((Source!CA185/100)*ROUND((Source!AF185*Source!AV185)*Source!I185, 2), 2)</f>
        <v>0</v>
      </c>
      <c r="T326" s="46">
        <f>Source!Y185</f>
        <v>0</v>
      </c>
      <c r="U326" s="46">
        <f>ROUND((175/100)*ROUND((Source!AE185*Source!AV185)*Source!I185, 2), 2)</f>
        <v>0</v>
      </c>
      <c r="V326" s="46">
        <f>ROUND((108/100)*ROUND(Source!CS185*Source!I185, 2), 2)</f>
        <v>0</v>
      </c>
    </row>
    <row r="327" spans="1:22" ht="14.25" x14ac:dyDescent="0.2">
      <c r="A327" s="19"/>
      <c r="B327" s="19"/>
      <c r="C327" s="19" t="s">
        <v>699</v>
      </c>
      <c r="D327" s="20" t="s">
        <v>700</v>
      </c>
      <c r="E327" s="47">
        <f>Source!AT183</f>
        <v>70</v>
      </c>
      <c r="F327" s="49"/>
      <c r="G327" s="21"/>
      <c r="H327" s="47"/>
      <c r="I327" s="47"/>
      <c r="J327" s="49">
        <f>SUM(R323:R326)</f>
        <v>30618.27</v>
      </c>
      <c r="K327" s="49"/>
    </row>
    <row r="328" spans="1:22" ht="14.25" x14ac:dyDescent="0.2">
      <c r="A328" s="19"/>
      <c r="B328" s="19"/>
      <c r="C328" s="19" t="s">
        <v>701</v>
      </c>
      <c r="D328" s="20" t="s">
        <v>700</v>
      </c>
      <c r="E328" s="47">
        <f>Source!AU183</f>
        <v>10</v>
      </c>
      <c r="F328" s="49"/>
      <c r="G328" s="21"/>
      <c r="H328" s="47"/>
      <c r="I328" s="47"/>
      <c r="J328" s="49">
        <f>SUM(T323:T327)</f>
        <v>4374.04</v>
      </c>
      <c r="K328" s="49"/>
    </row>
    <row r="329" spans="1:22" ht="14.25" x14ac:dyDescent="0.2">
      <c r="A329" s="19"/>
      <c r="B329" s="19"/>
      <c r="C329" s="19" t="s">
        <v>702</v>
      </c>
      <c r="D329" s="20" t="s">
        <v>703</v>
      </c>
      <c r="E329" s="47">
        <f>Source!AQ183</f>
        <v>196.42</v>
      </c>
      <c r="F329" s="49"/>
      <c r="G329" s="21" t="str">
        <f>Source!DI183</f>
        <v/>
      </c>
      <c r="H329" s="47">
        <f>Source!AV183</f>
        <v>1</v>
      </c>
      <c r="I329" s="47"/>
      <c r="J329" s="49"/>
      <c r="K329" s="49">
        <f>Source!U183</f>
        <v>125.7088</v>
      </c>
    </row>
    <row r="330" spans="1:22" ht="15" x14ac:dyDescent="0.25">
      <c r="A330" s="53"/>
      <c r="B330" s="53"/>
      <c r="C330" s="53"/>
      <c r="D330" s="53"/>
      <c r="E330" s="53"/>
      <c r="F330" s="53"/>
      <c r="G330" s="53"/>
      <c r="H330" s="53"/>
      <c r="I330" s="69">
        <f>J324+J327+J328+SUM(J325:J326)</f>
        <v>307416.69</v>
      </c>
      <c r="J330" s="69"/>
      <c r="K330" s="51">
        <f>IF(Source!I183&lt;&gt;0, ROUND(I330/Source!I183, 2), 0)</f>
        <v>480338.58</v>
      </c>
      <c r="P330" s="54">
        <f>I330</f>
        <v>307416.69</v>
      </c>
    </row>
    <row r="332" spans="1:22" ht="15" x14ac:dyDescent="0.25">
      <c r="A332" s="73" t="str">
        <f>CONCATENATE("Итого по подразделу: ",IF(Source!G187&lt;&gt;"Новый подраздел", Source!G187, ""))</f>
        <v>Итого по подразделу: 1.4 Электромонтажные работы</v>
      </c>
      <c r="B332" s="73"/>
      <c r="C332" s="73"/>
      <c r="D332" s="73"/>
      <c r="E332" s="73"/>
      <c r="F332" s="73"/>
      <c r="G332" s="73"/>
      <c r="H332" s="73"/>
      <c r="I332" s="71">
        <f>SUM(P275:P331)</f>
        <v>332849.59000000003</v>
      </c>
      <c r="J332" s="72"/>
      <c r="K332" s="26"/>
    </row>
    <row r="335" spans="1:22" ht="15" x14ac:dyDescent="0.25">
      <c r="A335" s="73" t="str">
        <f>CONCATENATE("Итого по разделу: ",IF(Source!G217&lt;&gt;"Новый раздел", Source!G217, ""))</f>
        <v>Итого по разделу: 1. Спортзал №1</v>
      </c>
      <c r="B335" s="73"/>
      <c r="C335" s="73"/>
      <c r="D335" s="73"/>
      <c r="E335" s="73"/>
      <c r="F335" s="73"/>
      <c r="G335" s="73"/>
      <c r="H335" s="73"/>
      <c r="I335" s="71">
        <f>SUM(P34:P334)</f>
        <v>1728173.5499999996</v>
      </c>
      <c r="J335" s="72"/>
      <c r="K335" s="26"/>
    </row>
    <row r="338" spans="1:22" ht="16.5" x14ac:dyDescent="0.25">
      <c r="A338" s="70" t="str">
        <f>CONCATENATE("Раздел: ",IF(Source!G247&lt;&gt;"Новый раздел", Source!G247, ""))</f>
        <v>Раздел: 2. Тренерская</v>
      </c>
      <c r="B338" s="70"/>
      <c r="C338" s="70"/>
      <c r="D338" s="70"/>
      <c r="E338" s="70"/>
      <c r="F338" s="70"/>
      <c r="G338" s="70"/>
      <c r="H338" s="70"/>
      <c r="I338" s="70"/>
      <c r="J338" s="70"/>
      <c r="K338" s="70"/>
    </row>
    <row r="340" spans="1:22" ht="16.5" x14ac:dyDescent="0.25">
      <c r="A340" s="70" t="str">
        <f>CONCATENATE("Подраздел: ",IF(Source!G251&lt;&gt;"Новый подраздел", Source!G251, ""))</f>
        <v>Подраздел: 2.1 Тренерская</v>
      </c>
      <c r="B340" s="70"/>
      <c r="C340" s="70"/>
      <c r="D340" s="70"/>
      <c r="E340" s="70"/>
      <c r="F340" s="70"/>
      <c r="G340" s="70"/>
      <c r="H340" s="70"/>
      <c r="I340" s="70"/>
      <c r="J340" s="70"/>
      <c r="K340" s="70"/>
    </row>
    <row r="341" spans="1:22" ht="42.75" x14ac:dyDescent="0.2">
      <c r="A341" s="19">
        <v>50</v>
      </c>
      <c r="B341" s="19" t="str">
        <f>Source!F255</f>
        <v>1.10-3404-4-2/1</v>
      </c>
      <c r="C341" s="19" t="str">
        <f>Source!G255</f>
        <v>Разборка плинтусов поливинилхлоридных с креплением шурупами</v>
      </c>
      <c r="D341" s="20" t="str">
        <f>Source!H255</f>
        <v>100 м</v>
      </c>
      <c r="E341" s="47">
        <f>Source!I255</f>
        <v>0.26100000000000001</v>
      </c>
      <c r="F341" s="49"/>
      <c r="G341" s="21"/>
      <c r="H341" s="47"/>
      <c r="I341" s="47"/>
      <c r="J341" s="49"/>
      <c r="K341" s="49"/>
      <c r="Q341" s="46">
        <f>ROUND((Source!BZ255/100)*ROUND((Source!AF255*Source!AV255)*Source!I255, 2), 2)</f>
        <v>127.81</v>
      </c>
      <c r="R341" s="46">
        <f>Source!X255</f>
        <v>127.81</v>
      </c>
      <c r="S341" s="46">
        <f>ROUND((Source!CA255/100)*ROUND((Source!AF255*Source!AV255)*Source!I255, 2), 2)</f>
        <v>18.260000000000002</v>
      </c>
      <c r="T341" s="46">
        <f>Source!Y255</f>
        <v>18.260000000000002</v>
      </c>
      <c r="U341" s="46">
        <f>ROUND((175/100)*ROUND((Source!AE255*Source!AV255)*Source!I255, 2), 2)</f>
        <v>0</v>
      </c>
      <c r="V341" s="46">
        <f>ROUND((108/100)*ROUND(Source!CS255*Source!I255, 2), 2)</f>
        <v>0</v>
      </c>
    </row>
    <row r="342" spans="1:22" ht="14.25" x14ac:dyDescent="0.2">
      <c r="A342" s="19"/>
      <c r="B342" s="19"/>
      <c r="C342" s="19" t="s">
        <v>697</v>
      </c>
      <c r="D342" s="20"/>
      <c r="E342" s="47"/>
      <c r="F342" s="49">
        <f>Source!AO255</f>
        <v>699.53</v>
      </c>
      <c r="G342" s="21" t="str">
        <f>Source!DG255</f>
        <v/>
      </c>
      <c r="H342" s="47">
        <f>Source!AV255</f>
        <v>1</v>
      </c>
      <c r="I342" s="47">
        <f>IF(Source!BA255&lt;&gt; 0, Source!BA255, 1)</f>
        <v>1</v>
      </c>
      <c r="J342" s="49">
        <f>Source!S255</f>
        <v>182.58</v>
      </c>
      <c r="K342" s="49"/>
    </row>
    <row r="343" spans="1:22" ht="14.25" x14ac:dyDescent="0.2">
      <c r="A343" s="19"/>
      <c r="B343" s="19"/>
      <c r="C343" s="19" t="s">
        <v>698</v>
      </c>
      <c r="D343" s="20"/>
      <c r="E343" s="47"/>
      <c r="F343" s="49">
        <f>Source!AM255</f>
        <v>1.79</v>
      </c>
      <c r="G343" s="21" t="str">
        <f>Source!DE255</f>
        <v/>
      </c>
      <c r="H343" s="47">
        <f>Source!AV255</f>
        <v>1</v>
      </c>
      <c r="I343" s="47">
        <f>IF(Source!BB255&lt;&gt; 0, Source!BB255, 1)</f>
        <v>1</v>
      </c>
      <c r="J343" s="49">
        <f>Source!Q255</f>
        <v>0.47</v>
      </c>
      <c r="K343" s="49"/>
    </row>
    <row r="344" spans="1:22" ht="14.25" x14ac:dyDescent="0.2">
      <c r="A344" s="19"/>
      <c r="B344" s="19"/>
      <c r="C344" s="19" t="s">
        <v>699</v>
      </c>
      <c r="D344" s="20" t="s">
        <v>700</v>
      </c>
      <c r="E344" s="47">
        <f>Source!AT255</f>
        <v>70</v>
      </c>
      <c r="F344" s="49"/>
      <c r="G344" s="21"/>
      <c r="H344" s="47"/>
      <c r="I344" s="47"/>
      <c r="J344" s="49">
        <f>SUM(R341:R343)</f>
        <v>127.81</v>
      </c>
      <c r="K344" s="49"/>
    </row>
    <row r="345" spans="1:22" ht="14.25" x14ac:dyDescent="0.2">
      <c r="A345" s="19"/>
      <c r="B345" s="19"/>
      <c r="C345" s="19" t="s">
        <v>701</v>
      </c>
      <c r="D345" s="20" t="s">
        <v>700</v>
      </c>
      <c r="E345" s="47">
        <f>Source!AU255</f>
        <v>10</v>
      </c>
      <c r="F345" s="49"/>
      <c r="G345" s="21"/>
      <c r="H345" s="47"/>
      <c r="I345" s="47"/>
      <c r="J345" s="49">
        <f>SUM(T341:T344)</f>
        <v>18.260000000000002</v>
      </c>
      <c r="K345" s="49"/>
    </row>
    <row r="346" spans="1:22" ht="14.25" x14ac:dyDescent="0.2">
      <c r="A346" s="19"/>
      <c r="B346" s="19"/>
      <c r="C346" s="19" t="s">
        <v>702</v>
      </c>
      <c r="D346" s="20" t="s">
        <v>703</v>
      </c>
      <c r="E346" s="47">
        <f>Source!AQ255</f>
        <v>2.78</v>
      </c>
      <c r="F346" s="49"/>
      <c r="G346" s="21" t="str">
        <f>Source!DI255</f>
        <v/>
      </c>
      <c r="H346" s="47">
        <f>Source!AV255</f>
        <v>1</v>
      </c>
      <c r="I346" s="47"/>
      <c r="J346" s="49"/>
      <c r="K346" s="49">
        <f>Source!U255</f>
        <v>0.72558</v>
      </c>
    </row>
    <row r="347" spans="1:22" ht="15" x14ac:dyDescent="0.25">
      <c r="A347" s="53"/>
      <c r="B347" s="53"/>
      <c r="C347" s="53"/>
      <c r="D347" s="53"/>
      <c r="E347" s="53"/>
      <c r="F347" s="53"/>
      <c r="G347" s="53"/>
      <c r="H347" s="53"/>
      <c r="I347" s="69">
        <f>J342+J343+J344+J345</f>
        <v>329.12</v>
      </c>
      <c r="J347" s="69"/>
      <c r="K347" s="51">
        <f>IF(Source!I255&lt;&gt;0, ROUND(I347/Source!I255, 2), 0)</f>
        <v>1261</v>
      </c>
      <c r="P347" s="54">
        <f>I347</f>
        <v>329.12</v>
      </c>
    </row>
    <row r="348" spans="1:22" ht="28.5" x14ac:dyDescent="0.2">
      <c r="A348" s="19">
        <v>51</v>
      </c>
      <c r="B348" s="19" t="str">
        <f>Source!F256</f>
        <v>1.13-3204-1-1/1</v>
      </c>
      <c r="C348" s="19" t="str">
        <f>Source!G256</f>
        <v>Расчистка поверхностей от старых покрасок (шпателем, щетками и т.д.)</v>
      </c>
      <c r="D348" s="20" t="str">
        <f>Source!H256</f>
        <v>м2</v>
      </c>
      <c r="E348" s="47">
        <f>Source!I256</f>
        <v>16.5</v>
      </c>
      <c r="F348" s="49"/>
      <c r="G348" s="21"/>
      <c r="H348" s="47"/>
      <c r="I348" s="47"/>
      <c r="J348" s="49"/>
      <c r="K348" s="49"/>
      <c r="Q348" s="46">
        <f>ROUND((Source!BZ256/100)*ROUND((Source!AF256*Source!AV256)*Source!I256, 2), 2)</f>
        <v>1718.18</v>
      </c>
      <c r="R348" s="46">
        <f>Source!X256</f>
        <v>1718.18</v>
      </c>
      <c r="S348" s="46">
        <f>ROUND((Source!CA256/100)*ROUND((Source!AF256*Source!AV256)*Source!I256, 2), 2)</f>
        <v>245.45</v>
      </c>
      <c r="T348" s="46">
        <f>Source!Y256</f>
        <v>245.45</v>
      </c>
      <c r="U348" s="46">
        <f>ROUND((175/100)*ROUND((Source!AE256*Source!AV256)*Source!I256, 2), 2)</f>
        <v>0</v>
      </c>
      <c r="V348" s="46">
        <f>ROUND((108/100)*ROUND(Source!CS256*Source!I256, 2), 2)</f>
        <v>0</v>
      </c>
    </row>
    <row r="349" spans="1:22" ht="14.25" x14ac:dyDescent="0.2">
      <c r="A349" s="19"/>
      <c r="B349" s="19"/>
      <c r="C349" s="19" t="s">
        <v>697</v>
      </c>
      <c r="D349" s="20"/>
      <c r="E349" s="47"/>
      <c r="F349" s="49">
        <f>Source!AO256</f>
        <v>148.76</v>
      </c>
      <c r="G349" s="21" t="str">
        <f>Source!DG256</f>
        <v/>
      </c>
      <c r="H349" s="47">
        <f>Source!AV256</f>
        <v>1</v>
      </c>
      <c r="I349" s="47">
        <f>IF(Source!BA256&lt;&gt; 0, Source!BA256, 1)</f>
        <v>1</v>
      </c>
      <c r="J349" s="49">
        <f>Source!S256</f>
        <v>2454.54</v>
      </c>
      <c r="K349" s="49"/>
    </row>
    <row r="350" spans="1:22" ht="14.25" x14ac:dyDescent="0.2">
      <c r="A350" s="19"/>
      <c r="B350" s="19"/>
      <c r="C350" s="19" t="s">
        <v>699</v>
      </c>
      <c r="D350" s="20" t="s">
        <v>700</v>
      </c>
      <c r="E350" s="47">
        <f>Source!AT256</f>
        <v>70</v>
      </c>
      <c r="F350" s="49"/>
      <c r="G350" s="21"/>
      <c r="H350" s="47"/>
      <c r="I350" s="47"/>
      <c r="J350" s="49">
        <f>SUM(R348:R349)</f>
        <v>1718.18</v>
      </c>
      <c r="K350" s="49"/>
    </row>
    <row r="351" spans="1:22" ht="14.25" x14ac:dyDescent="0.2">
      <c r="A351" s="19"/>
      <c r="B351" s="19"/>
      <c r="C351" s="19" t="s">
        <v>701</v>
      </c>
      <c r="D351" s="20" t="s">
        <v>700</v>
      </c>
      <c r="E351" s="47">
        <f>Source!AU256</f>
        <v>10</v>
      </c>
      <c r="F351" s="49"/>
      <c r="G351" s="21"/>
      <c r="H351" s="47"/>
      <c r="I351" s="47"/>
      <c r="J351" s="49">
        <f>SUM(T348:T350)</f>
        <v>245.45</v>
      </c>
      <c r="K351" s="49"/>
    </row>
    <row r="352" spans="1:22" ht="14.25" x14ac:dyDescent="0.2">
      <c r="A352" s="19"/>
      <c r="B352" s="19"/>
      <c r="C352" s="19" t="s">
        <v>702</v>
      </c>
      <c r="D352" s="20" t="s">
        <v>703</v>
      </c>
      <c r="E352" s="47">
        <f>Source!AQ256</f>
        <v>0.6</v>
      </c>
      <c r="F352" s="49"/>
      <c r="G352" s="21" t="str">
        <f>Source!DI256</f>
        <v/>
      </c>
      <c r="H352" s="47">
        <f>Source!AV256</f>
        <v>1</v>
      </c>
      <c r="I352" s="47"/>
      <c r="J352" s="49"/>
      <c r="K352" s="49">
        <f>Source!U256</f>
        <v>9.9</v>
      </c>
    </row>
    <row r="353" spans="1:22" ht="15" x14ac:dyDescent="0.25">
      <c r="A353" s="53"/>
      <c r="B353" s="53"/>
      <c r="C353" s="53"/>
      <c r="D353" s="53"/>
      <c r="E353" s="53"/>
      <c r="F353" s="53"/>
      <c r="G353" s="53"/>
      <c r="H353" s="53"/>
      <c r="I353" s="69">
        <f>J349+J350+J351</f>
        <v>4418.17</v>
      </c>
      <c r="J353" s="69"/>
      <c r="K353" s="51">
        <f>IF(Source!I256&lt;&gt;0, ROUND(I353/Source!I256, 2), 0)</f>
        <v>267.77</v>
      </c>
      <c r="P353" s="54">
        <f>I353</f>
        <v>4418.17</v>
      </c>
    </row>
    <row r="354" spans="1:22" ht="28.5" x14ac:dyDescent="0.2">
      <c r="A354" s="19">
        <v>52</v>
      </c>
      <c r="B354" s="19" t="str">
        <f>Source!F257</f>
        <v>1.17-3304-1-1/1</v>
      </c>
      <c r="C354" s="19" t="str">
        <f>Source!G257</f>
        <v>Демонтаж радиатора массой до 80 кг</v>
      </c>
      <c r="D354" s="20" t="str">
        <f>Source!H257</f>
        <v>100 шт.</v>
      </c>
      <c r="E354" s="47">
        <f>Source!I257</f>
        <v>0.03</v>
      </c>
      <c r="F354" s="49"/>
      <c r="G354" s="21"/>
      <c r="H354" s="47"/>
      <c r="I354" s="47"/>
      <c r="J354" s="49"/>
      <c r="K354" s="49"/>
      <c r="Q354" s="46">
        <f>ROUND((Source!BZ257/100)*ROUND((Source!AF257*Source!AV257)*Source!I257, 2), 2)</f>
        <v>665.08</v>
      </c>
      <c r="R354" s="46">
        <f>Source!X257</f>
        <v>665.08</v>
      </c>
      <c r="S354" s="46">
        <f>ROUND((Source!CA257/100)*ROUND((Source!AF257*Source!AV257)*Source!I257, 2), 2)</f>
        <v>95.01</v>
      </c>
      <c r="T354" s="46">
        <f>Source!Y257</f>
        <v>95.01</v>
      </c>
      <c r="U354" s="46">
        <f>ROUND((175/100)*ROUND((Source!AE257*Source!AV257)*Source!I257, 2), 2)</f>
        <v>0</v>
      </c>
      <c r="V354" s="46">
        <f>ROUND((108/100)*ROUND(Source!CS257*Source!I257, 2), 2)</f>
        <v>0</v>
      </c>
    </row>
    <row r="355" spans="1:22" ht="14.25" x14ac:dyDescent="0.2">
      <c r="A355" s="19"/>
      <c r="B355" s="19"/>
      <c r="C355" s="19" t="s">
        <v>697</v>
      </c>
      <c r="D355" s="20"/>
      <c r="E355" s="47"/>
      <c r="F355" s="49">
        <f>Source!AO257</f>
        <v>31670.55</v>
      </c>
      <c r="G355" s="21" t="str">
        <f>Source!DG257</f>
        <v/>
      </c>
      <c r="H355" s="47">
        <f>Source!AV257</f>
        <v>1</v>
      </c>
      <c r="I355" s="47">
        <f>IF(Source!BA257&lt;&gt; 0, Source!BA257, 1)</f>
        <v>1</v>
      </c>
      <c r="J355" s="49">
        <f>Source!S257</f>
        <v>950.12</v>
      </c>
      <c r="K355" s="49"/>
    </row>
    <row r="356" spans="1:22" ht="28.5" x14ac:dyDescent="0.2">
      <c r="A356" s="19">
        <v>53</v>
      </c>
      <c r="B356" s="19" t="str">
        <f>Source!F258</f>
        <v>9999990001</v>
      </c>
      <c r="C356" s="19" t="str">
        <f>Source!G258</f>
        <v>Масса мусора</v>
      </c>
      <c r="D356" s="20" t="str">
        <f>Source!H258</f>
        <v>т</v>
      </c>
      <c r="E356" s="47">
        <f>Source!I258</f>
        <v>-0.24</v>
      </c>
      <c r="F356" s="49">
        <f>Source!AK258</f>
        <v>0</v>
      </c>
      <c r="G356" s="24" t="s">
        <v>3</v>
      </c>
      <c r="H356" s="47">
        <f>Source!AW258</f>
        <v>1</v>
      </c>
      <c r="I356" s="47">
        <f>IF(Source!BC258&lt;&gt; 0, Source!BC258, 1)</f>
        <v>1</v>
      </c>
      <c r="J356" s="49">
        <f>Source!O258</f>
        <v>0</v>
      </c>
      <c r="K356" s="49"/>
      <c r="Q356" s="46">
        <f>ROUND((Source!BZ258/100)*ROUND((Source!AF258*Source!AV258)*Source!I258, 2), 2)</f>
        <v>0</v>
      </c>
      <c r="R356" s="46">
        <f>Source!X258</f>
        <v>0</v>
      </c>
      <c r="S356" s="46">
        <f>ROUND((Source!CA258/100)*ROUND((Source!AF258*Source!AV258)*Source!I258, 2), 2)</f>
        <v>0</v>
      </c>
      <c r="T356" s="46">
        <f>Source!Y258</f>
        <v>0</v>
      </c>
      <c r="U356" s="46">
        <f>ROUND((175/100)*ROUND((Source!AE258*Source!AV258)*Source!I258, 2), 2)</f>
        <v>0</v>
      </c>
      <c r="V356" s="46">
        <f>ROUND((108/100)*ROUND(Source!CS258*Source!I258, 2), 2)</f>
        <v>0</v>
      </c>
    </row>
    <row r="357" spans="1:22" ht="14.25" x14ac:dyDescent="0.2">
      <c r="A357" s="19"/>
      <c r="B357" s="19"/>
      <c r="C357" s="19" t="s">
        <v>699</v>
      </c>
      <c r="D357" s="20" t="s">
        <v>700</v>
      </c>
      <c r="E357" s="47">
        <f>Source!AT257</f>
        <v>70</v>
      </c>
      <c r="F357" s="49"/>
      <c r="G357" s="21"/>
      <c r="H357" s="47"/>
      <c r="I357" s="47"/>
      <c r="J357" s="49">
        <f>SUM(R354:R356)</f>
        <v>665.08</v>
      </c>
      <c r="K357" s="49"/>
    </row>
    <row r="358" spans="1:22" ht="14.25" x14ac:dyDescent="0.2">
      <c r="A358" s="19"/>
      <c r="B358" s="19"/>
      <c r="C358" s="19" t="s">
        <v>701</v>
      </c>
      <c r="D358" s="20" t="s">
        <v>700</v>
      </c>
      <c r="E358" s="47">
        <f>Source!AU257</f>
        <v>10</v>
      </c>
      <c r="F358" s="49"/>
      <c r="G358" s="21"/>
      <c r="H358" s="47"/>
      <c r="I358" s="47"/>
      <c r="J358" s="49">
        <f>SUM(T354:T357)</f>
        <v>95.01</v>
      </c>
      <c r="K358" s="49"/>
    </row>
    <row r="359" spans="1:22" ht="14.25" x14ac:dyDescent="0.2">
      <c r="A359" s="19"/>
      <c r="B359" s="19"/>
      <c r="C359" s="19" t="s">
        <v>702</v>
      </c>
      <c r="D359" s="20" t="s">
        <v>703</v>
      </c>
      <c r="E359" s="47">
        <f>Source!AQ257</f>
        <v>120.59</v>
      </c>
      <c r="F359" s="49"/>
      <c r="G359" s="21" t="str">
        <f>Source!DI257</f>
        <v/>
      </c>
      <c r="H359" s="47">
        <f>Source!AV257</f>
        <v>1</v>
      </c>
      <c r="I359" s="47"/>
      <c r="J359" s="49"/>
      <c r="K359" s="49">
        <f>Source!U257</f>
        <v>3.6177000000000001</v>
      </c>
    </row>
    <row r="360" spans="1:22" ht="15" x14ac:dyDescent="0.25">
      <c r="A360" s="53"/>
      <c r="B360" s="53"/>
      <c r="C360" s="53"/>
      <c r="D360" s="53"/>
      <c r="E360" s="53"/>
      <c r="F360" s="53"/>
      <c r="G360" s="53"/>
      <c r="H360" s="53"/>
      <c r="I360" s="69">
        <f>J355+J357+J358+SUM(J356:J356)</f>
        <v>1710.21</v>
      </c>
      <c r="J360" s="69"/>
      <c r="K360" s="51">
        <f>IF(Source!I257&lt;&gt;0, ROUND(I360/Source!I257, 2), 0)</f>
        <v>57007</v>
      </c>
      <c r="P360" s="54">
        <f>I360</f>
        <v>1710.21</v>
      </c>
    </row>
    <row r="361" spans="1:22" ht="42.75" x14ac:dyDescent="0.2">
      <c r="A361" s="19">
        <v>54</v>
      </c>
      <c r="B361" s="19" t="str">
        <f>Source!F259</f>
        <v>1.17-3204-1-4/1</v>
      </c>
      <c r="C361" s="19" t="str">
        <f>Source!G259</f>
        <v>Разборка трубопроводов центрального отопления на сварке диаметром труб до 50 мм</v>
      </c>
      <c r="D361" s="20" t="str">
        <f>Source!H259</f>
        <v>100 м</v>
      </c>
      <c r="E361" s="47">
        <f>Source!I259</f>
        <v>5.74E-2</v>
      </c>
      <c r="F361" s="49"/>
      <c r="G361" s="21"/>
      <c r="H361" s="47"/>
      <c r="I361" s="47"/>
      <c r="J361" s="49"/>
      <c r="K361" s="49"/>
      <c r="Q361" s="46">
        <f>ROUND((Source!BZ259/100)*ROUND((Source!AF259*Source!AV259)*Source!I259, 2), 2)</f>
        <v>538.13</v>
      </c>
      <c r="R361" s="46">
        <f>Source!X259</f>
        <v>538.13</v>
      </c>
      <c r="S361" s="46">
        <f>ROUND((Source!CA259/100)*ROUND((Source!AF259*Source!AV259)*Source!I259, 2), 2)</f>
        <v>76.88</v>
      </c>
      <c r="T361" s="46">
        <f>Source!Y259</f>
        <v>76.88</v>
      </c>
      <c r="U361" s="46">
        <f>ROUND((175/100)*ROUND((Source!AE259*Source!AV259)*Source!I259, 2), 2)</f>
        <v>0.09</v>
      </c>
      <c r="V361" s="46">
        <f>ROUND((108/100)*ROUND(Source!CS259*Source!I259, 2), 2)</f>
        <v>0.05</v>
      </c>
    </row>
    <row r="362" spans="1:22" ht="14.25" x14ac:dyDescent="0.2">
      <c r="A362" s="19"/>
      <c r="B362" s="19"/>
      <c r="C362" s="19" t="s">
        <v>697</v>
      </c>
      <c r="D362" s="20"/>
      <c r="E362" s="47"/>
      <c r="F362" s="49">
        <f>Source!AO259</f>
        <v>13392.85</v>
      </c>
      <c r="G362" s="21" t="str">
        <f>Source!DG259</f>
        <v/>
      </c>
      <c r="H362" s="47">
        <f>Source!AV259</f>
        <v>1</v>
      </c>
      <c r="I362" s="47">
        <f>IF(Source!BA259&lt;&gt; 0, Source!BA259, 1)</f>
        <v>1</v>
      </c>
      <c r="J362" s="49">
        <f>Source!S259</f>
        <v>768.75</v>
      </c>
      <c r="K362" s="49"/>
    </row>
    <row r="363" spans="1:22" ht="14.25" x14ac:dyDescent="0.2">
      <c r="A363" s="19"/>
      <c r="B363" s="19"/>
      <c r="C363" s="19" t="s">
        <v>698</v>
      </c>
      <c r="D363" s="20"/>
      <c r="E363" s="47"/>
      <c r="F363" s="49">
        <f>Source!AM259</f>
        <v>29.75</v>
      </c>
      <c r="G363" s="21" t="str">
        <f>Source!DE259</f>
        <v/>
      </c>
      <c r="H363" s="47">
        <f>Source!AV259</f>
        <v>1</v>
      </c>
      <c r="I363" s="47">
        <f>IF(Source!BB259&lt;&gt; 0, Source!BB259, 1)</f>
        <v>1</v>
      </c>
      <c r="J363" s="49">
        <f>Source!Q259</f>
        <v>1.71</v>
      </c>
      <c r="K363" s="49"/>
    </row>
    <row r="364" spans="1:22" ht="14.25" x14ac:dyDescent="0.2">
      <c r="A364" s="19"/>
      <c r="B364" s="19"/>
      <c r="C364" s="19" t="s">
        <v>705</v>
      </c>
      <c r="D364" s="20"/>
      <c r="E364" s="47"/>
      <c r="F364" s="49">
        <f>Source!AN259</f>
        <v>0.85</v>
      </c>
      <c r="G364" s="21" t="str">
        <f>Source!DF259</f>
        <v/>
      </c>
      <c r="H364" s="47">
        <f>Source!AV259</f>
        <v>1</v>
      </c>
      <c r="I364" s="47">
        <f>IF(Source!BS259&lt;&gt; 0, Source!BS259, 1)</f>
        <v>1</v>
      </c>
      <c r="J364" s="25">
        <f>Source!R259</f>
        <v>0.05</v>
      </c>
      <c r="K364" s="49"/>
    </row>
    <row r="365" spans="1:22" ht="14.25" x14ac:dyDescent="0.2">
      <c r="A365" s="19"/>
      <c r="B365" s="19"/>
      <c r="C365" s="19" t="s">
        <v>704</v>
      </c>
      <c r="D365" s="20"/>
      <c r="E365" s="47"/>
      <c r="F365" s="49">
        <f>Source!AL259</f>
        <v>539.47</v>
      </c>
      <c r="G365" s="21" t="str">
        <f>Source!DD259</f>
        <v/>
      </c>
      <c r="H365" s="47">
        <f>Source!AW259</f>
        <v>1</v>
      </c>
      <c r="I365" s="47">
        <f>IF(Source!BC259&lt;&gt; 0, Source!BC259, 1)</f>
        <v>1</v>
      </c>
      <c r="J365" s="49">
        <f>Source!P259</f>
        <v>30.97</v>
      </c>
      <c r="K365" s="49"/>
    </row>
    <row r="366" spans="1:22" ht="28.5" x14ac:dyDescent="0.2">
      <c r="A366" s="19">
        <v>55</v>
      </c>
      <c r="B366" s="19" t="str">
        <f>Source!F260</f>
        <v>9999990001</v>
      </c>
      <c r="C366" s="19" t="str">
        <f>Source!G260</f>
        <v>Масса мусора</v>
      </c>
      <c r="D366" s="20" t="str">
        <f>Source!H260</f>
        <v>т</v>
      </c>
      <c r="E366" s="47">
        <f>Source!I260</f>
        <v>-2.606E-2</v>
      </c>
      <c r="F366" s="49">
        <f>Source!AK260</f>
        <v>0</v>
      </c>
      <c r="G366" s="24" t="s">
        <v>3</v>
      </c>
      <c r="H366" s="47">
        <f>Source!AW260</f>
        <v>1</v>
      </c>
      <c r="I366" s="47">
        <f>IF(Source!BC260&lt;&gt; 0, Source!BC260, 1)</f>
        <v>1</v>
      </c>
      <c r="J366" s="49">
        <f>Source!O260</f>
        <v>0</v>
      </c>
      <c r="K366" s="49"/>
      <c r="Q366" s="46">
        <f>ROUND((Source!BZ260/100)*ROUND((Source!AF260*Source!AV260)*Source!I260, 2), 2)</f>
        <v>0</v>
      </c>
      <c r="R366" s="46">
        <f>Source!X260</f>
        <v>0</v>
      </c>
      <c r="S366" s="46">
        <f>ROUND((Source!CA260/100)*ROUND((Source!AF260*Source!AV260)*Source!I260, 2), 2)</f>
        <v>0</v>
      </c>
      <c r="T366" s="46">
        <f>Source!Y260</f>
        <v>0</v>
      </c>
      <c r="U366" s="46">
        <f>ROUND((175/100)*ROUND((Source!AE260*Source!AV260)*Source!I260, 2), 2)</f>
        <v>0</v>
      </c>
      <c r="V366" s="46">
        <f>ROUND((108/100)*ROUND(Source!CS260*Source!I260, 2), 2)</f>
        <v>0</v>
      </c>
    </row>
    <row r="367" spans="1:22" ht="14.25" x14ac:dyDescent="0.2">
      <c r="A367" s="19"/>
      <c r="B367" s="19"/>
      <c r="C367" s="19" t="s">
        <v>699</v>
      </c>
      <c r="D367" s="20" t="s">
        <v>700</v>
      </c>
      <c r="E367" s="47">
        <f>Source!AT259</f>
        <v>70</v>
      </c>
      <c r="F367" s="49"/>
      <c r="G367" s="21"/>
      <c r="H367" s="47"/>
      <c r="I367" s="47"/>
      <c r="J367" s="49">
        <f>SUM(R361:R366)</f>
        <v>538.13</v>
      </c>
      <c r="K367" s="49"/>
    </row>
    <row r="368" spans="1:22" ht="14.25" x14ac:dyDescent="0.2">
      <c r="A368" s="19"/>
      <c r="B368" s="19"/>
      <c r="C368" s="19" t="s">
        <v>701</v>
      </c>
      <c r="D368" s="20" t="s">
        <v>700</v>
      </c>
      <c r="E368" s="47">
        <f>Source!AU259</f>
        <v>10</v>
      </c>
      <c r="F368" s="49"/>
      <c r="G368" s="21"/>
      <c r="H368" s="47"/>
      <c r="I368" s="47"/>
      <c r="J368" s="49">
        <f>SUM(T361:T367)</f>
        <v>76.88</v>
      </c>
      <c r="K368" s="49"/>
    </row>
    <row r="369" spans="1:22" ht="14.25" x14ac:dyDescent="0.2">
      <c r="A369" s="19"/>
      <c r="B369" s="19"/>
      <c r="C369" s="19" t="s">
        <v>706</v>
      </c>
      <c r="D369" s="20" t="s">
        <v>700</v>
      </c>
      <c r="E369" s="47">
        <f>108</f>
        <v>108</v>
      </c>
      <c r="F369" s="49"/>
      <c r="G369" s="21"/>
      <c r="H369" s="47"/>
      <c r="I369" s="47"/>
      <c r="J369" s="49">
        <f>SUM(V361:V368)</f>
        <v>0.05</v>
      </c>
      <c r="K369" s="49"/>
    </row>
    <row r="370" spans="1:22" ht="14.25" x14ac:dyDescent="0.2">
      <c r="A370" s="19"/>
      <c r="B370" s="19"/>
      <c r="C370" s="19" t="s">
        <v>702</v>
      </c>
      <c r="D370" s="20" t="s">
        <v>703</v>
      </c>
      <c r="E370" s="47">
        <f>Source!AQ259</f>
        <v>49.34</v>
      </c>
      <c r="F370" s="49"/>
      <c r="G370" s="21" t="str">
        <f>Source!DI259</f>
        <v/>
      </c>
      <c r="H370" s="47">
        <f>Source!AV259</f>
        <v>1</v>
      </c>
      <c r="I370" s="47"/>
      <c r="J370" s="49"/>
      <c r="K370" s="49">
        <f>Source!U259</f>
        <v>2.8321160000000001</v>
      </c>
    </row>
    <row r="371" spans="1:22" ht="15" x14ac:dyDescent="0.25">
      <c r="A371" s="53"/>
      <c r="B371" s="53"/>
      <c r="C371" s="53"/>
      <c r="D371" s="53"/>
      <c r="E371" s="53"/>
      <c r="F371" s="53"/>
      <c r="G371" s="53"/>
      <c r="H371" s="53"/>
      <c r="I371" s="69">
        <f>J362+J363+J365+J367+J368+J369+SUM(J366:J366)</f>
        <v>1416.49</v>
      </c>
      <c r="J371" s="69"/>
      <c r="K371" s="51">
        <f>IF(Source!I259&lt;&gt;0, ROUND(I371/Source!I259, 2), 0)</f>
        <v>24677.53</v>
      </c>
      <c r="P371" s="54">
        <f>I371</f>
        <v>1416.49</v>
      </c>
    </row>
    <row r="372" spans="1:22" ht="28.5" x14ac:dyDescent="0.2">
      <c r="A372" s="19">
        <v>56</v>
      </c>
      <c r="B372" s="19" t="str">
        <f>Source!F261</f>
        <v>1.10-3504-1-1/1</v>
      </c>
      <c r="C372" s="19" t="str">
        <f>Source!G261</f>
        <v>Разборка покрытий из линолеума и релина</v>
      </c>
      <c r="D372" s="20" t="str">
        <f>Source!H261</f>
        <v>100 м2</v>
      </c>
      <c r="E372" s="47">
        <f>Source!I261</f>
        <v>0.33800000000000002</v>
      </c>
      <c r="F372" s="49"/>
      <c r="G372" s="21"/>
      <c r="H372" s="47"/>
      <c r="I372" s="47"/>
      <c r="J372" s="49"/>
      <c r="K372" s="49"/>
      <c r="Q372" s="46">
        <f>ROUND((Source!BZ261/100)*ROUND((Source!AF261*Source!AV261)*Source!I261, 2), 2)</f>
        <v>668.14</v>
      </c>
      <c r="R372" s="46">
        <f>Source!X261</f>
        <v>668.14</v>
      </c>
      <c r="S372" s="46">
        <f>ROUND((Source!CA261/100)*ROUND((Source!AF261*Source!AV261)*Source!I261, 2), 2)</f>
        <v>95.45</v>
      </c>
      <c r="T372" s="46">
        <f>Source!Y261</f>
        <v>95.45</v>
      </c>
      <c r="U372" s="46">
        <f>ROUND((175/100)*ROUND((Source!AE261*Source!AV261)*Source!I261, 2), 2)</f>
        <v>0</v>
      </c>
      <c r="V372" s="46">
        <f>ROUND((108/100)*ROUND(Source!CS261*Source!I261, 2), 2)</f>
        <v>0</v>
      </c>
    </row>
    <row r="373" spans="1:22" ht="14.25" x14ac:dyDescent="0.2">
      <c r="A373" s="19"/>
      <c r="B373" s="19"/>
      <c r="C373" s="19" t="s">
        <v>697</v>
      </c>
      <c r="D373" s="20"/>
      <c r="E373" s="47"/>
      <c r="F373" s="49">
        <f>Source!AO261</f>
        <v>2823.92</v>
      </c>
      <c r="G373" s="21" t="str">
        <f>Source!DG261</f>
        <v/>
      </c>
      <c r="H373" s="47">
        <f>Source!AV261</f>
        <v>1</v>
      </c>
      <c r="I373" s="47">
        <f>IF(Source!BA261&lt;&gt; 0, Source!BA261, 1)</f>
        <v>1</v>
      </c>
      <c r="J373" s="49">
        <f>Source!S261</f>
        <v>954.48</v>
      </c>
      <c r="K373" s="49"/>
    </row>
    <row r="374" spans="1:22" ht="28.5" x14ac:dyDescent="0.2">
      <c r="A374" s="19">
        <v>57</v>
      </c>
      <c r="B374" s="19" t="str">
        <f>Source!F262</f>
        <v>9999990001</v>
      </c>
      <c r="C374" s="19" t="str">
        <f>Source!G262</f>
        <v>Масса мусора</v>
      </c>
      <c r="D374" s="20" t="str">
        <f>Source!H262</f>
        <v>т</v>
      </c>
      <c r="E374" s="47">
        <f>Source!I262</f>
        <v>-0.15886</v>
      </c>
      <c r="F374" s="49">
        <f>Source!AK262</f>
        <v>0</v>
      </c>
      <c r="G374" s="24" t="s">
        <v>3</v>
      </c>
      <c r="H374" s="47">
        <f>Source!AW262</f>
        <v>1</v>
      </c>
      <c r="I374" s="47">
        <f>IF(Source!BC262&lt;&gt; 0, Source!BC262, 1)</f>
        <v>1</v>
      </c>
      <c r="J374" s="49">
        <f>Source!O262</f>
        <v>0</v>
      </c>
      <c r="K374" s="49"/>
      <c r="Q374" s="46">
        <f>ROUND((Source!BZ262/100)*ROUND((Source!AF262*Source!AV262)*Source!I262, 2), 2)</f>
        <v>0</v>
      </c>
      <c r="R374" s="46">
        <f>Source!X262</f>
        <v>0</v>
      </c>
      <c r="S374" s="46">
        <f>ROUND((Source!CA262/100)*ROUND((Source!AF262*Source!AV262)*Source!I262, 2), 2)</f>
        <v>0</v>
      </c>
      <c r="T374" s="46">
        <f>Source!Y262</f>
        <v>0</v>
      </c>
      <c r="U374" s="46">
        <f>ROUND((175/100)*ROUND((Source!AE262*Source!AV262)*Source!I262, 2), 2)</f>
        <v>0</v>
      </c>
      <c r="V374" s="46">
        <f>ROUND((108/100)*ROUND(Source!CS262*Source!I262, 2), 2)</f>
        <v>0</v>
      </c>
    </row>
    <row r="375" spans="1:22" ht="14.25" x14ac:dyDescent="0.2">
      <c r="A375" s="19"/>
      <c r="B375" s="19"/>
      <c r="C375" s="19" t="s">
        <v>699</v>
      </c>
      <c r="D375" s="20" t="s">
        <v>700</v>
      </c>
      <c r="E375" s="47">
        <f>Source!AT261</f>
        <v>70</v>
      </c>
      <c r="F375" s="49"/>
      <c r="G375" s="21"/>
      <c r="H375" s="47"/>
      <c r="I375" s="47"/>
      <c r="J375" s="49">
        <f>SUM(R372:R374)</f>
        <v>668.14</v>
      </c>
      <c r="K375" s="49"/>
    </row>
    <row r="376" spans="1:22" ht="14.25" x14ac:dyDescent="0.2">
      <c r="A376" s="19"/>
      <c r="B376" s="19"/>
      <c r="C376" s="19" t="s">
        <v>701</v>
      </c>
      <c r="D376" s="20" t="s">
        <v>700</v>
      </c>
      <c r="E376" s="47">
        <f>Source!AU261</f>
        <v>10</v>
      </c>
      <c r="F376" s="49"/>
      <c r="G376" s="21"/>
      <c r="H376" s="47"/>
      <c r="I376" s="47"/>
      <c r="J376" s="49">
        <f>SUM(T372:T375)</f>
        <v>95.45</v>
      </c>
      <c r="K376" s="49"/>
    </row>
    <row r="377" spans="1:22" ht="14.25" x14ac:dyDescent="0.2">
      <c r="A377" s="19"/>
      <c r="B377" s="19"/>
      <c r="C377" s="19" t="s">
        <v>702</v>
      </c>
      <c r="D377" s="20" t="s">
        <v>703</v>
      </c>
      <c r="E377" s="47">
        <f>Source!AQ261</f>
        <v>11.39</v>
      </c>
      <c r="F377" s="49"/>
      <c r="G377" s="21" t="str">
        <f>Source!DI261</f>
        <v/>
      </c>
      <c r="H377" s="47">
        <f>Source!AV261</f>
        <v>1</v>
      </c>
      <c r="I377" s="47"/>
      <c r="J377" s="49"/>
      <c r="K377" s="49">
        <f>Source!U261</f>
        <v>3.8498200000000002</v>
      </c>
    </row>
    <row r="378" spans="1:22" ht="15" x14ac:dyDescent="0.25">
      <c r="A378" s="53"/>
      <c r="B378" s="53"/>
      <c r="C378" s="53"/>
      <c r="D378" s="53"/>
      <c r="E378" s="53"/>
      <c r="F378" s="53"/>
      <c r="G378" s="53"/>
      <c r="H378" s="53"/>
      <c r="I378" s="69">
        <f>J373+J375+J376+SUM(J374:J374)</f>
        <v>1718.07</v>
      </c>
      <c r="J378" s="69"/>
      <c r="K378" s="51">
        <f>IF(Source!I261&lt;&gt;0, ROUND(I378/Source!I261, 2), 0)</f>
        <v>5083.05</v>
      </c>
      <c r="P378" s="54">
        <f>I378</f>
        <v>1718.07</v>
      </c>
    </row>
    <row r="380" spans="1:22" ht="15" x14ac:dyDescent="0.25">
      <c r="A380" s="73" t="str">
        <f>CONCATENATE("Итого по подразделу: ",IF(Source!G264&lt;&gt;"Новый подраздел", Source!G264, ""))</f>
        <v>Итого по подразделу: 2.1 Тренерская</v>
      </c>
      <c r="B380" s="73"/>
      <c r="C380" s="73"/>
      <c r="D380" s="73"/>
      <c r="E380" s="73"/>
      <c r="F380" s="73"/>
      <c r="G380" s="73"/>
      <c r="H380" s="73"/>
      <c r="I380" s="71">
        <f>SUM(P340:P379)</f>
        <v>9592.06</v>
      </c>
      <c r="J380" s="72"/>
      <c r="K380" s="26"/>
    </row>
    <row r="383" spans="1:22" ht="16.5" x14ac:dyDescent="0.25">
      <c r="A383" s="70" t="str">
        <f>CONCATENATE("Подраздел: ",IF(Source!G294&lt;&gt;"Новый подраздел", Source!G294, ""))</f>
        <v>Подраздел: 2.2 Ремонтно-строительные работы</v>
      </c>
      <c r="B383" s="70"/>
      <c r="C383" s="70"/>
      <c r="D383" s="70"/>
      <c r="E383" s="70"/>
      <c r="F383" s="70"/>
      <c r="G383" s="70"/>
      <c r="H383" s="70"/>
      <c r="I383" s="70"/>
      <c r="J383" s="70"/>
      <c r="K383" s="70"/>
    </row>
    <row r="384" spans="1:22" ht="99.75" x14ac:dyDescent="0.2">
      <c r="A384" s="19">
        <v>58</v>
      </c>
      <c r="B384" s="19" t="str">
        <f>Source!F298</f>
        <v>1.13-3603-30-1/1</v>
      </c>
      <c r="C384" s="19" t="str">
        <f>Source!G298</f>
        <v>Монтаж потолка кассетного типа на металлическом каркасе - размер алюминиевых кассет 595 х 595 мм, при площади помещения до 100 м2, с установкой направляющих и креплением подвесок дюбель-гвоздями</v>
      </c>
      <c r="D384" s="20" t="str">
        <f>Source!H298</f>
        <v>100 м2</v>
      </c>
      <c r="E384" s="47">
        <f>Source!I298</f>
        <v>0.33800000000000002</v>
      </c>
      <c r="F384" s="49"/>
      <c r="G384" s="21"/>
      <c r="H384" s="47"/>
      <c r="I384" s="47"/>
      <c r="J384" s="49"/>
      <c r="K384" s="49"/>
      <c r="Q384" s="46">
        <f>ROUND((Source!BZ298/100)*ROUND((Source!AF298*Source!AV298)*Source!I298, 2), 2)</f>
        <v>11372.35</v>
      </c>
      <c r="R384" s="46">
        <f>Source!X298</f>
        <v>11372.35</v>
      </c>
      <c r="S384" s="46">
        <f>ROUND((Source!CA298/100)*ROUND((Source!AF298*Source!AV298)*Source!I298, 2), 2)</f>
        <v>1624.62</v>
      </c>
      <c r="T384" s="46">
        <f>Source!Y298</f>
        <v>1624.62</v>
      </c>
      <c r="U384" s="46">
        <f>ROUND((175/100)*ROUND((Source!AE298*Source!AV298)*Source!I298, 2), 2)</f>
        <v>5.46</v>
      </c>
      <c r="V384" s="46">
        <f>ROUND((108/100)*ROUND(Source!CS298*Source!I298, 2), 2)</f>
        <v>3.37</v>
      </c>
    </row>
    <row r="385" spans="1:22" ht="14.25" x14ac:dyDescent="0.2">
      <c r="A385" s="19"/>
      <c r="B385" s="19"/>
      <c r="C385" s="19" t="s">
        <v>697</v>
      </c>
      <c r="D385" s="20"/>
      <c r="E385" s="47"/>
      <c r="F385" s="49">
        <f>Source!AO298</f>
        <v>48065.73</v>
      </c>
      <c r="G385" s="21" t="str">
        <f>Source!DG298</f>
        <v/>
      </c>
      <c r="H385" s="47">
        <f>Source!AV298</f>
        <v>1</v>
      </c>
      <c r="I385" s="47">
        <f>IF(Source!BA298&lt;&gt; 0, Source!BA298, 1)</f>
        <v>1</v>
      </c>
      <c r="J385" s="49">
        <f>Source!S298</f>
        <v>16246.22</v>
      </c>
      <c r="K385" s="49"/>
    </row>
    <row r="386" spans="1:22" ht="14.25" x14ac:dyDescent="0.2">
      <c r="A386" s="19"/>
      <c r="B386" s="19"/>
      <c r="C386" s="19" t="s">
        <v>698</v>
      </c>
      <c r="D386" s="20"/>
      <c r="E386" s="47"/>
      <c r="F386" s="49">
        <f>Source!AM298</f>
        <v>90.2</v>
      </c>
      <c r="G386" s="21" t="str">
        <f>Source!DE298</f>
        <v/>
      </c>
      <c r="H386" s="47">
        <f>Source!AV298</f>
        <v>1</v>
      </c>
      <c r="I386" s="47">
        <f>IF(Source!BB298&lt;&gt; 0, Source!BB298, 1)</f>
        <v>1</v>
      </c>
      <c r="J386" s="49">
        <f>Source!Q298</f>
        <v>30.49</v>
      </c>
      <c r="K386" s="49"/>
    </row>
    <row r="387" spans="1:22" ht="14.25" x14ac:dyDescent="0.2">
      <c r="A387" s="19"/>
      <c r="B387" s="19"/>
      <c r="C387" s="19" t="s">
        <v>705</v>
      </c>
      <c r="D387" s="20"/>
      <c r="E387" s="47"/>
      <c r="F387" s="49">
        <f>Source!AN298</f>
        <v>9.2200000000000006</v>
      </c>
      <c r="G387" s="21" t="str">
        <f>Source!DF298</f>
        <v/>
      </c>
      <c r="H387" s="47">
        <f>Source!AV298</f>
        <v>1</v>
      </c>
      <c r="I387" s="47">
        <f>IF(Source!BS298&lt;&gt; 0, Source!BS298, 1)</f>
        <v>1</v>
      </c>
      <c r="J387" s="25">
        <f>Source!R298</f>
        <v>3.12</v>
      </c>
      <c r="K387" s="49"/>
    </row>
    <row r="388" spans="1:22" ht="14.25" x14ac:dyDescent="0.2">
      <c r="A388" s="19"/>
      <c r="B388" s="19"/>
      <c r="C388" s="19" t="s">
        <v>704</v>
      </c>
      <c r="D388" s="20"/>
      <c r="E388" s="47"/>
      <c r="F388" s="49">
        <f>Source!AL298</f>
        <v>84749.11</v>
      </c>
      <c r="G388" s="21" t="str">
        <f>Source!DD298</f>
        <v/>
      </c>
      <c r="H388" s="47">
        <f>Source!AW298</f>
        <v>1</v>
      </c>
      <c r="I388" s="47">
        <f>IF(Source!BC298&lt;&gt; 0, Source!BC298, 1)</f>
        <v>1</v>
      </c>
      <c r="J388" s="49">
        <f>Source!P298</f>
        <v>28645.200000000001</v>
      </c>
      <c r="K388" s="49"/>
    </row>
    <row r="389" spans="1:22" ht="14.25" x14ac:dyDescent="0.2">
      <c r="A389" s="19"/>
      <c r="B389" s="19"/>
      <c r="C389" s="19" t="s">
        <v>699</v>
      </c>
      <c r="D389" s="20" t="s">
        <v>700</v>
      </c>
      <c r="E389" s="47">
        <f>Source!AT298</f>
        <v>70</v>
      </c>
      <c r="F389" s="49"/>
      <c r="G389" s="21"/>
      <c r="H389" s="47"/>
      <c r="I389" s="47"/>
      <c r="J389" s="49">
        <f>SUM(R384:R388)</f>
        <v>11372.35</v>
      </c>
      <c r="K389" s="49"/>
    </row>
    <row r="390" spans="1:22" ht="14.25" x14ac:dyDescent="0.2">
      <c r="A390" s="19"/>
      <c r="B390" s="19"/>
      <c r="C390" s="19" t="s">
        <v>701</v>
      </c>
      <c r="D390" s="20" t="s">
        <v>700</v>
      </c>
      <c r="E390" s="47">
        <f>Source!AU298</f>
        <v>10</v>
      </c>
      <c r="F390" s="49"/>
      <c r="G390" s="21"/>
      <c r="H390" s="47"/>
      <c r="I390" s="47"/>
      <c r="J390" s="49">
        <f>SUM(T384:T389)</f>
        <v>1624.62</v>
      </c>
      <c r="K390" s="49"/>
    </row>
    <row r="391" spans="1:22" ht="14.25" x14ac:dyDescent="0.2">
      <c r="A391" s="19"/>
      <c r="B391" s="19"/>
      <c r="C391" s="19" t="s">
        <v>706</v>
      </c>
      <c r="D391" s="20" t="s">
        <v>700</v>
      </c>
      <c r="E391" s="47">
        <f>108</f>
        <v>108</v>
      </c>
      <c r="F391" s="49"/>
      <c r="G391" s="21"/>
      <c r="H391" s="47"/>
      <c r="I391" s="47"/>
      <c r="J391" s="49">
        <f>SUM(V384:V390)</f>
        <v>3.37</v>
      </c>
      <c r="K391" s="49"/>
    </row>
    <row r="392" spans="1:22" ht="14.25" x14ac:dyDescent="0.2">
      <c r="A392" s="19"/>
      <c r="B392" s="19"/>
      <c r="C392" s="19" t="s">
        <v>702</v>
      </c>
      <c r="D392" s="20" t="s">
        <v>703</v>
      </c>
      <c r="E392" s="47">
        <f>Source!AQ298</f>
        <v>153.1</v>
      </c>
      <c r="F392" s="49"/>
      <c r="G392" s="21" t="str">
        <f>Source!DI298</f>
        <v/>
      </c>
      <c r="H392" s="47">
        <f>Source!AV298</f>
        <v>1</v>
      </c>
      <c r="I392" s="47"/>
      <c r="J392" s="49"/>
      <c r="K392" s="49">
        <f>Source!U298</f>
        <v>51.747799999999998</v>
      </c>
    </row>
    <row r="393" spans="1:22" ht="15" x14ac:dyDescent="0.25">
      <c r="A393" s="53"/>
      <c r="B393" s="53"/>
      <c r="C393" s="53"/>
      <c r="D393" s="53"/>
      <c r="E393" s="53"/>
      <c r="F393" s="53"/>
      <c r="G393" s="53"/>
      <c r="H393" s="53"/>
      <c r="I393" s="69">
        <f>J385+J386+J388+J389+J390+J391</f>
        <v>57922.250000000007</v>
      </c>
      <c r="J393" s="69"/>
      <c r="K393" s="51">
        <f>IF(Source!I298&lt;&gt;0, ROUND(I393/Source!I298, 2), 0)</f>
        <v>171367.6</v>
      </c>
      <c r="P393" s="54">
        <f>I393</f>
        <v>57922.250000000007</v>
      </c>
    </row>
    <row r="394" spans="1:22" ht="42.75" x14ac:dyDescent="0.2">
      <c r="A394" s="19">
        <v>59</v>
      </c>
      <c r="B394" s="19" t="str">
        <f>Source!F299</f>
        <v>1.10-3103-2-11/1</v>
      </c>
      <c r="C394" s="19" t="str">
        <f>Source!G299</f>
        <v>Устройство самовыравнивающихся стяжек из специализированных сухих смесей толщиной 5 мм</v>
      </c>
      <c r="D394" s="20" t="str">
        <f>Source!H299</f>
        <v>100 м2</v>
      </c>
      <c r="E394" s="47">
        <f>Source!I299</f>
        <v>0.33800000000000002</v>
      </c>
      <c r="F394" s="49"/>
      <c r="G394" s="21"/>
      <c r="H394" s="47"/>
      <c r="I394" s="47"/>
      <c r="J394" s="49"/>
      <c r="K394" s="49"/>
      <c r="Q394" s="46">
        <f>ROUND((Source!BZ299/100)*ROUND((Source!AF299*Source!AV299)*Source!I299, 2), 2)</f>
        <v>2693.83</v>
      </c>
      <c r="R394" s="46">
        <f>Source!X299</f>
        <v>2693.83</v>
      </c>
      <c r="S394" s="46">
        <f>ROUND((Source!CA299/100)*ROUND((Source!AF299*Source!AV299)*Source!I299, 2), 2)</f>
        <v>384.83</v>
      </c>
      <c r="T394" s="46">
        <f>Source!Y299</f>
        <v>384.83</v>
      </c>
      <c r="U394" s="46">
        <f>ROUND((175/100)*ROUND((Source!AE299*Source!AV299)*Source!I299, 2), 2)</f>
        <v>10.08</v>
      </c>
      <c r="V394" s="46">
        <f>ROUND((108/100)*ROUND(Source!CS299*Source!I299, 2), 2)</f>
        <v>6.22</v>
      </c>
    </row>
    <row r="395" spans="1:22" ht="14.25" x14ac:dyDescent="0.2">
      <c r="A395" s="19"/>
      <c r="B395" s="19"/>
      <c r="C395" s="19" t="s">
        <v>697</v>
      </c>
      <c r="D395" s="20"/>
      <c r="E395" s="47"/>
      <c r="F395" s="49">
        <f>Source!AO299</f>
        <v>11385.58</v>
      </c>
      <c r="G395" s="21" t="str">
        <f>Source!DG299</f>
        <v/>
      </c>
      <c r="H395" s="47">
        <f>Source!AV299</f>
        <v>1</v>
      </c>
      <c r="I395" s="47">
        <f>IF(Source!BA299&lt;&gt; 0, Source!BA299, 1)</f>
        <v>1</v>
      </c>
      <c r="J395" s="49">
        <f>Source!S299</f>
        <v>3848.33</v>
      </c>
      <c r="K395" s="49"/>
    </row>
    <row r="396" spans="1:22" ht="14.25" x14ac:dyDescent="0.2">
      <c r="A396" s="19"/>
      <c r="B396" s="19"/>
      <c r="C396" s="19" t="s">
        <v>698</v>
      </c>
      <c r="D396" s="20"/>
      <c r="E396" s="47"/>
      <c r="F396" s="49">
        <f>Source!AM299</f>
        <v>209.13</v>
      </c>
      <c r="G396" s="21" t="str">
        <f>Source!DE299</f>
        <v/>
      </c>
      <c r="H396" s="47">
        <f>Source!AV299</f>
        <v>1</v>
      </c>
      <c r="I396" s="47">
        <f>IF(Source!BB299&lt;&gt; 0, Source!BB299, 1)</f>
        <v>1</v>
      </c>
      <c r="J396" s="49">
        <f>Source!Q299</f>
        <v>70.69</v>
      </c>
      <c r="K396" s="49"/>
    </row>
    <row r="397" spans="1:22" ht="14.25" x14ac:dyDescent="0.2">
      <c r="A397" s="19"/>
      <c r="B397" s="19"/>
      <c r="C397" s="19" t="s">
        <v>705</v>
      </c>
      <c r="D397" s="20"/>
      <c r="E397" s="47"/>
      <c r="F397" s="49">
        <f>Source!AN299</f>
        <v>17.05</v>
      </c>
      <c r="G397" s="21" t="str">
        <f>Source!DF299</f>
        <v/>
      </c>
      <c r="H397" s="47">
        <f>Source!AV299</f>
        <v>1</v>
      </c>
      <c r="I397" s="47">
        <f>IF(Source!BS299&lt;&gt; 0, Source!BS299, 1)</f>
        <v>1</v>
      </c>
      <c r="J397" s="25">
        <f>Source!R299</f>
        <v>5.76</v>
      </c>
      <c r="K397" s="49"/>
    </row>
    <row r="398" spans="1:22" ht="14.25" x14ac:dyDescent="0.2">
      <c r="A398" s="19"/>
      <c r="B398" s="19"/>
      <c r="C398" s="19" t="s">
        <v>704</v>
      </c>
      <c r="D398" s="20"/>
      <c r="E398" s="47"/>
      <c r="F398" s="49">
        <f>Source!AL299</f>
        <v>47387.15</v>
      </c>
      <c r="G398" s="21" t="str">
        <f>Source!DD299</f>
        <v/>
      </c>
      <c r="H398" s="47">
        <f>Source!AW299</f>
        <v>1</v>
      </c>
      <c r="I398" s="47">
        <f>IF(Source!BC299&lt;&gt; 0, Source!BC299, 1)</f>
        <v>1</v>
      </c>
      <c r="J398" s="49">
        <f>Source!P299</f>
        <v>16016.86</v>
      </c>
      <c r="K398" s="49"/>
    </row>
    <row r="399" spans="1:22" ht="14.25" x14ac:dyDescent="0.2">
      <c r="A399" s="19"/>
      <c r="B399" s="19"/>
      <c r="C399" s="19" t="s">
        <v>699</v>
      </c>
      <c r="D399" s="20" t="s">
        <v>700</v>
      </c>
      <c r="E399" s="47">
        <f>Source!AT299</f>
        <v>70</v>
      </c>
      <c r="F399" s="49"/>
      <c r="G399" s="21"/>
      <c r="H399" s="47"/>
      <c r="I399" s="47"/>
      <c r="J399" s="49">
        <f>SUM(R394:R398)</f>
        <v>2693.83</v>
      </c>
      <c r="K399" s="49"/>
    </row>
    <row r="400" spans="1:22" ht="14.25" x14ac:dyDescent="0.2">
      <c r="A400" s="19"/>
      <c r="B400" s="19"/>
      <c r="C400" s="19" t="s">
        <v>701</v>
      </c>
      <c r="D400" s="20" t="s">
        <v>700</v>
      </c>
      <c r="E400" s="47">
        <f>Source!AU299</f>
        <v>10</v>
      </c>
      <c r="F400" s="49"/>
      <c r="G400" s="21"/>
      <c r="H400" s="47"/>
      <c r="I400" s="47"/>
      <c r="J400" s="49">
        <f>SUM(T394:T399)</f>
        <v>384.83</v>
      </c>
      <c r="K400" s="49"/>
    </row>
    <row r="401" spans="1:22" ht="14.25" x14ac:dyDescent="0.2">
      <c r="A401" s="19"/>
      <c r="B401" s="19"/>
      <c r="C401" s="19" t="s">
        <v>706</v>
      </c>
      <c r="D401" s="20" t="s">
        <v>700</v>
      </c>
      <c r="E401" s="47">
        <f>108</f>
        <v>108</v>
      </c>
      <c r="F401" s="49"/>
      <c r="G401" s="21"/>
      <c r="H401" s="47"/>
      <c r="I401" s="47"/>
      <c r="J401" s="49">
        <f>SUM(V394:V400)</f>
        <v>6.22</v>
      </c>
      <c r="K401" s="49"/>
    </row>
    <row r="402" spans="1:22" ht="14.25" x14ac:dyDescent="0.2">
      <c r="A402" s="19"/>
      <c r="B402" s="19"/>
      <c r="C402" s="19" t="s">
        <v>702</v>
      </c>
      <c r="D402" s="20" t="s">
        <v>703</v>
      </c>
      <c r="E402" s="47">
        <f>Source!AQ299</f>
        <v>37.97</v>
      </c>
      <c r="F402" s="49"/>
      <c r="G402" s="21" t="str">
        <f>Source!DI299</f>
        <v/>
      </c>
      <c r="H402" s="47">
        <f>Source!AV299</f>
        <v>1</v>
      </c>
      <c r="I402" s="47"/>
      <c r="J402" s="49"/>
      <c r="K402" s="49">
        <f>Source!U299</f>
        <v>12.83386</v>
      </c>
    </row>
    <row r="403" spans="1:22" ht="15" x14ac:dyDescent="0.25">
      <c r="A403" s="53"/>
      <c r="B403" s="53"/>
      <c r="C403" s="53"/>
      <c r="D403" s="53"/>
      <c r="E403" s="53"/>
      <c r="F403" s="53"/>
      <c r="G403" s="53"/>
      <c r="H403" s="53"/>
      <c r="I403" s="69">
        <f>J395+J396+J398+J399+J400+J401</f>
        <v>23020.760000000002</v>
      </c>
      <c r="J403" s="69"/>
      <c r="K403" s="51">
        <f>IF(Source!I299&lt;&gt;0, ROUND(I403/Source!I299, 2), 0)</f>
        <v>68108.759999999995</v>
      </c>
      <c r="P403" s="54">
        <f>I403</f>
        <v>23020.760000000002</v>
      </c>
    </row>
    <row r="404" spans="1:22" ht="42.75" x14ac:dyDescent="0.2">
      <c r="A404" s="19">
        <v>60</v>
      </c>
      <c r="B404" s="19" t="str">
        <f>Source!F300</f>
        <v>1.10-3103-2-12/1</v>
      </c>
      <c r="C404" s="19" t="str">
        <f>Source!G300</f>
        <v>Добавляется или исключается на каждый 1 мм изменения толщины стяжки к поз.10-3103-2-11</v>
      </c>
      <c r="D404" s="20" t="str">
        <f>Source!H300</f>
        <v>100 м2</v>
      </c>
      <c r="E404" s="47">
        <f>Source!I300</f>
        <v>0.33800000000000002</v>
      </c>
      <c r="F404" s="49"/>
      <c r="G404" s="21"/>
      <c r="H404" s="47"/>
      <c r="I404" s="47"/>
      <c r="J404" s="49"/>
      <c r="K404" s="49"/>
      <c r="Q404" s="46">
        <f>ROUND((Source!BZ300/100)*ROUND((Source!AF300*Source!AV300)*Source!I300, 2), 2)</f>
        <v>1544.4</v>
      </c>
      <c r="R404" s="46">
        <f>Source!X300</f>
        <v>1544.4</v>
      </c>
      <c r="S404" s="46">
        <f>ROUND((Source!CA300/100)*ROUND((Source!AF300*Source!AV300)*Source!I300, 2), 2)</f>
        <v>220.63</v>
      </c>
      <c r="T404" s="46">
        <f>Source!Y300</f>
        <v>220.63</v>
      </c>
      <c r="U404" s="46">
        <f>ROUND((175/100)*ROUND((Source!AE300*Source!AV300)*Source!I300, 2), 2)</f>
        <v>2.71</v>
      </c>
      <c r="V404" s="46">
        <f>ROUND((108/100)*ROUND(Source!CS300*Source!I300, 2), 2)</f>
        <v>1.67</v>
      </c>
    </row>
    <row r="405" spans="1:22" ht="14.25" x14ac:dyDescent="0.2">
      <c r="A405" s="19"/>
      <c r="B405" s="19"/>
      <c r="C405" s="19" t="s">
        <v>697</v>
      </c>
      <c r="D405" s="20"/>
      <c r="E405" s="47"/>
      <c r="F405" s="49">
        <f>Source!AO300</f>
        <v>1305.49</v>
      </c>
      <c r="G405" s="21" t="str">
        <f>Source!DG300</f>
        <v>)*5</v>
      </c>
      <c r="H405" s="47">
        <f>Source!AV300</f>
        <v>1</v>
      </c>
      <c r="I405" s="47">
        <f>IF(Source!BA300&lt;&gt; 0, Source!BA300, 1)</f>
        <v>1</v>
      </c>
      <c r="J405" s="49">
        <f>Source!S300</f>
        <v>2206.2800000000002</v>
      </c>
      <c r="K405" s="49"/>
    </row>
    <row r="406" spans="1:22" ht="14.25" x14ac:dyDescent="0.2">
      <c r="A406" s="19"/>
      <c r="B406" s="19"/>
      <c r="C406" s="19" t="s">
        <v>698</v>
      </c>
      <c r="D406" s="20"/>
      <c r="E406" s="47"/>
      <c r="F406" s="49">
        <f>Source!AM300</f>
        <v>6.6</v>
      </c>
      <c r="G406" s="21" t="str">
        <f>Source!DE300</f>
        <v>)*5</v>
      </c>
      <c r="H406" s="47">
        <f>Source!AV300</f>
        <v>1</v>
      </c>
      <c r="I406" s="47">
        <f>IF(Source!BB300&lt;&gt; 0, Source!BB300, 1)</f>
        <v>1</v>
      </c>
      <c r="J406" s="49">
        <f>Source!Q300</f>
        <v>11.15</v>
      </c>
      <c r="K406" s="49"/>
    </row>
    <row r="407" spans="1:22" ht="14.25" x14ac:dyDescent="0.2">
      <c r="A407" s="19"/>
      <c r="B407" s="19"/>
      <c r="C407" s="19" t="s">
        <v>705</v>
      </c>
      <c r="D407" s="20"/>
      <c r="E407" s="47"/>
      <c r="F407" s="49">
        <f>Source!AN300</f>
        <v>0.92</v>
      </c>
      <c r="G407" s="21" t="str">
        <f>Source!DF300</f>
        <v>)*5</v>
      </c>
      <c r="H407" s="47">
        <f>Source!AV300</f>
        <v>1</v>
      </c>
      <c r="I407" s="47">
        <f>IF(Source!BS300&lt;&gt; 0, Source!BS300, 1)</f>
        <v>1</v>
      </c>
      <c r="J407" s="25">
        <f>Source!R300</f>
        <v>1.55</v>
      </c>
      <c r="K407" s="49"/>
    </row>
    <row r="408" spans="1:22" ht="14.25" x14ac:dyDescent="0.2">
      <c r="A408" s="19"/>
      <c r="B408" s="19"/>
      <c r="C408" s="19" t="s">
        <v>704</v>
      </c>
      <c r="D408" s="20"/>
      <c r="E408" s="47"/>
      <c r="F408" s="49">
        <f>Source!AL300</f>
        <v>6368.04</v>
      </c>
      <c r="G408" s="21" t="str">
        <f>Source!DD300</f>
        <v>)*5</v>
      </c>
      <c r="H408" s="47">
        <f>Source!AW300</f>
        <v>1</v>
      </c>
      <c r="I408" s="47">
        <f>IF(Source!BC300&lt;&gt; 0, Source!BC300, 1)</f>
        <v>1</v>
      </c>
      <c r="J408" s="49">
        <f>Source!P300</f>
        <v>10761.99</v>
      </c>
      <c r="K408" s="49"/>
    </row>
    <row r="409" spans="1:22" ht="14.25" x14ac:dyDescent="0.2">
      <c r="A409" s="19"/>
      <c r="B409" s="19"/>
      <c r="C409" s="19" t="s">
        <v>699</v>
      </c>
      <c r="D409" s="20" t="s">
        <v>700</v>
      </c>
      <c r="E409" s="47">
        <f>Source!AT300</f>
        <v>70</v>
      </c>
      <c r="F409" s="49"/>
      <c r="G409" s="21"/>
      <c r="H409" s="47"/>
      <c r="I409" s="47"/>
      <c r="J409" s="49">
        <f>SUM(R404:R408)</f>
        <v>1544.4</v>
      </c>
      <c r="K409" s="49"/>
    </row>
    <row r="410" spans="1:22" ht="14.25" x14ac:dyDescent="0.2">
      <c r="A410" s="19"/>
      <c r="B410" s="19"/>
      <c r="C410" s="19" t="s">
        <v>701</v>
      </c>
      <c r="D410" s="20" t="s">
        <v>700</v>
      </c>
      <c r="E410" s="47">
        <f>Source!AU300</f>
        <v>10</v>
      </c>
      <c r="F410" s="49"/>
      <c r="G410" s="21"/>
      <c r="H410" s="47"/>
      <c r="I410" s="47"/>
      <c r="J410" s="49">
        <f>SUM(T404:T409)</f>
        <v>220.63</v>
      </c>
      <c r="K410" s="49"/>
    </row>
    <row r="411" spans="1:22" ht="14.25" x14ac:dyDescent="0.2">
      <c r="A411" s="19"/>
      <c r="B411" s="19"/>
      <c r="C411" s="19" t="s">
        <v>706</v>
      </c>
      <c r="D411" s="20" t="s">
        <v>700</v>
      </c>
      <c r="E411" s="47">
        <f>108</f>
        <v>108</v>
      </c>
      <c r="F411" s="49"/>
      <c r="G411" s="21"/>
      <c r="H411" s="47"/>
      <c r="I411" s="47"/>
      <c r="J411" s="49">
        <f>SUM(V404:V410)</f>
        <v>1.67</v>
      </c>
      <c r="K411" s="49"/>
    </row>
    <row r="412" spans="1:22" ht="14.25" x14ac:dyDescent="0.2">
      <c r="A412" s="19"/>
      <c r="B412" s="19"/>
      <c r="C412" s="19" t="s">
        <v>702</v>
      </c>
      <c r="D412" s="20" t="s">
        <v>703</v>
      </c>
      <c r="E412" s="47">
        <f>Source!AQ300</f>
        <v>3.95</v>
      </c>
      <c r="F412" s="49"/>
      <c r="G412" s="21" t="str">
        <f>Source!DI300</f>
        <v>)*5</v>
      </c>
      <c r="H412" s="47">
        <f>Source!AV300</f>
        <v>1</v>
      </c>
      <c r="I412" s="47"/>
      <c r="J412" s="49"/>
      <c r="K412" s="49">
        <f>Source!U300</f>
        <v>6.6755000000000004</v>
      </c>
    </row>
    <row r="413" spans="1:22" ht="15" x14ac:dyDescent="0.25">
      <c r="A413" s="53"/>
      <c r="B413" s="53"/>
      <c r="C413" s="53"/>
      <c r="D413" s="53"/>
      <c r="E413" s="53"/>
      <c r="F413" s="53"/>
      <c r="G413" s="53"/>
      <c r="H413" s="53"/>
      <c r="I413" s="69">
        <f>J405+J406+J408+J409+J410+J411</f>
        <v>14746.119999999999</v>
      </c>
      <c r="J413" s="69"/>
      <c r="K413" s="51">
        <f>IF(Source!I300&lt;&gt;0, ROUND(I413/Source!I300, 2), 0)</f>
        <v>43627.57</v>
      </c>
      <c r="P413" s="54">
        <f>I413</f>
        <v>14746.119999999999</v>
      </c>
    </row>
    <row r="414" spans="1:22" ht="85.5" x14ac:dyDescent="0.2">
      <c r="A414" s="19">
        <v>61</v>
      </c>
      <c r="B414" s="19" t="str">
        <f>Source!F301</f>
        <v>1.10-3703-3-1/2</v>
      </c>
      <c r="C414" s="19" t="str">
        <f>Source!G301</f>
        <v>Устройство полов из крупноразмерных керамогранитных плиток на клее из сухих смесей толщиной клеевого слоя 4 мм с затиркой швов / смеси для плиточных работ водостойкие, суперэластичные</v>
      </c>
      <c r="D414" s="20" t="str">
        <f>Source!H301</f>
        <v>100 м2</v>
      </c>
      <c r="E414" s="47">
        <f>Source!I301</f>
        <v>0.33800000000000002</v>
      </c>
      <c r="F414" s="49"/>
      <c r="G414" s="21"/>
      <c r="H414" s="47"/>
      <c r="I414" s="47"/>
      <c r="J414" s="49"/>
      <c r="K414" s="49"/>
      <c r="Q414" s="46">
        <f>ROUND((Source!BZ301/100)*ROUND((Source!AF301*Source!AV301)*Source!I301, 2), 2)</f>
        <v>6901.73</v>
      </c>
      <c r="R414" s="46">
        <f>Source!X301</f>
        <v>6901.73</v>
      </c>
      <c r="S414" s="46">
        <f>ROUND((Source!CA301/100)*ROUND((Source!AF301*Source!AV301)*Source!I301, 2), 2)</f>
        <v>985.96</v>
      </c>
      <c r="T414" s="46">
        <f>Source!Y301</f>
        <v>985.96</v>
      </c>
      <c r="U414" s="46">
        <f>ROUND((175/100)*ROUND((Source!AE301*Source!AV301)*Source!I301, 2), 2)</f>
        <v>139.69999999999999</v>
      </c>
      <c r="V414" s="46">
        <f>ROUND((108/100)*ROUND(Source!CS301*Source!I301, 2), 2)</f>
        <v>86.22</v>
      </c>
    </row>
    <row r="415" spans="1:22" ht="14.25" x14ac:dyDescent="0.2">
      <c r="A415" s="19"/>
      <c r="B415" s="19"/>
      <c r="C415" s="19" t="s">
        <v>697</v>
      </c>
      <c r="D415" s="20"/>
      <c r="E415" s="47"/>
      <c r="F415" s="49">
        <f>Source!AO301</f>
        <v>29170.47</v>
      </c>
      <c r="G415" s="21" t="str">
        <f>Source!DG301</f>
        <v/>
      </c>
      <c r="H415" s="47">
        <f>Source!AV301</f>
        <v>1</v>
      </c>
      <c r="I415" s="47">
        <f>IF(Source!BA301&lt;&gt; 0, Source!BA301, 1)</f>
        <v>1</v>
      </c>
      <c r="J415" s="49">
        <f>Source!S301</f>
        <v>9859.6200000000008</v>
      </c>
      <c r="K415" s="49"/>
    </row>
    <row r="416" spans="1:22" ht="14.25" x14ac:dyDescent="0.2">
      <c r="A416" s="19"/>
      <c r="B416" s="19"/>
      <c r="C416" s="19" t="s">
        <v>698</v>
      </c>
      <c r="D416" s="20"/>
      <c r="E416" s="47"/>
      <c r="F416" s="49">
        <f>Source!AM301</f>
        <v>496.57</v>
      </c>
      <c r="G416" s="21" t="str">
        <f>Source!DE301</f>
        <v/>
      </c>
      <c r="H416" s="47">
        <f>Source!AV301</f>
        <v>1</v>
      </c>
      <c r="I416" s="47">
        <f>IF(Source!BB301&lt;&gt; 0, Source!BB301, 1)</f>
        <v>1</v>
      </c>
      <c r="J416" s="49">
        <f>Source!Q301</f>
        <v>167.84</v>
      </c>
      <c r="K416" s="49"/>
    </row>
    <row r="417" spans="1:22" ht="14.25" x14ac:dyDescent="0.2">
      <c r="A417" s="19"/>
      <c r="B417" s="19"/>
      <c r="C417" s="19" t="s">
        <v>705</v>
      </c>
      <c r="D417" s="20"/>
      <c r="E417" s="47"/>
      <c r="F417" s="49">
        <f>Source!AN301</f>
        <v>236.19</v>
      </c>
      <c r="G417" s="21" t="str">
        <f>Source!DF301</f>
        <v/>
      </c>
      <c r="H417" s="47">
        <f>Source!AV301</f>
        <v>1</v>
      </c>
      <c r="I417" s="47">
        <f>IF(Source!BS301&lt;&gt; 0, Source!BS301, 1)</f>
        <v>1</v>
      </c>
      <c r="J417" s="25">
        <f>Source!R301</f>
        <v>79.83</v>
      </c>
      <c r="K417" s="49"/>
    </row>
    <row r="418" spans="1:22" ht="14.25" x14ac:dyDescent="0.2">
      <c r="A418" s="19"/>
      <c r="B418" s="19"/>
      <c r="C418" s="19" t="s">
        <v>704</v>
      </c>
      <c r="D418" s="20"/>
      <c r="E418" s="47"/>
      <c r="F418" s="49">
        <f>Source!AL301</f>
        <v>96756.76</v>
      </c>
      <c r="G418" s="21" t="str">
        <f>Source!DD301</f>
        <v/>
      </c>
      <c r="H418" s="47">
        <f>Source!AW301</f>
        <v>1</v>
      </c>
      <c r="I418" s="47">
        <f>IF(Source!BC301&lt;&gt; 0, Source!BC301, 1)</f>
        <v>1</v>
      </c>
      <c r="J418" s="49">
        <f>Source!P301</f>
        <v>32703.78</v>
      </c>
      <c r="K418" s="49"/>
    </row>
    <row r="419" spans="1:22" ht="14.25" x14ac:dyDescent="0.2">
      <c r="A419" s="19"/>
      <c r="B419" s="19"/>
      <c r="C419" s="19" t="s">
        <v>699</v>
      </c>
      <c r="D419" s="20" t="s">
        <v>700</v>
      </c>
      <c r="E419" s="47">
        <f>Source!AT301</f>
        <v>70</v>
      </c>
      <c r="F419" s="49"/>
      <c r="G419" s="21"/>
      <c r="H419" s="47"/>
      <c r="I419" s="47"/>
      <c r="J419" s="49">
        <f>SUM(R414:R418)</f>
        <v>6901.73</v>
      </c>
      <c r="K419" s="49"/>
    </row>
    <row r="420" spans="1:22" ht="14.25" x14ac:dyDescent="0.2">
      <c r="A420" s="19"/>
      <c r="B420" s="19"/>
      <c r="C420" s="19" t="s">
        <v>701</v>
      </c>
      <c r="D420" s="20" t="s">
        <v>700</v>
      </c>
      <c r="E420" s="47">
        <f>Source!AU301</f>
        <v>10</v>
      </c>
      <c r="F420" s="49"/>
      <c r="G420" s="21"/>
      <c r="H420" s="47"/>
      <c r="I420" s="47"/>
      <c r="J420" s="49">
        <f>SUM(T414:T419)</f>
        <v>985.96</v>
      </c>
      <c r="K420" s="49"/>
    </row>
    <row r="421" spans="1:22" ht="14.25" x14ac:dyDescent="0.2">
      <c r="A421" s="19"/>
      <c r="B421" s="19"/>
      <c r="C421" s="19" t="s">
        <v>706</v>
      </c>
      <c r="D421" s="20" t="s">
        <v>700</v>
      </c>
      <c r="E421" s="47">
        <f>108</f>
        <v>108</v>
      </c>
      <c r="F421" s="49"/>
      <c r="G421" s="21"/>
      <c r="H421" s="47"/>
      <c r="I421" s="47"/>
      <c r="J421" s="49">
        <f>SUM(V414:V420)</f>
        <v>86.22</v>
      </c>
      <c r="K421" s="49"/>
    </row>
    <row r="422" spans="1:22" ht="14.25" x14ac:dyDescent="0.2">
      <c r="A422" s="19"/>
      <c r="B422" s="19"/>
      <c r="C422" s="19" t="s">
        <v>702</v>
      </c>
      <c r="D422" s="20" t="s">
        <v>703</v>
      </c>
      <c r="E422" s="47">
        <f>Source!AQ301</f>
        <v>96.69</v>
      </c>
      <c r="F422" s="49"/>
      <c r="G422" s="21" t="str">
        <f>Source!DI301</f>
        <v/>
      </c>
      <c r="H422" s="47">
        <f>Source!AV301</f>
        <v>1</v>
      </c>
      <c r="I422" s="47"/>
      <c r="J422" s="49"/>
      <c r="K422" s="49">
        <f>Source!U301</f>
        <v>32.681220000000003</v>
      </c>
    </row>
    <row r="423" spans="1:22" ht="15" x14ac:dyDescent="0.25">
      <c r="A423" s="53"/>
      <c r="B423" s="53"/>
      <c r="C423" s="53"/>
      <c r="D423" s="53"/>
      <c r="E423" s="53"/>
      <c r="F423" s="53"/>
      <c r="G423" s="53"/>
      <c r="H423" s="53"/>
      <c r="I423" s="69">
        <f>J415+J416+J418+J419+J420+J421</f>
        <v>50705.15</v>
      </c>
      <c r="J423" s="69"/>
      <c r="K423" s="51">
        <f>IF(Source!I301&lt;&gt;0, ROUND(I423/Source!I301, 2), 0)</f>
        <v>150015.24</v>
      </c>
      <c r="P423" s="54">
        <f>I423</f>
        <v>50705.15</v>
      </c>
    </row>
    <row r="424" spans="1:22" ht="42.75" x14ac:dyDescent="0.2">
      <c r="A424" s="19">
        <v>62</v>
      </c>
      <c r="B424" s="19" t="str">
        <f>Source!F302</f>
        <v>1.10-3803-1-7/1</v>
      </c>
      <c r="C424" s="19" t="str">
        <f>Source!G302</f>
        <v>Устройство плинтусов из крупноразмерной плитки типа "керамогранит"</v>
      </c>
      <c r="D424" s="20" t="str">
        <f>Source!H302</f>
        <v>100 м</v>
      </c>
      <c r="E424" s="47">
        <f>Source!I302</f>
        <v>0.26100000000000001</v>
      </c>
      <c r="F424" s="49"/>
      <c r="G424" s="21"/>
      <c r="H424" s="47"/>
      <c r="I424" s="47"/>
      <c r="J424" s="49"/>
      <c r="K424" s="49"/>
      <c r="Q424" s="46">
        <f>ROUND((Source!BZ302/100)*ROUND((Source!AF302*Source!AV302)*Source!I302, 2), 2)</f>
        <v>1994.36</v>
      </c>
      <c r="R424" s="46">
        <f>Source!X302</f>
        <v>1994.36</v>
      </c>
      <c r="S424" s="46">
        <f>ROUND((Source!CA302/100)*ROUND((Source!AF302*Source!AV302)*Source!I302, 2), 2)</f>
        <v>284.91000000000003</v>
      </c>
      <c r="T424" s="46">
        <f>Source!Y302</f>
        <v>284.91000000000003</v>
      </c>
      <c r="U424" s="46">
        <f>ROUND((175/100)*ROUND((Source!AE302*Source!AV302)*Source!I302, 2), 2)</f>
        <v>0.12</v>
      </c>
      <c r="V424" s="46">
        <f>ROUND((108/100)*ROUND(Source!CS302*Source!I302, 2), 2)</f>
        <v>0.08</v>
      </c>
    </row>
    <row r="425" spans="1:22" ht="14.25" x14ac:dyDescent="0.2">
      <c r="A425" s="19"/>
      <c r="B425" s="19"/>
      <c r="C425" s="19" t="s">
        <v>697</v>
      </c>
      <c r="D425" s="20"/>
      <c r="E425" s="47"/>
      <c r="F425" s="49">
        <f>Source!AO302</f>
        <v>10916.04</v>
      </c>
      <c r="G425" s="21" t="str">
        <f>Source!DG302</f>
        <v/>
      </c>
      <c r="H425" s="47">
        <f>Source!AV302</f>
        <v>1</v>
      </c>
      <c r="I425" s="47">
        <f>IF(Source!BA302&lt;&gt; 0, Source!BA302, 1)</f>
        <v>1</v>
      </c>
      <c r="J425" s="49">
        <f>Source!S302</f>
        <v>2849.09</v>
      </c>
      <c r="K425" s="49"/>
    </row>
    <row r="426" spans="1:22" ht="14.25" x14ac:dyDescent="0.2">
      <c r="A426" s="19"/>
      <c r="B426" s="19"/>
      <c r="C426" s="19" t="s">
        <v>698</v>
      </c>
      <c r="D426" s="20"/>
      <c r="E426" s="47"/>
      <c r="F426" s="49">
        <f>Source!AM302</f>
        <v>1.69</v>
      </c>
      <c r="G426" s="21" t="str">
        <f>Source!DE302</f>
        <v/>
      </c>
      <c r="H426" s="47">
        <f>Source!AV302</f>
        <v>1</v>
      </c>
      <c r="I426" s="47">
        <f>IF(Source!BB302&lt;&gt; 0, Source!BB302, 1)</f>
        <v>1</v>
      </c>
      <c r="J426" s="49">
        <f>Source!Q302</f>
        <v>0.44</v>
      </c>
      <c r="K426" s="49"/>
    </row>
    <row r="427" spans="1:22" ht="14.25" x14ac:dyDescent="0.2">
      <c r="A427" s="19"/>
      <c r="B427" s="19"/>
      <c r="C427" s="19" t="s">
        <v>705</v>
      </c>
      <c r="D427" s="20"/>
      <c r="E427" s="47"/>
      <c r="F427" s="49">
        <f>Source!AN302</f>
        <v>0.26</v>
      </c>
      <c r="G427" s="21" t="str">
        <f>Source!DF302</f>
        <v/>
      </c>
      <c r="H427" s="47">
        <f>Source!AV302</f>
        <v>1</v>
      </c>
      <c r="I427" s="47">
        <f>IF(Source!BS302&lt;&gt; 0, Source!BS302, 1)</f>
        <v>1</v>
      </c>
      <c r="J427" s="25">
        <f>Source!R302</f>
        <v>7.0000000000000007E-2</v>
      </c>
      <c r="K427" s="49"/>
    </row>
    <row r="428" spans="1:22" ht="14.25" x14ac:dyDescent="0.2">
      <c r="A428" s="19"/>
      <c r="B428" s="19"/>
      <c r="C428" s="19" t="s">
        <v>704</v>
      </c>
      <c r="D428" s="20"/>
      <c r="E428" s="47"/>
      <c r="F428" s="49">
        <f>Source!AL302</f>
        <v>7240.45</v>
      </c>
      <c r="G428" s="21" t="str">
        <f>Source!DD302</f>
        <v/>
      </c>
      <c r="H428" s="47">
        <f>Source!AW302</f>
        <v>1</v>
      </c>
      <c r="I428" s="47">
        <f>IF(Source!BC302&lt;&gt; 0, Source!BC302, 1)</f>
        <v>1</v>
      </c>
      <c r="J428" s="49">
        <f>Source!P302</f>
        <v>1889.76</v>
      </c>
      <c r="K428" s="49"/>
    </row>
    <row r="429" spans="1:22" ht="14.25" x14ac:dyDescent="0.2">
      <c r="A429" s="19"/>
      <c r="B429" s="19"/>
      <c r="C429" s="19" t="s">
        <v>699</v>
      </c>
      <c r="D429" s="20" t="s">
        <v>700</v>
      </c>
      <c r="E429" s="47">
        <f>Source!AT302</f>
        <v>70</v>
      </c>
      <c r="F429" s="49"/>
      <c r="G429" s="21"/>
      <c r="H429" s="47"/>
      <c r="I429" s="47"/>
      <c r="J429" s="49">
        <f>SUM(R424:R428)</f>
        <v>1994.36</v>
      </c>
      <c r="K429" s="49"/>
    </row>
    <row r="430" spans="1:22" ht="14.25" x14ac:dyDescent="0.2">
      <c r="A430" s="19"/>
      <c r="B430" s="19"/>
      <c r="C430" s="19" t="s">
        <v>701</v>
      </c>
      <c r="D430" s="20" t="s">
        <v>700</v>
      </c>
      <c r="E430" s="47">
        <f>Source!AU302</f>
        <v>10</v>
      </c>
      <c r="F430" s="49"/>
      <c r="G430" s="21"/>
      <c r="H430" s="47"/>
      <c r="I430" s="47"/>
      <c r="J430" s="49">
        <f>SUM(T424:T429)</f>
        <v>284.91000000000003</v>
      </c>
      <c r="K430" s="49"/>
    </row>
    <row r="431" spans="1:22" ht="14.25" x14ac:dyDescent="0.2">
      <c r="A431" s="19"/>
      <c r="B431" s="19"/>
      <c r="C431" s="19" t="s">
        <v>706</v>
      </c>
      <c r="D431" s="20" t="s">
        <v>700</v>
      </c>
      <c r="E431" s="47">
        <f>108</f>
        <v>108</v>
      </c>
      <c r="F431" s="49"/>
      <c r="G431" s="21"/>
      <c r="H431" s="47"/>
      <c r="I431" s="47"/>
      <c r="J431" s="49">
        <f>SUM(V424:V430)</f>
        <v>0.08</v>
      </c>
      <c r="K431" s="49"/>
    </row>
    <row r="432" spans="1:22" ht="14.25" x14ac:dyDescent="0.2">
      <c r="A432" s="19"/>
      <c r="B432" s="19"/>
      <c r="C432" s="19" t="s">
        <v>702</v>
      </c>
      <c r="D432" s="20" t="s">
        <v>703</v>
      </c>
      <c r="E432" s="47">
        <f>Source!AQ302</f>
        <v>33.56</v>
      </c>
      <c r="F432" s="49"/>
      <c r="G432" s="21" t="str">
        <f>Source!DI302</f>
        <v/>
      </c>
      <c r="H432" s="47">
        <f>Source!AV302</f>
        <v>1</v>
      </c>
      <c r="I432" s="47"/>
      <c r="J432" s="49"/>
      <c r="K432" s="49">
        <f>Source!U302</f>
        <v>8.7591600000000014</v>
      </c>
    </row>
    <row r="433" spans="1:22" ht="15" x14ac:dyDescent="0.25">
      <c r="A433" s="53"/>
      <c r="B433" s="53"/>
      <c r="C433" s="53"/>
      <c r="D433" s="53"/>
      <c r="E433" s="53"/>
      <c r="F433" s="53"/>
      <c r="G433" s="53"/>
      <c r="H433" s="53"/>
      <c r="I433" s="69">
        <f>J425+J426+J428+J429+J430+J431</f>
        <v>7018.6399999999994</v>
      </c>
      <c r="J433" s="69"/>
      <c r="K433" s="51">
        <f>IF(Source!I302&lt;&gt;0, ROUND(I433/Source!I302, 2), 0)</f>
        <v>26891.34</v>
      </c>
      <c r="P433" s="54">
        <f>I433</f>
        <v>7018.6399999999994</v>
      </c>
    </row>
    <row r="434" spans="1:22" ht="71.25" x14ac:dyDescent="0.2">
      <c r="A434" s="19">
        <v>63</v>
      </c>
      <c r="B434" s="19" t="str">
        <f>Source!F303</f>
        <v>1.13-3303-5-1/1</v>
      </c>
      <c r="C434" s="19" t="str">
        <f>Source!G303</f>
        <v>Настенное покрытие стеклообоями с окраской поливинилацетатными красками за один раз с подготовкой / обои стеклотканевые под покраску для стен и потолков, однослойные</v>
      </c>
      <c r="D434" s="20" t="str">
        <f>Source!H303</f>
        <v>100 м2</v>
      </c>
      <c r="E434" s="47">
        <f>Source!I303</f>
        <v>1.0025999999999999</v>
      </c>
      <c r="F434" s="49"/>
      <c r="G434" s="21"/>
      <c r="H434" s="47"/>
      <c r="I434" s="47"/>
      <c r="J434" s="49"/>
      <c r="K434" s="49"/>
      <c r="Q434" s="46">
        <f>ROUND((Source!BZ303/100)*ROUND((Source!AF303*Source!AV303)*Source!I303, 2), 2)</f>
        <v>40090.019999999997</v>
      </c>
      <c r="R434" s="46">
        <f>Source!X303</f>
        <v>40090.019999999997</v>
      </c>
      <c r="S434" s="46">
        <f>ROUND((Source!CA303/100)*ROUND((Source!AF303*Source!AV303)*Source!I303, 2), 2)</f>
        <v>5727.15</v>
      </c>
      <c r="T434" s="46">
        <f>Source!Y303</f>
        <v>5727.15</v>
      </c>
      <c r="U434" s="46">
        <f>ROUND((175/100)*ROUND((Source!AE303*Source!AV303)*Source!I303, 2), 2)</f>
        <v>0</v>
      </c>
      <c r="V434" s="46">
        <f>ROUND((108/100)*ROUND(Source!CS303*Source!I303, 2), 2)</f>
        <v>0</v>
      </c>
    </row>
    <row r="435" spans="1:22" ht="14.25" x14ac:dyDescent="0.2">
      <c r="A435" s="19"/>
      <c r="B435" s="19"/>
      <c r="C435" s="19" t="s">
        <v>697</v>
      </c>
      <c r="D435" s="20"/>
      <c r="E435" s="47"/>
      <c r="F435" s="49">
        <f>Source!AO303</f>
        <v>57122.94</v>
      </c>
      <c r="G435" s="21" t="str">
        <f>Source!DG303</f>
        <v/>
      </c>
      <c r="H435" s="47">
        <f>Source!AV303</f>
        <v>1</v>
      </c>
      <c r="I435" s="47">
        <f>IF(Source!BA303&lt;&gt; 0, Source!BA303, 1)</f>
        <v>1</v>
      </c>
      <c r="J435" s="49">
        <f>Source!S303</f>
        <v>57271.46</v>
      </c>
      <c r="K435" s="49"/>
    </row>
    <row r="436" spans="1:22" ht="14.25" x14ac:dyDescent="0.2">
      <c r="A436" s="19"/>
      <c r="B436" s="19"/>
      <c r="C436" s="19" t="s">
        <v>704</v>
      </c>
      <c r="D436" s="20"/>
      <c r="E436" s="47"/>
      <c r="F436" s="49">
        <f>Source!AL303</f>
        <v>24441.02</v>
      </c>
      <c r="G436" s="21" t="str">
        <f>Source!DD303</f>
        <v/>
      </c>
      <c r="H436" s="47">
        <f>Source!AW303</f>
        <v>1</v>
      </c>
      <c r="I436" s="47">
        <f>IF(Source!BC303&lt;&gt; 0, Source!BC303, 1)</f>
        <v>1</v>
      </c>
      <c r="J436" s="49">
        <f>Source!P303</f>
        <v>24504.57</v>
      </c>
      <c r="K436" s="49"/>
    </row>
    <row r="437" spans="1:22" ht="14.25" x14ac:dyDescent="0.2">
      <c r="A437" s="19"/>
      <c r="B437" s="19"/>
      <c r="C437" s="19" t="s">
        <v>699</v>
      </c>
      <c r="D437" s="20" t="s">
        <v>700</v>
      </c>
      <c r="E437" s="47">
        <f>Source!AT303</f>
        <v>70</v>
      </c>
      <c r="F437" s="49"/>
      <c r="G437" s="21"/>
      <c r="H437" s="47"/>
      <c r="I437" s="47"/>
      <c r="J437" s="49">
        <f>SUM(R434:R436)</f>
        <v>40090.019999999997</v>
      </c>
      <c r="K437" s="49"/>
    </row>
    <row r="438" spans="1:22" ht="14.25" x14ac:dyDescent="0.2">
      <c r="A438" s="19"/>
      <c r="B438" s="19"/>
      <c r="C438" s="19" t="s">
        <v>701</v>
      </c>
      <c r="D438" s="20" t="s">
        <v>700</v>
      </c>
      <c r="E438" s="47">
        <f>Source!AU303</f>
        <v>10</v>
      </c>
      <c r="F438" s="49"/>
      <c r="G438" s="21"/>
      <c r="H438" s="47"/>
      <c r="I438" s="47"/>
      <c r="J438" s="49">
        <f>SUM(T434:T437)</f>
        <v>5727.15</v>
      </c>
      <c r="K438" s="49"/>
    </row>
    <row r="439" spans="1:22" ht="14.25" x14ac:dyDescent="0.2">
      <c r="A439" s="19"/>
      <c r="B439" s="19"/>
      <c r="C439" s="19" t="s">
        <v>702</v>
      </c>
      <c r="D439" s="20" t="s">
        <v>703</v>
      </c>
      <c r="E439" s="47">
        <f>Source!AQ303</f>
        <v>180.55</v>
      </c>
      <c r="F439" s="49"/>
      <c r="G439" s="21" t="str">
        <f>Source!DI303</f>
        <v/>
      </c>
      <c r="H439" s="47">
        <f>Source!AV303</f>
        <v>1</v>
      </c>
      <c r="I439" s="47"/>
      <c r="J439" s="49"/>
      <c r="K439" s="49">
        <f>Source!U303</f>
        <v>181.01943</v>
      </c>
    </row>
    <row r="440" spans="1:22" ht="15" x14ac:dyDescent="0.25">
      <c r="A440" s="53"/>
      <c r="B440" s="53"/>
      <c r="C440" s="53"/>
      <c r="D440" s="53"/>
      <c r="E440" s="53"/>
      <c r="F440" s="53"/>
      <c r="G440" s="53"/>
      <c r="H440" s="53"/>
      <c r="I440" s="69">
        <f>J435+J436+J437+J438</f>
        <v>127593.19999999998</v>
      </c>
      <c r="J440" s="69"/>
      <c r="K440" s="51">
        <f>IF(Source!I303&lt;&gt;0, ROUND(I440/Source!I303, 2), 0)</f>
        <v>127262.32</v>
      </c>
      <c r="P440" s="54">
        <f>I440</f>
        <v>127593.19999999998</v>
      </c>
    </row>
    <row r="441" spans="1:22" ht="57" x14ac:dyDescent="0.2">
      <c r="A441" s="19">
        <v>64</v>
      </c>
      <c r="B441" s="19" t="str">
        <f>Source!F304</f>
        <v>1.13-3303-5-3/1</v>
      </c>
      <c r="C441" s="19" t="str">
        <f>Source!G304</f>
        <v>Добавляется на окраску поливинилацетатными красками стеклообоев на каждый последующий слой к поз. 13-3303-5-1, 13-3303-5-2</v>
      </c>
      <c r="D441" s="20" t="str">
        <f>Source!H304</f>
        <v>100 м2</v>
      </c>
      <c r="E441" s="47">
        <f>Source!I304</f>
        <v>1.0025999999999999</v>
      </c>
      <c r="F441" s="49"/>
      <c r="G441" s="21"/>
      <c r="H441" s="47"/>
      <c r="I441" s="47"/>
      <c r="J441" s="49"/>
      <c r="K441" s="49"/>
      <c r="Q441" s="46">
        <f>ROUND((Source!BZ304/100)*ROUND((Source!AF304*Source!AV304)*Source!I304, 2), 2)</f>
        <v>1388.95</v>
      </c>
      <c r="R441" s="46">
        <f>Source!X304</f>
        <v>1388.95</v>
      </c>
      <c r="S441" s="46">
        <f>ROUND((Source!CA304/100)*ROUND((Source!AF304*Source!AV304)*Source!I304, 2), 2)</f>
        <v>198.42</v>
      </c>
      <c r="T441" s="46">
        <f>Source!Y304</f>
        <v>198.42</v>
      </c>
      <c r="U441" s="46">
        <f>ROUND((175/100)*ROUND((Source!AE304*Source!AV304)*Source!I304, 2), 2)</f>
        <v>0</v>
      </c>
      <c r="V441" s="46">
        <f>ROUND((108/100)*ROUND(Source!CS304*Source!I304, 2), 2)</f>
        <v>0</v>
      </c>
    </row>
    <row r="442" spans="1:22" ht="14.25" x14ac:dyDescent="0.2">
      <c r="A442" s="19"/>
      <c r="B442" s="19"/>
      <c r="C442" s="19" t="s">
        <v>697</v>
      </c>
      <c r="D442" s="20"/>
      <c r="E442" s="47"/>
      <c r="F442" s="49">
        <f>Source!AO304</f>
        <v>1979.07</v>
      </c>
      <c r="G442" s="21" t="str">
        <f>Source!DG304</f>
        <v/>
      </c>
      <c r="H442" s="47">
        <f>Source!AV304</f>
        <v>1</v>
      </c>
      <c r="I442" s="47">
        <f>IF(Source!BA304&lt;&gt; 0, Source!BA304, 1)</f>
        <v>1</v>
      </c>
      <c r="J442" s="49">
        <f>Source!S304</f>
        <v>1984.22</v>
      </c>
      <c r="K442" s="49"/>
    </row>
    <row r="443" spans="1:22" ht="14.25" x14ac:dyDescent="0.2">
      <c r="A443" s="19"/>
      <c r="B443" s="19"/>
      <c r="C443" s="19" t="s">
        <v>704</v>
      </c>
      <c r="D443" s="20"/>
      <c r="E443" s="47"/>
      <c r="F443" s="49">
        <f>Source!AL304</f>
        <v>1527.29</v>
      </c>
      <c r="G443" s="21" t="str">
        <f>Source!DD304</f>
        <v/>
      </c>
      <c r="H443" s="47">
        <f>Source!AW304</f>
        <v>1</v>
      </c>
      <c r="I443" s="47">
        <f>IF(Source!BC304&lt;&gt; 0, Source!BC304, 1)</f>
        <v>1</v>
      </c>
      <c r="J443" s="49">
        <f>Source!P304</f>
        <v>1531.26</v>
      </c>
      <c r="K443" s="49"/>
    </row>
    <row r="444" spans="1:22" ht="14.25" x14ac:dyDescent="0.2">
      <c r="A444" s="19"/>
      <c r="B444" s="19"/>
      <c r="C444" s="19" t="s">
        <v>699</v>
      </c>
      <c r="D444" s="20" t="s">
        <v>700</v>
      </c>
      <c r="E444" s="47">
        <f>Source!AT304</f>
        <v>70</v>
      </c>
      <c r="F444" s="49"/>
      <c r="G444" s="21"/>
      <c r="H444" s="47"/>
      <c r="I444" s="47"/>
      <c r="J444" s="49">
        <f>SUM(R441:R443)</f>
        <v>1388.95</v>
      </c>
      <c r="K444" s="49"/>
    </row>
    <row r="445" spans="1:22" ht="14.25" x14ac:dyDescent="0.2">
      <c r="A445" s="19"/>
      <c r="B445" s="19"/>
      <c r="C445" s="19" t="s">
        <v>701</v>
      </c>
      <c r="D445" s="20" t="s">
        <v>700</v>
      </c>
      <c r="E445" s="47">
        <f>Source!AU304</f>
        <v>10</v>
      </c>
      <c r="F445" s="49"/>
      <c r="G445" s="21"/>
      <c r="H445" s="47"/>
      <c r="I445" s="47"/>
      <c r="J445" s="49">
        <f>SUM(T441:T444)</f>
        <v>198.42</v>
      </c>
      <c r="K445" s="49"/>
    </row>
    <row r="446" spans="1:22" ht="14.25" x14ac:dyDescent="0.2">
      <c r="A446" s="19"/>
      <c r="B446" s="19"/>
      <c r="C446" s="19" t="s">
        <v>702</v>
      </c>
      <c r="D446" s="20" t="s">
        <v>703</v>
      </c>
      <c r="E446" s="47">
        <f>Source!AQ304</f>
        <v>6.31</v>
      </c>
      <c r="F446" s="49"/>
      <c r="G446" s="21" t="str">
        <f>Source!DI304</f>
        <v/>
      </c>
      <c r="H446" s="47">
        <f>Source!AV304</f>
        <v>1</v>
      </c>
      <c r="I446" s="47"/>
      <c r="J446" s="49"/>
      <c r="K446" s="49">
        <f>Source!U304</f>
        <v>6.3264059999999995</v>
      </c>
    </row>
    <row r="447" spans="1:22" ht="15" x14ac:dyDescent="0.25">
      <c r="A447" s="53"/>
      <c r="B447" s="53"/>
      <c r="C447" s="53"/>
      <c r="D447" s="53"/>
      <c r="E447" s="53"/>
      <c r="F447" s="53"/>
      <c r="G447" s="53"/>
      <c r="H447" s="53"/>
      <c r="I447" s="69">
        <f>J442+J443+J444+J445</f>
        <v>5102.8500000000004</v>
      </c>
      <c r="J447" s="69"/>
      <c r="K447" s="51">
        <f>IF(Source!I304&lt;&gt;0, ROUND(I447/Source!I304, 2), 0)</f>
        <v>5089.62</v>
      </c>
      <c r="P447" s="54">
        <f>I447</f>
        <v>5102.8500000000004</v>
      </c>
    </row>
    <row r="449" spans="1:22" ht="15" x14ac:dyDescent="0.25">
      <c r="A449" s="73" t="str">
        <f>CONCATENATE("Итого по подразделу: ",IF(Source!G306&lt;&gt;"Новый подраздел", Source!G306, ""))</f>
        <v>Итого по подразделу: 2.2 Ремонтно-строительные работы</v>
      </c>
      <c r="B449" s="73"/>
      <c r="C449" s="73"/>
      <c r="D449" s="73"/>
      <c r="E449" s="73"/>
      <c r="F449" s="73"/>
      <c r="G449" s="73"/>
      <c r="H449" s="73"/>
      <c r="I449" s="71">
        <f>SUM(P383:P448)</f>
        <v>286108.96999999997</v>
      </c>
      <c r="J449" s="72"/>
      <c r="K449" s="26"/>
    </row>
    <row r="452" spans="1:22" ht="16.5" x14ac:dyDescent="0.25">
      <c r="A452" s="70" t="str">
        <f>CONCATENATE("Подраздел: ",IF(Source!G336&lt;&gt;"Новый подраздел", Source!G336, ""))</f>
        <v>Подраздел: 2.3 Сантехнические работы</v>
      </c>
      <c r="B452" s="70"/>
      <c r="C452" s="70"/>
      <c r="D452" s="70"/>
      <c r="E452" s="70"/>
      <c r="F452" s="70"/>
      <c r="G452" s="70"/>
      <c r="H452" s="70"/>
      <c r="I452" s="70"/>
      <c r="J452" s="70"/>
      <c r="K452" s="70"/>
    </row>
    <row r="453" spans="1:22" ht="57" x14ac:dyDescent="0.2">
      <c r="A453" s="19">
        <v>65</v>
      </c>
      <c r="B453" s="19" t="str">
        <f>Source!F340</f>
        <v>1.17-3303-1-2/5</v>
      </c>
      <c r="C453" s="19" t="str">
        <f>Source!G340</f>
        <v>Установка радиаторов биметаллических "Рифар" / 10 секций, размеры 261х100х800 мм, теплоотдача 1010 Вт</v>
      </c>
      <c r="D453" s="20" t="str">
        <f>Source!H340</f>
        <v>100 квт</v>
      </c>
      <c r="E453" s="47">
        <f>Source!I340</f>
        <v>3.9199999999999999E-2</v>
      </c>
      <c r="F453" s="49"/>
      <c r="G453" s="21"/>
      <c r="H453" s="47"/>
      <c r="I453" s="47"/>
      <c r="J453" s="49"/>
      <c r="K453" s="49"/>
      <c r="Q453" s="46">
        <f>ROUND((Source!BZ340/100)*ROUND((Source!AF340*Source!AV340)*Source!I340, 2), 2)</f>
        <v>562.32000000000005</v>
      </c>
      <c r="R453" s="46">
        <f>Source!X340</f>
        <v>562.32000000000005</v>
      </c>
      <c r="S453" s="46">
        <f>ROUND((Source!CA340/100)*ROUND((Source!AF340*Source!AV340)*Source!I340, 2), 2)</f>
        <v>80.33</v>
      </c>
      <c r="T453" s="46">
        <f>Source!Y340</f>
        <v>80.33</v>
      </c>
      <c r="U453" s="46">
        <f>ROUND((175/100)*ROUND((Source!AE340*Source!AV340)*Source!I340, 2), 2)</f>
        <v>0.02</v>
      </c>
      <c r="V453" s="46">
        <f>ROUND((108/100)*ROUND(Source!CS340*Source!I340, 2), 2)</f>
        <v>0.01</v>
      </c>
    </row>
    <row r="454" spans="1:22" x14ac:dyDescent="0.2">
      <c r="C454" s="23" t="str">
        <f>"Объем: "&amp;Source!I340&amp;"=1,96*"&amp;"2/"&amp;"100"</f>
        <v>Объем: 0,0392=1,96*2/100</v>
      </c>
    </row>
    <row r="455" spans="1:22" ht="14.25" x14ac:dyDescent="0.2">
      <c r="A455" s="19"/>
      <c r="B455" s="19"/>
      <c r="C455" s="19" t="s">
        <v>697</v>
      </c>
      <c r="D455" s="20"/>
      <c r="E455" s="47"/>
      <c r="F455" s="49">
        <f>Source!AO340</f>
        <v>20492.66</v>
      </c>
      <c r="G455" s="21" t="str">
        <f>Source!DG340</f>
        <v/>
      </c>
      <c r="H455" s="47">
        <f>Source!AV340</f>
        <v>1</v>
      </c>
      <c r="I455" s="47">
        <f>IF(Source!BA340&lt;&gt; 0, Source!BA340, 1)</f>
        <v>1</v>
      </c>
      <c r="J455" s="49">
        <f>Source!S340</f>
        <v>803.31</v>
      </c>
      <c r="K455" s="49"/>
    </row>
    <row r="456" spans="1:22" ht="14.25" x14ac:dyDescent="0.2">
      <c r="A456" s="19"/>
      <c r="B456" s="19"/>
      <c r="C456" s="19" t="s">
        <v>698</v>
      </c>
      <c r="D456" s="20"/>
      <c r="E456" s="47"/>
      <c r="F456" s="49">
        <f>Source!AM340</f>
        <v>2.1</v>
      </c>
      <c r="G456" s="21" t="str">
        <f>Source!DE340</f>
        <v/>
      </c>
      <c r="H456" s="47">
        <f>Source!AV340</f>
        <v>1</v>
      </c>
      <c r="I456" s="47">
        <f>IF(Source!BB340&lt;&gt; 0, Source!BB340, 1)</f>
        <v>1</v>
      </c>
      <c r="J456" s="49">
        <f>Source!Q340</f>
        <v>0.08</v>
      </c>
      <c r="K456" s="49"/>
    </row>
    <row r="457" spans="1:22" ht="14.25" x14ac:dyDescent="0.2">
      <c r="A457" s="19"/>
      <c r="B457" s="19"/>
      <c r="C457" s="19" t="s">
        <v>705</v>
      </c>
      <c r="D457" s="20"/>
      <c r="E457" s="47"/>
      <c r="F457" s="49">
        <f>Source!AN340</f>
        <v>0.32</v>
      </c>
      <c r="G457" s="21" t="str">
        <f>Source!DF340</f>
        <v/>
      </c>
      <c r="H457" s="47">
        <f>Source!AV340</f>
        <v>1</v>
      </c>
      <c r="I457" s="47">
        <f>IF(Source!BS340&lt;&gt; 0, Source!BS340, 1)</f>
        <v>1</v>
      </c>
      <c r="J457" s="25">
        <f>Source!R340</f>
        <v>0.01</v>
      </c>
      <c r="K457" s="49"/>
    </row>
    <row r="458" spans="1:22" ht="14.25" x14ac:dyDescent="0.2">
      <c r="A458" s="19"/>
      <c r="B458" s="19"/>
      <c r="C458" s="19" t="s">
        <v>704</v>
      </c>
      <c r="D458" s="20"/>
      <c r="E458" s="47"/>
      <c r="F458" s="49">
        <f>Source!AL340</f>
        <v>775129.57</v>
      </c>
      <c r="G458" s="21" t="str">
        <f>Source!DD340</f>
        <v/>
      </c>
      <c r="H458" s="47">
        <f>Source!AW340</f>
        <v>1</v>
      </c>
      <c r="I458" s="47">
        <f>IF(Source!BC340&lt;&gt; 0, Source!BC340, 1)</f>
        <v>1</v>
      </c>
      <c r="J458" s="49">
        <f>Source!P340</f>
        <v>30385.08</v>
      </c>
      <c r="K458" s="49"/>
    </row>
    <row r="459" spans="1:22" ht="71.25" x14ac:dyDescent="0.2">
      <c r="A459" s="19">
        <v>66</v>
      </c>
      <c r="B459" s="19" t="str">
        <f>Source!F341</f>
        <v>21.18-4-174</v>
      </c>
      <c r="C459" s="19" t="str">
        <f>Source!G341</f>
        <v>Радиаторы биметаллические секционные "Рифар", межосевое расстояние 200 мм, 10 секций, размеры 261х100х800 мм, теплоотдача 1010 Вт</v>
      </c>
      <c r="D459" s="20" t="str">
        <f>Source!H341</f>
        <v>шт.</v>
      </c>
      <c r="E459" s="47">
        <f>Source!I341</f>
        <v>-3.881192</v>
      </c>
      <c r="F459" s="49">
        <f>Source!AK341</f>
        <v>7758.26</v>
      </c>
      <c r="G459" s="24" t="s">
        <v>3</v>
      </c>
      <c r="H459" s="47">
        <f>Source!AW341</f>
        <v>1</v>
      </c>
      <c r="I459" s="47">
        <f>IF(Source!BC341&lt;&gt; 0, Source!BC341, 1)</f>
        <v>1</v>
      </c>
      <c r="J459" s="49">
        <f>Source!O341</f>
        <v>-30111.3</v>
      </c>
      <c r="K459" s="49"/>
      <c r="Q459" s="46">
        <f>ROUND((Source!BZ341/100)*ROUND((Source!AF341*Source!AV341)*Source!I341, 2), 2)</f>
        <v>0</v>
      </c>
      <c r="R459" s="46">
        <f>Source!X341</f>
        <v>0</v>
      </c>
      <c r="S459" s="46">
        <f>ROUND((Source!CA341/100)*ROUND((Source!AF341*Source!AV341)*Source!I341, 2), 2)</f>
        <v>0</v>
      </c>
      <c r="T459" s="46">
        <f>Source!Y341</f>
        <v>0</v>
      </c>
      <c r="U459" s="46">
        <f>ROUND((175/100)*ROUND((Source!AE341*Source!AV341)*Source!I341, 2), 2)</f>
        <v>0</v>
      </c>
      <c r="V459" s="46">
        <f>ROUND((108/100)*ROUND(Source!CS341*Source!I341, 2), 2)</f>
        <v>0</v>
      </c>
    </row>
    <row r="460" spans="1:22" ht="42.75" x14ac:dyDescent="0.2">
      <c r="A460" s="19">
        <v>67</v>
      </c>
      <c r="B460" s="19" t="str">
        <f>Source!F342</f>
        <v>Цена поставщика</v>
      </c>
      <c r="C460" s="19" t="str">
        <f>Source!G342</f>
        <v>Радиатор Rifar Monolit 500/100 биметалл 10 секций или эквивалент</v>
      </c>
      <c r="D460" s="20" t="str">
        <f>Source!H342</f>
        <v>шт.</v>
      </c>
      <c r="E460" s="47">
        <f>Source!I342</f>
        <v>3</v>
      </c>
      <c r="F460" s="49">
        <f>Source!AK342</f>
        <v>12673.5</v>
      </c>
      <c r="G460" s="24" t="s">
        <v>3</v>
      </c>
      <c r="H460" s="47">
        <f>Source!AW342</f>
        <v>1</v>
      </c>
      <c r="I460" s="47">
        <f>IF(Source!BC342&lt;&gt; 0, Source!BC342, 1)</f>
        <v>1</v>
      </c>
      <c r="J460" s="49">
        <f>Source!O342</f>
        <v>38020.5</v>
      </c>
      <c r="K460" s="49"/>
      <c r="Q460" s="46">
        <f>ROUND((Source!BZ342/100)*ROUND((Source!AF342*Source!AV342)*Source!I342, 2), 2)</f>
        <v>0</v>
      </c>
      <c r="R460" s="46">
        <f>Source!X342</f>
        <v>0</v>
      </c>
      <c r="S460" s="46">
        <f>ROUND((Source!CA342/100)*ROUND((Source!AF342*Source!AV342)*Source!I342, 2), 2)</f>
        <v>0</v>
      </c>
      <c r="T460" s="46">
        <f>Source!Y342</f>
        <v>0</v>
      </c>
      <c r="U460" s="46">
        <f>ROUND((175/100)*ROUND((Source!AE342*Source!AV342)*Source!I342, 2), 2)</f>
        <v>0</v>
      </c>
      <c r="V460" s="46">
        <f>ROUND((108/100)*ROUND(Source!CS342*Source!I342, 2), 2)</f>
        <v>0</v>
      </c>
    </row>
    <row r="461" spans="1:22" ht="28.5" x14ac:dyDescent="0.2">
      <c r="A461" s="19">
        <v>68</v>
      </c>
      <c r="B461" s="19" t="str">
        <f>Source!F343</f>
        <v>21.12-10-20</v>
      </c>
      <c r="C461" s="19" t="str">
        <f>Source!G343</f>
        <v>Кронштейны для крепления отопительных приборов, марка КР1-РС</v>
      </c>
      <c r="D461" s="20" t="str">
        <f>Source!H343</f>
        <v>компл.</v>
      </c>
      <c r="E461" s="47">
        <f>Source!I343</f>
        <v>-1.73264</v>
      </c>
      <c r="F461" s="49">
        <f>Source!AK343</f>
        <v>131.81</v>
      </c>
      <c r="G461" s="24" t="s">
        <v>3</v>
      </c>
      <c r="H461" s="47">
        <f>Source!AW343</f>
        <v>1</v>
      </c>
      <c r="I461" s="47">
        <f>IF(Source!BC343&lt;&gt; 0, Source!BC343, 1)</f>
        <v>1</v>
      </c>
      <c r="J461" s="49">
        <f>Source!O343</f>
        <v>-228.38</v>
      </c>
      <c r="K461" s="49"/>
      <c r="Q461" s="46">
        <f>ROUND((Source!BZ343/100)*ROUND((Source!AF343*Source!AV343)*Source!I343, 2), 2)</f>
        <v>0</v>
      </c>
      <c r="R461" s="46">
        <f>Source!X343</f>
        <v>0</v>
      </c>
      <c r="S461" s="46">
        <f>ROUND((Source!CA343/100)*ROUND((Source!AF343*Source!AV343)*Source!I343, 2), 2)</f>
        <v>0</v>
      </c>
      <c r="T461" s="46">
        <f>Source!Y343</f>
        <v>0</v>
      </c>
      <c r="U461" s="46">
        <f>ROUND((175/100)*ROUND((Source!AE343*Source!AV343)*Source!I343, 2), 2)</f>
        <v>0</v>
      </c>
      <c r="V461" s="46">
        <f>ROUND((108/100)*ROUND(Source!CS343*Source!I343, 2), 2)</f>
        <v>0</v>
      </c>
    </row>
    <row r="462" spans="1:22" ht="42.75" x14ac:dyDescent="0.2">
      <c r="A462" s="19">
        <v>69</v>
      </c>
      <c r="B462" s="19" t="str">
        <f>Source!F344</f>
        <v>21.12-10-45</v>
      </c>
      <c r="C462" s="19" t="str">
        <f>Source!G344</f>
        <v>Кронштейны для крепления отопительных приборов, марка КРД, длина 131 мм</v>
      </c>
      <c r="D462" s="20" t="str">
        <f>Source!H344</f>
        <v>шт.</v>
      </c>
      <c r="E462" s="47">
        <f>Source!I344</f>
        <v>6</v>
      </c>
      <c r="F462" s="49">
        <f>Source!AK344</f>
        <v>51.23</v>
      </c>
      <c r="G462" s="24" t="s">
        <v>3</v>
      </c>
      <c r="H462" s="47">
        <f>Source!AW344</f>
        <v>1</v>
      </c>
      <c r="I462" s="47">
        <f>IF(Source!BC344&lt;&gt; 0, Source!BC344, 1)</f>
        <v>1</v>
      </c>
      <c r="J462" s="49">
        <f>Source!O344</f>
        <v>307.38</v>
      </c>
      <c r="K462" s="49"/>
      <c r="Q462" s="46">
        <f>ROUND((Source!BZ344/100)*ROUND((Source!AF344*Source!AV344)*Source!I344, 2), 2)</f>
        <v>0</v>
      </c>
      <c r="R462" s="46">
        <f>Source!X344</f>
        <v>0</v>
      </c>
      <c r="S462" s="46">
        <f>ROUND((Source!CA344/100)*ROUND((Source!AF344*Source!AV344)*Source!I344, 2), 2)</f>
        <v>0</v>
      </c>
      <c r="T462" s="46">
        <f>Source!Y344</f>
        <v>0</v>
      </c>
      <c r="U462" s="46">
        <f>ROUND((175/100)*ROUND((Source!AE344*Source!AV344)*Source!I344, 2), 2)</f>
        <v>0</v>
      </c>
      <c r="V462" s="46">
        <f>ROUND((108/100)*ROUND(Source!CS344*Source!I344, 2), 2)</f>
        <v>0</v>
      </c>
    </row>
    <row r="463" spans="1:22" ht="14.25" x14ac:dyDescent="0.2">
      <c r="A463" s="19"/>
      <c r="B463" s="19"/>
      <c r="C463" s="19" t="s">
        <v>699</v>
      </c>
      <c r="D463" s="20" t="s">
        <v>700</v>
      </c>
      <c r="E463" s="47">
        <f>Source!AT340</f>
        <v>70</v>
      </c>
      <c r="F463" s="49"/>
      <c r="G463" s="21"/>
      <c r="H463" s="47"/>
      <c r="I463" s="47"/>
      <c r="J463" s="49">
        <f>SUM(R453:R462)</f>
        <v>562.32000000000005</v>
      </c>
      <c r="K463" s="49"/>
    </row>
    <row r="464" spans="1:22" ht="14.25" x14ac:dyDescent="0.2">
      <c r="A464" s="19"/>
      <c r="B464" s="19"/>
      <c r="C464" s="19" t="s">
        <v>701</v>
      </c>
      <c r="D464" s="20" t="s">
        <v>700</v>
      </c>
      <c r="E464" s="47">
        <f>Source!AU340</f>
        <v>10</v>
      </c>
      <c r="F464" s="49"/>
      <c r="G464" s="21"/>
      <c r="H464" s="47"/>
      <c r="I464" s="47"/>
      <c r="J464" s="49">
        <f>SUM(T453:T463)</f>
        <v>80.33</v>
      </c>
      <c r="K464" s="49"/>
    </row>
    <row r="465" spans="1:22" ht="14.25" x14ac:dyDescent="0.2">
      <c r="A465" s="19"/>
      <c r="B465" s="19"/>
      <c r="C465" s="19" t="s">
        <v>706</v>
      </c>
      <c r="D465" s="20" t="s">
        <v>700</v>
      </c>
      <c r="E465" s="47">
        <f>108</f>
        <v>108</v>
      </c>
      <c r="F465" s="49"/>
      <c r="G465" s="21"/>
      <c r="H465" s="47"/>
      <c r="I465" s="47"/>
      <c r="J465" s="49">
        <f>SUM(V453:V464)</f>
        <v>0.01</v>
      </c>
      <c r="K465" s="49"/>
    </row>
    <row r="466" spans="1:22" ht="14.25" x14ac:dyDescent="0.2">
      <c r="A466" s="19"/>
      <c r="B466" s="19"/>
      <c r="C466" s="19" t="s">
        <v>702</v>
      </c>
      <c r="D466" s="20" t="s">
        <v>703</v>
      </c>
      <c r="E466" s="47">
        <f>Source!AQ340</f>
        <v>67.959999999999994</v>
      </c>
      <c r="F466" s="49"/>
      <c r="G466" s="21" t="str">
        <f>Source!DI340</f>
        <v/>
      </c>
      <c r="H466" s="47">
        <f>Source!AV340</f>
        <v>1</v>
      </c>
      <c r="I466" s="47"/>
      <c r="J466" s="49"/>
      <c r="K466" s="49">
        <f>Source!U340</f>
        <v>2.6640319999999997</v>
      </c>
    </row>
    <row r="467" spans="1:22" ht="15" x14ac:dyDescent="0.25">
      <c r="A467" s="53"/>
      <c r="B467" s="53"/>
      <c r="C467" s="53"/>
      <c r="D467" s="53"/>
      <c r="E467" s="53"/>
      <c r="F467" s="53"/>
      <c r="G467" s="53"/>
      <c r="H467" s="53"/>
      <c r="I467" s="69">
        <f>J455+J456+J458+J463+J464+J465+SUM(J459:J462)</f>
        <v>39819.33</v>
      </c>
      <c r="J467" s="69"/>
      <c r="K467" s="51">
        <f>IF(Source!I340&lt;&gt;0, ROUND(I467/Source!I340, 2), 0)</f>
        <v>1015799.23</v>
      </c>
      <c r="P467" s="54">
        <f>I467</f>
        <v>39819.33</v>
      </c>
    </row>
    <row r="468" spans="1:22" ht="71.25" x14ac:dyDescent="0.2">
      <c r="A468" s="19">
        <v>70</v>
      </c>
      <c r="B468" s="19" t="str">
        <f>Source!F345</f>
        <v>1.17-3203-1-2/1</v>
      </c>
      <c r="C468" s="19" t="str">
        <f>Source!G345</f>
        <v>Прокладка трубопроводов отопления из стальных водогазопроводных неоцинкованных труб диаметром 20 мм (без стоимости арматуры и креплений)</v>
      </c>
      <c r="D468" s="20" t="str">
        <f>Source!H345</f>
        <v>100 м</v>
      </c>
      <c r="E468" s="47">
        <f>Source!I345</f>
        <v>0.15</v>
      </c>
      <c r="F468" s="49"/>
      <c r="G468" s="21"/>
      <c r="H468" s="47"/>
      <c r="I468" s="47"/>
      <c r="J468" s="49"/>
      <c r="K468" s="49"/>
      <c r="Q468" s="46">
        <f>ROUND((Source!BZ345/100)*ROUND((Source!AF345*Source!AV345)*Source!I345, 2), 2)</f>
        <v>1190.1300000000001</v>
      </c>
      <c r="R468" s="46">
        <f>Source!X345</f>
        <v>1190.1300000000001</v>
      </c>
      <c r="S468" s="46">
        <f>ROUND((Source!CA345/100)*ROUND((Source!AF345*Source!AV345)*Source!I345, 2), 2)</f>
        <v>170.02</v>
      </c>
      <c r="T468" s="46">
        <f>Source!Y345</f>
        <v>170.02</v>
      </c>
      <c r="U468" s="46">
        <f>ROUND((175/100)*ROUND((Source!AE345*Source!AV345)*Source!I345, 2), 2)</f>
        <v>0.05</v>
      </c>
      <c r="V468" s="46">
        <f>ROUND((108/100)*ROUND(Source!CS345*Source!I345, 2), 2)</f>
        <v>0.03</v>
      </c>
    </row>
    <row r="469" spans="1:22" ht="14.25" x14ac:dyDescent="0.2">
      <c r="A469" s="19"/>
      <c r="B469" s="19"/>
      <c r="C469" s="19" t="s">
        <v>697</v>
      </c>
      <c r="D469" s="20"/>
      <c r="E469" s="47"/>
      <c r="F469" s="49">
        <f>Source!AO345</f>
        <v>11334.63</v>
      </c>
      <c r="G469" s="21" t="str">
        <f>Source!DG345</f>
        <v/>
      </c>
      <c r="H469" s="47">
        <f>Source!AV345</f>
        <v>1</v>
      </c>
      <c r="I469" s="47">
        <f>IF(Source!BA345&lt;&gt; 0, Source!BA345, 1)</f>
        <v>1</v>
      </c>
      <c r="J469" s="49">
        <f>Source!S345</f>
        <v>1700.19</v>
      </c>
      <c r="K469" s="49"/>
    </row>
    <row r="470" spans="1:22" ht="14.25" x14ac:dyDescent="0.2">
      <c r="A470" s="19"/>
      <c r="B470" s="19"/>
      <c r="C470" s="19" t="s">
        <v>698</v>
      </c>
      <c r="D470" s="20"/>
      <c r="E470" s="47"/>
      <c r="F470" s="49">
        <f>Source!AM345</f>
        <v>7.85</v>
      </c>
      <c r="G470" s="21" t="str">
        <f>Source!DE345</f>
        <v/>
      </c>
      <c r="H470" s="47">
        <f>Source!AV345</f>
        <v>1</v>
      </c>
      <c r="I470" s="47">
        <f>IF(Source!BB345&lt;&gt; 0, Source!BB345, 1)</f>
        <v>1</v>
      </c>
      <c r="J470" s="49">
        <f>Source!Q345</f>
        <v>1.18</v>
      </c>
      <c r="K470" s="49"/>
    </row>
    <row r="471" spans="1:22" ht="14.25" x14ac:dyDescent="0.2">
      <c r="A471" s="19"/>
      <c r="B471" s="19"/>
      <c r="C471" s="19" t="s">
        <v>705</v>
      </c>
      <c r="D471" s="20"/>
      <c r="E471" s="47"/>
      <c r="F471" s="49">
        <f>Source!AN345</f>
        <v>0.22</v>
      </c>
      <c r="G471" s="21" t="str">
        <f>Source!DF345</f>
        <v/>
      </c>
      <c r="H471" s="47">
        <f>Source!AV345</f>
        <v>1</v>
      </c>
      <c r="I471" s="47">
        <f>IF(Source!BS345&lt;&gt; 0, Source!BS345, 1)</f>
        <v>1</v>
      </c>
      <c r="J471" s="25">
        <f>Source!R345</f>
        <v>0.03</v>
      </c>
      <c r="K471" s="49"/>
    </row>
    <row r="472" spans="1:22" ht="14.25" x14ac:dyDescent="0.2">
      <c r="A472" s="19"/>
      <c r="B472" s="19"/>
      <c r="C472" s="19" t="s">
        <v>704</v>
      </c>
      <c r="D472" s="20"/>
      <c r="E472" s="47"/>
      <c r="F472" s="49">
        <f>Source!AL345</f>
        <v>34399.51</v>
      </c>
      <c r="G472" s="21" t="str">
        <f>Source!DD345</f>
        <v/>
      </c>
      <c r="H472" s="47">
        <f>Source!AW345</f>
        <v>1</v>
      </c>
      <c r="I472" s="47">
        <f>IF(Source!BC345&lt;&gt; 0, Source!BC345, 1)</f>
        <v>1</v>
      </c>
      <c r="J472" s="49">
        <f>Source!P345</f>
        <v>5159.93</v>
      </c>
      <c r="K472" s="49"/>
    </row>
    <row r="473" spans="1:22" ht="71.25" x14ac:dyDescent="0.2">
      <c r="A473" s="19">
        <v>71</v>
      </c>
      <c r="B473" s="19" t="str">
        <f>Source!F346</f>
        <v>21.3-4-19</v>
      </c>
      <c r="C473" s="19" t="str">
        <f>Source!G346</f>
        <v>Арматурные заготовки (стержни, хомуты и т.п.), не собранные в каркасы или сетки, арматурная сталь периодического профиля, класс А-III, диаметр 20-22 мм</v>
      </c>
      <c r="D473" s="20" t="str">
        <f>Source!H346</f>
        <v>т</v>
      </c>
      <c r="E473" s="47">
        <f>Source!I346</f>
        <v>2.0250000000000001E-2</v>
      </c>
      <c r="F473" s="49">
        <f>Source!AK346</f>
        <v>71207.520000000004</v>
      </c>
      <c r="G473" s="24" t="s">
        <v>3</v>
      </c>
      <c r="H473" s="47">
        <f>Source!AW346</f>
        <v>1</v>
      </c>
      <c r="I473" s="47">
        <f>IF(Source!BC346&lt;&gt; 0, Source!BC346, 1)</f>
        <v>1</v>
      </c>
      <c r="J473" s="49">
        <f>Source!O346</f>
        <v>1441.95</v>
      </c>
      <c r="K473" s="49"/>
      <c r="Q473" s="46">
        <f>ROUND((Source!BZ346/100)*ROUND((Source!AF346*Source!AV346)*Source!I346, 2), 2)</f>
        <v>0</v>
      </c>
      <c r="R473" s="46">
        <f>Source!X346</f>
        <v>0</v>
      </c>
      <c r="S473" s="46">
        <f>ROUND((Source!CA346/100)*ROUND((Source!AF346*Source!AV346)*Source!I346, 2), 2)</f>
        <v>0</v>
      </c>
      <c r="T473" s="46">
        <f>Source!Y346</f>
        <v>0</v>
      </c>
      <c r="U473" s="46">
        <f>ROUND((175/100)*ROUND((Source!AE346*Source!AV346)*Source!I346, 2), 2)</f>
        <v>0</v>
      </c>
      <c r="V473" s="46">
        <f>ROUND((108/100)*ROUND(Source!CS346*Source!I346, 2), 2)</f>
        <v>0</v>
      </c>
    </row>
    <row r="474" spans="1:22" ht="14.25" x14ac:dyDescent="0.2">
      <c r="A474" s="19"/>
      <c r="B474" s="19"/>
      <c r="C474" s="19" t="s">
        <v>699</v>
      </c>
      <c r="D474" s="20" t="s">
        <v>700</v>
      </c>
      <c r="E474" s="47">
        <f>Source!AT345</f>
        <v>70</v>
      </c>
      <c r="F474" s="49"/>
      <c r="G474" s="21"/>
      <c r="H474" s="47"/>
      <c r="I474" s="47"/>
      <c r="J474" s="49">
        <f>SUM(R468:R473)</f>
        <v>1190.1300000000001</v>
      </c>
      <c r="K474" s="49"/>
    </row>
    <row r="475" spans="1:22" ht="14.25" x14ac:dyDescent="0.2">
      <c r="A475" s="19"/>
      <c r="B475" s="19"/>
      <c r="C475" s="19" t="s">
        <v>701</v>
      </c>
      <c r="D475" s="20" t="s">
        <v>700</v>
      </c>
      <c r="E475" s="47">
        <f>Source!AU345</f>
        <v>10</v>
      </c>
      <c r="F475" s="49"/>
      <c r="G475" s="21"/>
      <c r="H475" s="47"/>
      <c r="I475" s="47"/>
      <c r="J475" s="49">
        <f>SUM(T468:T474)</f>
        <v>170.02</v>
      </c>
      <c r="K475" s="49"/>
    </row>
    <row r="476" spans="1:22" ht="14.25" x14ac:dyDescent="0.2">
      <c r="A476" s="19"/>
      <c r="B476" s="19"/>
      <c r="C476" s="19" t="s">
        <v>706</v>
      </c>
      <c r="D476" s="20" t="s">
        <v>700</v>
      </c>
      <c r="E476" s="47">
        <f>108</f>
        <v>108</v>
      </c>
      <c r="F476" s="49"/>
      <c r="G476" s="21"/>
      <c r="H476" s="47"/>
      <c r="I476" s="47"/>
      <c r="J476" s="49">
        <f>SUM(V468:V475)</f>
        <v>0.03</v>
      </c>
      <c r="K476" s="49"/>
    </row>
    <row r="477" spans="1:22" ht="14.25" x14ac:dyDescent="0.2">
      <c r="A477" s="19"/>
      <c r="B477" s="19"/>
      <c r="C477" s="19" t="s">
        <v>702</v>
      </c>
      <c r="D477" s="20" t="s">
        <v>703</v>
      </c>
      <c r="E477" s="47">
        <f>Source!AQ345</f>
        <v>34.159999999999997</v>
      </c>
      <c r="F477" s="49"/>
      <c r="G477" s="21" t="str">
        <f>Source!DI345</f>
        <v/>
      </c>
      <c r="H477" s="47">
        <f>Source!AV345</f>
        <v>1</v>
      </c>
      <c r="I477" s="47"/>
      <c r="J477" s="49"/>
      <c r="K477" s="49">
        <f>Source!U345</f>
        <v>5.1239999999999997</v>
      </c>
    </row>
    <row r="478" spans="1:22" ht="15" x14ac:dyDescent="0.25">
      <c r="A478" s="53"/>
      <c r="B478" s="53"/>
      <c r="C478" s="53"/>
      <c r="D478" s="53"/>
      <c r="E478" s="53"/>
      <c r="F478" s="53"/>
      <c r="G478" s="53"/>
      <c r="H478" s="53"/>
      <c r="I478" s="69">
        <f>J469+J470+J472+J474+J475+J476+SUM(J473:J473)</f>
        <v>9663.4300000000021</v>
      </c>
      <c r="J478" s="69"/>
      <c r="K478" s="51">
        <f>IF(Source!I345&lt;&gt;0, ROUND(I478/Source!I345, 2), 0)</f>
        <v>64422.87</v>
      </c>
      <c r="P478" s="54">
        <f>I478</f>
        <v>9663.4300000000021</v>
      </c>
    </row>
    <row r="479" spans="1:22" ht="42.75" x14ac:dyDescent="0.2">
      <c r="A479" s="19">
        <v>72</v>
      </c>
      <c r="B479" s="19" t="str">
        <f>Source!F347</f>
        <v>1.17-3205-2-1/1</v>
      </c>
      <c r="C479" s="19" t="str">
        <f>Source!G347</f>
        <v>Гидравлическое испытание трубопроводов систем отопления диаметром до 50 мм</v>
      </c>
      <c r="D479" s="20" t="str">
        <f>Source!H347</f>
        <v>100 м</v>
      </c>
      <c r="E479" s="47">
        <f>Source!I347</f>
        <v>0.15</v>
      </c>
      <c r="F479" s="49"/>
      <c r="G479" s="21"/>
      <c r="H479" s="47"/>
      <c r="I479" s="47"/>
      <c r="J479" s="49"/>
      <c r="K479" s="49"/>
      <c r="Q479" s="46">
        <f>ROUND((Source!BZ347/100)*ROUND((Source!AF347*Source!AV347)*Source!I347, 2), 2)</f>
        <v>448.45</v>
      </c>
      <c r="R479" s="46">
        <f>Source!X347</f>
        <v>448.45</v>
      </c>
      <c r="S479" s="46">
        <f>ROUND((Source!CA347/100)*ROUND((Source!AF347*Source!AV347)*Source!I347, 2), 2)</f>
        <v>64.06</v>
      </c>
      <c r="T479" s="46">
        <f>Source!Y347</f>
        <v>64.06</v>
      </c>
      <c r="U479" s="46">
        <f>ROUND((175/100)*ROUND((Source!AE347*Source!AV347)*Source!I347, 2), 2)</f>
        <v>0</v>
      </c>
      <c r="V479" s="46">
        <f>ROUND((108/100)*ROUND(Source!CS347*Source!I347, 2), 2)</f>
        <v>0</v>
      </c>
    </row>
    <row r="480" spans="1:22" ht="14.25" x14ac:dyDescent="0.2">
      <c r="A480" s="19"/>
      <c r="B480" s="19"/>
      <c r="C480" s="19" t="s">
        <v>697</v>
      </c>
      <c r="D480" s="20"/>
      <c r="E480" s="47"/>
      <c r="F480" s="49">
        <f>Source!AO347</f>
        <v>4270.8999999999996</v>
      </c>
      <c r="G480" s="21" t="str">
        <f>Source!DG347</f>
        <v/>
      </c>
      <c r="H480" s="47">
        <f>Source!AV347</f>
        <v>1</v>
      </c>
      <c r="I480" s="47">
        <f>IF(Source!BA347&lt;&gt; 0, Source!BA347, 1)</f>
        <v>1</v>
      </c>
      <c r="J480" s="49">
        <f>Source!S347</f>
        <v>640.64</v>
      </c>
      <c r="K480" s="49"/>
    </row>
    <row r="481" spans="1:22" ht="14.25" x14ac:dyDescent="0.2">
      <c r="A481" s="19"/>
      <c r="B481" s="19"/>
      <c r="C481" s="19" t="s">
        <v>704</v>
      </c>
      <c r="D481" s="20"/>
      <c r="E481" s="47"/>
      <c r="F481" s="49">
        <f>Source!AL347</f>
        <v>42.44</v>
      </c>
      <c r="G481" s="21" t="str">
        <f>Source!DD347</f>
        <v/>
      </c>
      <c r="H481" s="47">
        <f>Source!AW347</f>
        <v>1</v>
      </c>
      <c r="I481" s="47">
        <f>IF(Source!BC347&lt;&gt; 0, Source!BC347, 1)</f>
        <v>1</v>
      </c>
      <c r="J481" s="49">
        <f>Source!P347</f>
        <v>6.37</v>
      </c>
      <c r="K481" s="49"/>
    </row>
    <row r="482" spans="1:22" ht="14.25" x14ac:dyDescent="0.2">
      <c r="A482" s="19"/>
      <c r="B482" s="19"/>
      <c r="C482" s="19" t="s">
        <v>699</v>
      </c>
      <c r="D482" s="20" t="s">
        <v>700</v>
      </c>
      <c r="E482" s="47">
        <f>Source!AT347</f>
        <v>70</v>
      </c>
      <c r="F482" s="49"/>
      <c r="G482" s="21"/>
      <c r="H482" s="47"/>
      <c r="I482" s="47"/>
      <c r="J482" s="49">
        <f>SUM(R479:R481)</f>
        <v>448.45</v>
      </c>
      <c r="K482" s="49"/>
    </row>
    <row r="483" spans="1:22" ht="14.25" x14ac:dyDescent="0.2">
      <c r="A483" s="19"/>
      <c r="B483" s="19"/>
      <c r="C483" s="19" t="s">
        <v>701</v>
      </c>
      <c r="D483" s="20" t="s">
        <v>700</v>
      </c>
      <c r="E483" s="47">
        <f>Source!AU347</f>
        <v>10</v>
      </c>
      <c r="F483" s="49"/>
      <c r="G483" s="21"/>
      <c r="H483" s="47"/>
      <c r="I483" s="47"/>
      <c r="J483" s="49">
        <f>SUM(T479:T482)</f>
        <v>64.06</v>
      </c>
      <c r="K483" s="49"/>
    </row>
    <row r="484" spans="1:22" ht="14.25" x14ac:dyDescent="0.2">
      <c r="A484" s="19"/>
      <c r="B484" s="19"/>
      <c r="C484" s="19" t="s">
        <v>702</v>
      </c>
      <c r="D484" s="20" t="s">
        <v>703</v>
      </c>
      <c r="E484" s="47">
        <f>Source!AQ347</f>
        <v>10.64</v>
      </c>
      <c r="F484" s="49"/>
      <c r="G484" s="21" t="str">
        <f>Source!DI347</f>
        <v/>
      </c>
      <c r="H484" s="47">
        <f>Source!AV347</f>
        <v>1</v>
      </c>
      <c r="I484" s="47"/>
      <c r="J484" s="49"/>
      <c r="K484" s="49">
        <f>Source!U347</f>
        <v>1.5960000000000001</v>
      </c>
    </row>
    <row r="485" spans="1:22" ht="15" x14ac:dyDescent="0.25">
      <c r="A485" s="53"/>
      <c r="B485" s="53"/>
      <c r="C485" s="53"/>
      <c r="D485" s="53"/>
      <c r="E485" s="53"/>
      <c r="F485" s="53"/>
      <c r="G485" s="53"/>
      <c r="H485" s="53"/>
      <c r="I485" s="69">
        <f>J480+J481+J482+J483</f>
        <v>1159.52</v>
      </c>
      <c r="J485" s="69"/>
      <c r="K485" s="51">
        <f>IF(Source!I347&lt;&gt;0, ROUND(I485/Source!I347, 2), 0)</f>
        <v>7730.13</v>
      </c>
      <c r="P485" s="54">
        <f>I485</f>
        <v>1159.52</v>
      </c>
    </row>
    <row r="486" spans="1:22" ht="42.75" x14ac:dyDescent="0.2">
      <c r="A486" s="19">
        <v>73</v>
      </c>
      <c r="B486" s="19" t="str">
        <f>Source!F348</f>
        <v>1.15-3203-5-2/1</v>
      </c>
      <c r="C486" s="19" t="str">
        <f>Source!G348</f>
        <v>Установка муфтовой арматуры диаметром 20 мм (без стоимости арматуры)</v>
      </c>
      <c r="D486" s="20" t="str">
        <f>Source!H348</f>
        <v>10 шт.</v>
      </c>
      <c r="E486" s="47">
        <f>Source!I348</f>
        <v>0.7</v>
      </c>
      <c r="F486" s="49"/>
      <c r="G486" s="21"/>
      <c r="H486" s="47"/>
      <c r="I486" s="47"/>
      <c r="J486" s="49"/>
      <c r="K486" s="49"/>
      <c r="Q486" s="46">
        <f>ROUND((Source!BZ348/100)*ROUND((Source!AF348*Source!AV348)*Source!I348, 2), 2)</f>
        <v>284.75</v>
      </c>
      <c r="R486" s="46">
        <f>Source!X348</f>
        <v>284.75</v>
      </c>
      <c r="S486" s="46">
        <f>ROUND((Source!CA348/100)*ROUND((Source!AF348*Source!AV348)*Source!I348, 2), 2)</f>
        <v>40.68</v>
      </c>
      <c r="T486" s="46">
        <f>Source!Y348</f>
        <v>40.68</v>
      </c>
      <c r="U486" s="46">
        <f>ROUND((175/100)*ROUND((Source!AE348*Source!AV348)*Source!I348, 2), 2)</f>
        <v>0</v>
      </c>
      <c r="V486" s="46">
        <f>ROUND((108/100)*ROUND(Source!CS348*Source!I348, 2), 2)</f>
        <v>0</v>
      </c>
    </row>
    <row r="487" spans="1:22" ht="14.25" x14ac:dyDescent="0.2">
      <c r="A487" s="19"/>
      <c r="B487" s="19"/>
      <c r="C487" s="19" t="s">
        <v>697</v>
      </c>
      <c r="D487" s="20"/>
      <c r="E487" s="47"/>
      <c r="F487" s="49">
        <f>Source!AO348</f>
        <v>581.12</v>
      </c>
      <c r="G487" s="21" t="str">
        <f>Source!DG348</f>
        <v/>
      </c>
      <c r="H487" s="47">
        <f>Source!AV348</f>
        <v>1</v>
      </c>
      <c r="I487" s="47">
        <f>IF(Source!BA348&lt;&gt; 0, Source!BA348, 1)</f>
        <v>1</v>
      </c>
      <c r="J487" s="49">
        <f>Source!S348</f>
        <v>406.78</v>
      </c>
      <c r="K487" s="49"/>
    </row>
    <row r="488" spans="1:22" ht="14.25" x14ac:dyDescent="0.2">
      <c r="A488" s="19"/>
      <c r="B488" s="19"/>
      <c r="C488" s="19" t="s">
        <v>704</v>
      </c>
      <c r="D488" s="20"/>
      <c r="E488" s="47"/>
      <c r="F488" s="49">
        <f>Source!AL348</f>
        <v>57.57</v>
      </c>
      <c r="G488" s="21" t="str">
        <f>Source!DD348</f>
        <v/>
      </c>
      <c r="H488" s="47">
        <f>Source!AW348</f>
        <v>1</v>
      </c>
      <c r="I488" s="47">
        <f>IF(Source!BC348&lt;&gt; 0, Source!BC348, 1)</f>
        <v>1</v>
      </c>
      <c r="J488" s="49">
        <f>Source!P348</f>
        <v>40.299999999999997</v>
      </c>
      <c r="K488" s="49"/>
    </row>
    <row r="489" spans="1:22" ht="42.75" x14ac:dyDescent="0.2">
      <c r="A489" s="19">
        <v>74</v>
      </c>
      <c r="B489" s="19" t="str">
        <f>Source!F349</f>
        <v>Цена поставщика</v>
      </c>
      <c r="C489" s="19" t="str">
        <f>Source!G349</f>
        <v>Кран шаровой Ду 20 Бугатти или эквивалент</v>
      </c>
      <c r="D489" s="20" t="str">
        <f>Source!H349</f>
        <v>шт.</v>
      </c>
      <c r="E489" s="47">
        <f>Source!I349</f>
        <v>7</v>
      </c>
      <c r="F489" s="49">
        <f>Source!AK349</f>
        <v>544</v>
      </c>
      <c r="G489" s="24" t="s">
        <v>3</v>
      </c>
      <c r="H489" s="47">
        <f>Source!AW349</f>
        <v>1</v>
      </c>
      <c r="I489" s="47">
        <f>IF(Source!BC349&lt;&gt; 0, Source!BC349, 1)</f>
        <v>1</v>
      </c>
      <c r="J489" s="49">
        <f>Source!O349</f>
        <v>3808</v>
      </c>
      <c r="K489" s="49"/>
      <c r="Q489" s="46">
        <f>ROUND((Source!BZ349/100)*ROUND((Source!AF349*Source!AV349)*Source!I349, 2), 2)</f>
        <v>0</v>
      </c>
      <c r="R489" s="46">
        <f>Source!X349</f>
        <v>0</v>
      </c>
      <c r="S489" s="46">
        <f>ROUND((Source!CA349/100)*ROUND((Source!AF349*Source!AV349)*Source!I349, 2), 2)</f>
        <v>0</v>
      </c>
      <c r="T489" s="46">
        <f>Source!Y349</f>
        <v>0</v>
      </c>
      <c r="U489" s="46">
        <f>ROUND((175/100)*ROUND((Source!AE349*Source!AV349)*Source!I349, 2), 2)</f>
        <v>0</v>
      </c>
      <c r="V489" s="46">
        <f>ROUND((108/100)*ROUND(Source!CS349*Source!I349, 2), 2)</f>
        <v>0</v>
      </c>
    </row>
    <row r="490" spans="1:22" ht="14.25" x14ac:dyDescent="0.2">
      <c r="A490" s="19"/>
      <c r="B490" s="19"/>
      <c r="C490" s="19" t="s">
        <v>699</v>
      </c>
      <c r="D490" s="20" t="s">
        <v>700</v>
      </c>
      <c r="E490" s="47">
        <f>Source!AT348</f>
        <v>70</v>
      </c>
      <c r="F490" s="49"/>
      <c r="G490" s="21"/>
      <c r="H490" s="47"/>
      <c r="I490" s="47"/>
      <c r="J490" s="49">
        <f>SUM(R486:R489)</f>
        <v>284.75</v>
      </c>
      <c r="K490" s="49"/>
    </row>
    <row r="491" spans="1:22" ht="14.25" x14ac:dyDescent="0.2">
      <c r="A491" s="19"/>
      <c r="B491" s="19"/>
      <c r="C491" s="19" t="s">
        <v>701</v>
      </c>
      <c r="D491" s="20" t="s">
        <v>700</v>
      </c>
      <c r="E491" s="47">
        <f>Source!AU348</f>
        <v>10</v>
      </c>
      <c r="F491" s="49"/>
      <c r="G491" s="21"/>
      <c r="H491" s="47"/>
      <c r="I491" s="47"/>
      <c r="J491" s="49">
        <f>SUM(T486:T490)</f>
        <v>40.68</v>
      </c>
      <c r="K491" s="49"/>
    </row>
    <row r="492" spans="1:22" ht="14.25" x14ac:dyDescent="0.2">
      <c r="A492" s="19"/>
      <c r="B492" s="19"/>
      <c r="C492" s="19" t="s">
        <v>702</v>
      </c>
      <c r="D492" s="20" t="s">
        <v>703</v>
      </c>
      <c r="E492" s="47">
        <f>Source!AQ348</f>
        <v>1.72</v>
      </c>
      <c r="F492" s="49"/>
      <c r="G492" s="21" t="str">
        <f>Source!DI348</f>
        <v/>
      </c>
      <c r="H492" s="47">
        <f>Source!AV348</f>
        <v>1</v>
      </c>
      <c r="I492" s="47"/>
      <c r="J492" s="49"/>
      <c r="K492" s="49">
        <f>Source!U348</f>
        <v>1.204</v>
      </c>
    </row>
    <row r="493" spans="1:22" ht="15" x14ac:dyDescent="0.25">
      <c r="A493" s="53"/>
      <c r="B493" s="53"/>
      <c r="C493" s="53"/>
      <c r="D493" s="53"/>
      <c r="E493" s="53"/>
      <c r="F493" s="53"/>
      <c r="G493" s="53"/>
      <c r="H493" s="53"/>
      <c r="I493" s="69">
        <f>J487+J488+J490+J491+SUM(J489:J489)</f>
        <v>4580.51</v>
      </c>
      <c r="J493" s="69"/>
      <c r="K493" s="51">
        <f>IF(Source!I348&lt;&gt;0, ROUND(I493/Source!I348, 2), 0)</f>
        <v>6543.59</v>
      </c>
      <c r="P493" s="54">
        <f>I493</f>
        <v>4580.51</v>
      </c>
    </row>
    <row r="495" spans="1:22" ht="15" x14ac:dyDescent="0.25">
      <c r="A495" s="73" t="str">
        <f>CONCATENATE("Итого по подразделу: ",IF(Source!G351&lt;&gt;"Новый подраздел", Source!G351, ""))</f>
        <v>Итого по подразделу: 2.3 Сантехнические работы</v>
      </c>
      <c r="B495" s="73"/>
      <c r="C495" s="73"/>
      <c r="D495" s="73"/>
      <c r="E495" s="73"/>
      <c r="F495" s="73"/>
      <c r="G495" s="73"/>
      <c r="H495" s="73"/>
      <c r="I495" s="71">
        <f>SUM(P452:P494)</f>
        <v>55222.79</v>
      </c>
      <c r="J495" s="72"/>
      <c r="K495" s="26"/>
    </row>
    <row r="498" spans="1:22" ht="16.5" x14ac:dyDescent="0.25">
      <c r="A498" s="70" t="str">
        <f>CONCATENATE("Подраздел: ",IF(Source!G381&lt;&gt;"Новый подраздел", Source!G381, ""))</f>
        <v>Подраздел: 2.4 Электромонтажные работы</v>
      </c>
      <c r="B498" s="70"/>
      <c r="C498" s="70"/>
      <c r="D498" s="70"/>
      <c r="E498" s="70"/>
      <c r="F498" s="70"/>
      <c r="G498" s="70"/>
      <c r="H498" s="70"/>
      <c r="I498" s="70"/>
      <c r="J498" s="70"/>
      <c r="K498" s="70"/>
    </row>
    <row r="499" spans="1:22" ht="28.5" x14ac:dyDescent="0.2">
      <c r="A499" s="19">
        <v>75</v>
      </c>
      <c r="B499" s="19" t="str">
        <f>Source!F385</f>
        <v>1.20-3104-1-4/1</v>
      </c>
      <c r="C499" s="19" t="str">
        <f>Source!G385</f>
        <v>Демонтаж осветительных приборов - светильник для люминесцентных ламп</v>
      </c>
      <c r="D499" s="20" t="str">
        <f>Source!H385</f>
        <v>100 шт.</v>
      </c>
      <c r="E499" s="47">
        <f>Source!I385</f>
        <v>0.06</v>
      </c>
      <c r="F499" s="49"/>
      <c r="G499" s="21"/>
      <c r="H499" s="47"/>
      <c r="I499" s="47"/>
      <c r="J499" s="49"/>
      <c r="K499" s="49"/>
      <c r="Q499" s="46">
        <f>ROUND((Source!BZ385/100)*ROUND((Source!AF385*Source!AV385)*Source!I385, 2), 2)</f>
        <v>192.92</v>
      </c>
      <c r="R499" s="46">
        <f>Source!X385</f>
        <v>192.92</v>
      </c>
      <c r="S499" s="46">
        <f>ROUND((Source!CA385/100)*ROUND((Source!AF385*Source!AV385)*Source!I385, 2), 2)</f>
        <v>27.56</v>
      </c>
      <c r="T499" s="46">
        <f>Source!Y385</f>
        <v>27.56</v>
      </c>
      <c r="U499" s="46">
        <f>ROUND((175/100)*ROUND((Source!AE385*Source!AV385)*Source!I385, 2), 2)</f>
        <v>0</v>
      </c>
      <c r="V499" s="46">
        <f>ROUND((108/100)*ROUND(Source!CS385*Source!I385, 2), 2)</f>
        <v>0</v>
      </c>
    </row>
    <row r="500" spans="1:22" ht="14.25" x14ac:dyDescent="0.2">
      <c r="A500" s="19"/>
      <c r="B500" s="19"/>
      <c r="C500" s="19" t="s">
        <v>697</v>
      </c>
      <c r="D500" s="20"/>
      <c r="E500" s="47"/>
      <c r="F500" s="49">
        <f>Source!AO385</f>
        <v>4593.26</v>
      </c>
      <c r="G500" s="21" t="str">
        <f>Source!DG385</f>
        <v/>
      </c>
      <c r="H500" s="47">
        <f>Source!AV385</f>
        <v>1</v>
      </c>
      <c r="I500" s="47">
        <f>IF(Source!BA385&lt;&gt; 0, Source!BA385, 1)</f>
        <v>1</v>
      </c>
      <c r="J500" s="49">
        <f>Source!S385</f>
        <v>275.60000000000002</v>
      </c>
      <c r="K500" s="49"/>
    </row>
    <row r="501" spans="1:22" ht="14.25" x14ac:dyDescent="0.2">
      <c r="A501" s="19"/>
      <c r="B501" s="19"/>
      <c r="C501" s="19" t="s">
        <v>699</v>
      </c>
      <c r="D501" s="20" t="s">
        <v>700</v>
      </c>
      <c r="E501" s="47">
        <f>Source!AT385</f>
        <v>70</v>
      </c>
      <c r="F501" s="49"/>
      <c r="G501" s="21"/>
      <c r="H501" s="47"/>
      <c r="I501" s="47"/>
      <c r="J501" s="49">
        <f>SUM(R499:R500)</f>
        <v>192.92</v>
      </c>
      <c r="K501" s="49"/>
    </row>
    <row r="502" spans="1:22" ht="14.25" x14ac:dyDescent="0.2">
      <c r="A502" s="19"/>
      <c r="B502" s="19"/>
      <c r="C502" s="19" t="s">
        <v>701</v>
      </c>
      <c r="D502" s="20" t="s">
        <v>700</v>
      </c>
      <c r="E502" s="47">
        <f>Source!AU385</f>
        <v>10</v>
      </c>
      <c r="F502" s="49"/>
      <c r="G502" s="21"/>
      <c r="H502" s="47"/>
      <c r="I502" s="47"/>
      <c r="J502" s="49">
        <f>SUM(T499:T501)</f>
        <v>27.56</v>
      </c>
      <c r="K502" s="49"/>
    </row>
    <row r="503" spans="1:22" ht="14.25" x14ac:dyDescent="0.2">
      <c r="A503" s="19"/>
      <c r="B503" s="19"/>
      <c r="C503" s="19" t="s">
        <v>702</v>
      </c>
      <c r="D503" s="20" t="s">
        <v>703</v>
      </c>
      <c r="E503" s="47">
        <f>Source!AQ385</f>
        <v>17.89</v>
      </c>
      <c r="F503" s="49"/>
      <c r="G503" s="21" t="str">
        <f>Source!DI385</f>
        <v/>
      </c>
      <c r="H503" s="47">
        <f>Source!AV385</f>
        <v>1</v>
      </c>
      <c r="I503" s="47"/>
      <c r="J503" s="49"/>
      <c r="K503" s="49">
        <f>Source!U385</f>
        <v>1.0733999999999999</v>
      </c>
    </row>
    <row r="504" spans="1:22" ht="15" x14ac:dyDescent="0.25">
      <c r="A504" s="53"/>
      <c r="B504" s="53"/>
      <c r="C504" s="53"/>
      <c r="D504" s="53"/>
      <c r="E504" s="53"/>
      <c r="F504" s="53"/>
      <c r="G504" s="53"/>
      <c r="H504" s="53"/>
      <c r="I504" s="69">
        <f>J500+J501+J502</f>
        <v>496.08</v>
      </c>
      <c r="J504" s="69"/>
      <c r="K504" s="51">
        <f>IF(Source!I385&lt;&gt;0, ROUND(I504/Source!I385, 2), 0)</f>
        <v>8268</v>
      </c>
      <c r="P504" s="54">
        <f>I504</f>
        <v>496.08</v>
      </c>
    </row>
    <row r="505" spans="1:22" ht="42.75" x14ac:dyDescent="0.2">
      <c r="A505" s="19">
        <v>76</v>
      </c>
      <c r="B505" s="19" t="str">
        <f>Source!F386</f>
        <v>1.21-3102-8-2/1</v>
      </c>
      <c r="C505" s="19" t="str">
        <f>Source!G386</f>
        <v>Замена электроустановочных изделий, открытая проводка, выключатель, розетка (без стоимости материалов)</v>
      </c>
      <c r="D505" s="20" t="str">
        <f>Source!H386</f>
        <v>100 шт.</v>
      </c>
      <c r="E505" s="47">
        <f>Source!I386</f>
        <v>0.02</v>
      </c>
      <c r="F505" s="49"/>
      <c r="G505" s="21"/>
      <c r="H505" s="47"/>
      <c r="I505" s="47"/>
      <c r="J505" s="49"/>
      <c r="K505" s="49"/>
      <c r="Q505" s="46">
        <f>ROUND((Source!BZ386/100)*ROUND((Source!AF386*Source!AV386)*Source!I386, 2), 2)</f>
        <v>103.23</v>
      </c>
      <c r="R505" s="46">
        <f>Source!X386</f>
        <v>103.23</v>
      </c>
      <c r="S505" s="46">
        <f>ROUND((Source!CA386/100)*ROUND((Source!AF386*Source!AV386)*Source!I386, 2), 2)</f>
        <v>14.75</v>
      </c>
      <c r="T505" s="46">
        <f>Source!Y386</f>
        <v>14.75</v>
      </c>
      <c r="U505" s="46">
        <f>ROUND((175/100)*ROUND((Source!AE386*Source!AV386)*Source!I386, 2), 2)</f>
        <v>0</v>
      </c>
      <c r="V505" s="46">
        <f>ROUND((108/100)*ROUND(Source!CS386*Source!I386, 2), 2)</f>
        <v>0</v>
      </c>
    </row>
    <row r="506" spans="1:22" ht="14.25" x14ac:dyDescent="0.2">
      <c r="A506" s="19"/>
      <c r="B506" s="19"/>
      <c r="C506" s="19" t="s">
        <v>697</v>
      </c>
      <c r="D506" s="20"/>
      <c r="E506" s="47"/>
      <c r="F506" s="49">
        <f>Source!AO386</f>
        <v>7373.44</v>
      </c>
      <c r="G506" s="21" t="str">
        <f>Source!DG386</f>
        <v/>
      </c>
      <c r="H506" s="47">
        <f>Source!AV386</f>
        <v>1</v>
      </c>
      <c r="I506" s="47">
        <f>IF(Source!BA386&lt;&gt; 0, Source!BA386, 1)</f>
        <v>1</v>
      </c>
      <c r="J506" s="49">
        <f>Source!S386</f>
        <v>147.47</v>
      </c>
      <c r="K506" s="49"/>
    </row>
    <row r="507" spans="1:22" ht="57" x14ac:dyDescent="0.2">
      <c r="A507" s="19">
        <v>77</v>
      </c>
      <c r="B507" s="19" t="str">
        <f>Source!F387</f>
        <v>21.21-5-25</v>
      </c>
      <c r="C507" s="19" t="str">
        <f>Source!G387</f>
        <v>Выключатели серии "Прима", напряжение 250 В, сила тока 6 А, открытой установки двухклавишные, тип А56-029</v>
      </c>
      <c r="D507" s="20" t="str">
        <f>Source!H387</f>
        <v>шт.</v>
      </c>
      <c r="E507" s="47">
        <f>Source!I387</f>
        <v>2</v>
      </c>
      <c r="F507" s="49">
        <f>Source!AK387</f>
        <v>102.63</v>
      </c>
      <c r="G507" s="24" t="s">
        <v>3</v>
      </c>
      <c r="H507" s="47">
        <f>Source!AW387</f>
        <v>1</v>
      </c>
      <c r="I507" s="47">
        <f>IF(Source!BC387&lt;&gt; 0, Source!BC387, 1)</f>
        <v>1</v>
      </c>
      <c r="J507" s="49">
        <f>Source!O387</f>
        <v>205.26</v>
      </c>
      <c r="K507" s="49"/>
      <c r="Q507" s="46">
        <f>ROUND((Source!BZ387/100)*ROUND((Source!AF387*Source!AV387)*Source!I387, 2), 2)</f>
        <v>0</v>
      </c>
      <c r="R507" s="46">
        <f>Source!X387</f>
        <v>0</v>
      </c>
      <c r="S507" s="46">
        <f>ROUND((Source!CA387/100)*ROUND((Source!AF387*Source!AV387)*Source!I387, 2), 2)</f>
        <v>0</v>
      </c>
      <c r="T507" s="46">
        <f>Source!Y387</f>
        <v>0</v>
      </c>
      <c r="U507" s="46">
        <f>ROUND((175/100)*ROUND((Source!AE387*Source!AV387)*Source!I387, 2), 2)</f>
        <v>0</v>
      </c>
      <c r="V507" s="46">
        <f>ROUND((108/100)*ROUND(Source!CS387*Source!I387, 2), 2)</f>
        <v>0</v>
      </c>
    </row>
    <row r="508" spans="1:22" ht="14.25" x14ac:dyDescent="0.2">
      <c r="A508" s="19"/>
      <c r="B508" s="19"/>
      <c r="C508" s="19" t="s">
        <v>699</v>
      </c>
      <c r="D508" s="20" t="s">
        <v>700</v>
      </c>
      <c r="E508" s="47">
        <f>Source!AT386</f>
        <v>70</v>
      </c>
      <c r="F508" s="49"/>
      <c r="G508" s="21"/>
      <c r="H508" s="47"/>
      <c r="I508" s="47"/>
      <c r="J508" s="49">
        <f>SUM(R505:R507)</f>
        <v>103.23</v>
      </c>
      <c r="K508" s="49"/>
    </row>
    <row r="509" spans="1:22" ht="14.25" x14ac:dyDescent="0.2">
      <c r="A509" s="19"/>
      <c r="B509" s="19"/>
      <c r="C509" s="19" t="s">
        <v>701</v>
      </c>
      <c r="D509" s="20" t="s">
        <v>700</v>
      </c>
      <c r="E509" s="47">
        <f>Source!AU386</f>
        <v>10</v>
      </c>
      <c r="F509" s="49"/>
      <c r="G509" s="21"/>
      <c r="H509" s="47"/>
      <c r="I509" s="47"/>
      <c r="J509" s="49">
        <f>SUM(T505:T508)</f>
        <v>14.75</v>
      </c>
      <c r="K509" s="49"/>
    </row>
    <row r="510" spans="1:22" ht="14.25" x14ac:dyDescent="0.2">
      <c r="A510" s="19"/>
      <c r="B510" s="19"/>
      <c r="C510" s="19" t="s">
        <v>702</v>
      </c>
      <c r="D510" s="20" t="s">
        <v>703</v>
      </c>
      <c r="E510" s="47">
        <f>Source!AQ386</f>
        <v>29.74</v>
      </c>
      <c r="F510" s="49"/>
      <c r="G510" s="21" t="str">
        <f>Source!DI386</f>
        <v/>
      </c>
      <c r="H510" s="47">
        <f>Source!AV386</f>
        <v>1</v>
      </c>
      <c r="I510" s="47"/>
      <c r="J510" s="49"/>
      <c r="K510" s="49">
        <f>Source!U386</f>
        <v>0.5948</v>
      </c>
    </row>
    <row r="511" spans="1:22" ht="15" x14ac:dyDescent="0.25">
      <c r="A511" s="53"/>
      <c r="B511" s="53"/>
      <c r="C511" s="53"/>
      <c r="D511" s="53"/>
      <c r="E511" s="53"/>
      <c r="F511" s="53"/>
      <c r="G511" s="53"/>
      <c r="H511" s="53"/>
      <c r="I511" s="69">
        <f>J506+J508+J509+SUM(J507:J507)</f>
        <v>470.71</v>
      </c>
      <c r="J511" s="69"/>
      <c r="K511" s="51">
        <f>IF(Source!I386&lt;&gt;0, ROUND(I511/Source!I386, 2), 0)</f>
        <v>23535.5</v>
      </c>
      <c r="P511" s="54">
        <f>I511</f>
        <v>470.71</v>
      </c>
    </row>
    <row r="512" spans="1:22" ht="71.25" x14ac:dyDescent="0.2">
      <c r="A512" s="19">
        <v>78</v>
      </c>
      <c r="B512" s="19" t="str">
        <f>Source!F388</f>
        <v>1.21-3103-33-2/1</v>
      </c>
      <c r="C512" s="19" t="str">
        <f>Source!G388</f>
        <v>Прокладка труб гофрированных поливинилхлоридных наружным диаметром 20 мм открыто по стенам и потолкам с установкой соединительных коробок</v>
      </c>
      <c r="D512" s="20" t="str">
        <f>Source!H388</f>
        <v>100 м</v>
      </c>
      <c r="E512" s="47">
        <f>Source!I388</f>
        <v>0.1</v>
      </c>
      <c r="F512" s="49"/>
      <c r="G512" s="21"/>
      <c r="H512" s="47"/>
      <c r="I512" s="47"/>
      <c r="J512" s="49"/>
      <c r="K512" s="49"/>
      <c r="Q512" s="46">
        <f>ROUND((Source!BZ388/100)*ROUND((Source!AF388*Source!AV388)*Source!I388, 2), 2)</f>
        <v>403.33</v>
      </c>
      <c r="R512" s="46">
        <f>Source!X388</f>
        <v>403.33</v>
      </c>
      <c r="S512" s="46">
        <f>ROUND((Source!CA388/100)*ROUND((Source!AF388*Source!AV388)*Source!I388, 2), 2)</f>
        <v>57.62</v>
      </c>
      <c r="T512" s="46">
        <f>Source!Y388</f>
        <v>57.62</v>
      </c>
      <c r="U512" s="46">
        <f>ROUND((175/100)*ROUND((Source!AE388*Source!AV388)*Source!I388, 2), 2)</f>
        <v>1.03</v>
      </c>
      <c r="V512" s="46">
        <f>ROUND((108/100)*ROUND(Source!CS388*Source!I388, 2), 2)</f>
        <v>0.64</v>
      </c>
    </row>
    <row r="513" spans="1:22" ht="14.25" x14ac:dyDescent="0.2">
      <c r="A513" s="19"/>
      <c r="B513" s="19"/>
      <c r="C513" s="19" t="s">
        <v>697</v>
      </c>
      <c r="D513" s="20"/>
      <c r="E513" s="47"/>
      <c r="F513" s="49">
        <f>Source!AO388</f>
        <v>5761.88</v>
      </c>
      <c r="G513" s="21" t="str">
        <f>Source!DG388</f>
        <v/>
      </c>
      <c r="H513" s="47">
        <f>Source!AV388</f>
        <v>1</v>
      </c>
      <c r="I513" s="47">
        <f>IF(Source!BA388&lt;&gt; 0, Source!BA388, 1)</f>
        <v>1</v>
      </c>
      <c r="J513" s="49">
        <f>Source!S388</f>
        <v>576.19000000000005</v>
      </c>
      <c r="K513" s="49"/>
    </row>
    <row r="514" spans="1:22" ht="14.25" x14ac:dyDescent="0.2">
      <c r="A514" s="19"/>
      <c r="B514" s="19"/>
      <c r="C514" s="19" t="s">
        <v>698</v>
      </c>
      <c r="D514" s="20"/>
      <c r="E514" s="47"/>
      <c r="F514" s="49">
        <f>Source!AM388</f>
        <v>45.21</v>
      </c>
      <c r="G514" s="21" t="str">
        <f>Source!DE388</f>
        <v/>
      </c>
      <c r="H514" s="47">
        <f>Source!AV388</f>
        <v>1</v>
      </c>
      <c r="I514" s="47">
        <f>IF(Source!BB388&lt;&gt; 0, Source!BB388, 1)</f>
        <v>1</v>
      </c>
      <c r="J514" s="49">
        <f>Source!Q388</f>
        <v>4.5199999999999996</v>
      </c>
      <c r="K514" s="49"/>
    </row>
    <row r="515" spans="1:22" ht="14.25" x14ac:dyDescent="0.2">
      <c r="A515" s="19"/>
      <c r="B515" s="19"/>
      <c r="C515" s="19" t="s">
        <v>705</v>
      </c>
      <c r="D515" s="20"/>
      <c r="E515" s="47"/>
      <c r="F515" s="49">
        <f>Source!AN388</f>
        <v>5.92</v>
      </c>
      <c r="G515" s="21" t="str">
        <f>Source!DF388</f>
        <v/>
      </c>
      <c r="H515" s="47">
        <f>Source!AV388</f>
        <v>1</v>
      </c>
      <c r="I515" s="47">
        <f>IF(Source!BS388&lt;&gt; 0, Source!BS388, 1)</f>
        <v>1</v>
      </c>
      <c r="J515" s="25">
        <f>Source!R388</f>
        <v>0.59</v>
      </c>
      <c r="K515" s="49"/>
    </row>
    <row r="516" spans="1:22" ht="14.25" x14ac:dyDescent="0.2">
      <c r="A516" s="19"/>
      <c r="B516" s="19"/>
      <c r="C516" s="19" t="s">
        <v>704</v>
      </c>
      <c r="D516" s="20"/>
      <c r="E516" s="47"/>
      <c r="F516" s="49">
        <f>Source!AL388</f>
        <v>4561.8999999999996</v>
      </c>
      <c r="G516" s="21" t="str">
        <f>Source!DD388</f>
        <v/>
      </c>
      <c r="H516" s="47">
        <f>Source!AW388</f>
        <v>1</v>
      </c>
      <c r="I516" s="47">
        <f>IF(Source!BC388&lt;&gt; 0, Source!BC388, 1)</f>
        <v>1</v>
      </c>
      <c r="J516" s="49">
        <f>Source!P388</f>
        <v>456.19</v>
      </c>
      <c r="K516" s="49"/>
    </row>
    <row r="517" spans="1:22" ht="14.25" x14ac:dyDescent="0.2">
      <c r="A517" s="19"/>
      <c r="B517" s="19"/>
      <c r="C517" s="19" t="s">
        <v>699</v>
      </c>
      <c r="D517" s="20" t="s">
        <v>700</v>
      </c>
      <c r="E517" s="47">
        <f>Source!AT388</f>
        <v>70</v>
      </c>
      <c r="F517" s="49"/>
      <c r="G517" s="21"/>
      <c r="H517" s="47"/>
      <c r="I517" s="47"/>
      <c r="J517" s="49">
        <f>SUM(R512:R516)</f>
        <v>403.33</v>
      </c>
      <c r="K517" s="49"/>
    </row>
    <row r="518" spans="1:22" ht="14.25" x14ac:dyDescent="0.2">
      <c r="A518" s="19"/>
      <c r="B518" s="19"/>
      <c r="C518" s="19" t="s">
        <v>701</v>
      </c>
      <c r="D518" s="20" t="s">
        <v>700</v>
      </c>
      <c r="E518" s="47">
        <f>Source!AU388</f>
        <v>10</v>
      </c>
      <c r="F518" s="49"/>
      <c r="G518" s="21"/>
      <c r="H518" s="47"/>
      <c r="I518" s="47"/>
      <c r="J518" s="49">
        <f>SUM(T512:T517)</f>
        <v>57.62</v>
      </c>
      <c r="K518" s="49"/>
    </row>
    <row r="519" spans="1:22" ht="14.25" x14ac:dyDescent="0.2">
      <c r="A519" s="19"/>
      <c r="B519" s="19"/>
      <c r="C519" s="19" t="s">
        <v>706</v>
      </c>
      <c r="D519" s="20" t="s">
        <v>700</v>
      </c>
      <c r="E519" s="47">
        <f>108</f>
        <v>108</v>
      </c>
      <c r="F519" s="49"/>
      <c r="G519" s="21"/>
      <c r="H519" s="47"/>
      <c r="I519" s="47"/>
      <c r="J519" s="49">
        <f>SUM(V512:V518)</f>
        <v>0.64</v>
      </c>
      <c r="K519" s="49"/>
    </row>
    <row r="520" spans="1:22" ht="14.25" x14ac:dyDescent="0.2">
      <c r="A520" s="19"/>
      <c r="B520" s="19"/>
      <c r="C520" s="19" t="s">
        <v>702</v>
      </c>
      <c r="D520" s="20" t="s">
        <v>703</v>
      </c>
      <c r="E520" s="47">
        <f>Source!AQ388</f>
        <v>17.260000000000002</v>
      </c>
      <c r="F520" s="49"/>
      <c r="G520" s="21" t="str">
        <f>Source!DI388</f>
        <v/>
      </c>
      <c r="H520" s="47">
        <f>Source!AV388</f>
        <v>1</v>
      </c>
      <c r="I520" s="47"/>
      <c r="J520" s="49"/>
      <c r="K520" s="49">
        <f>Source!U388</f>
        <v>1.7260000000000002</v>
      </c>
    </row>
    <row r="521" spans="1:22" ht="15" x14ac:dyDescent="0.25">
      <c r="A521" s="53"/>
      <c r="B521" s="53"/>
      <c r="C521" s="53"/>
      <c r="D521" s="53"/>
      <c r="E521" s="53"/>
      <c r="F521" s="53"/>
      <c r="G521" s="53"/>
      <c r="H521" s="53"/>
      <c r="I521" s="69">
        <f>J513+J514+J516+J517+J518+J519</f>
        <v>1498.49</v>
      </c>
      <c r="J521" s="69"/>
      <c r="K521" s="51">
        <f>IF(Source!I388&lt;&gt;0, ROUND(I521/Source!I388, 2), 0)</f>
        <v>14984.9</v>
      </c>
      <c r="P521" s="54">
        <f>I521</f>
        <v>1498.49</v>
      </c>
    </row>
    <row r="522" spans="1:22" ht="85.5" x14ac:dyDescent="0.2">
      <c r="A522" s="19">
        <v>79</v>
      </c>
      <c r="B522" s="19" t="str">
        <f>Source!F389</f>
        <v>1.21-3103-21-2/1</v>
      </c>
      <c r="C522" s="19" t="str">
        <f>Source!G389</f>
        <v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6 мм2 (без стоимости материалов)</v>
      </c>
      <c r="D522" s="20" t="str">
        <f>Source!H389</f>
        <v>100 м</v>
      </c>
      <c r="E522" s="47">
        <f>Source!I389</f>
        <v>0.1</v>
      </c>
      <c r="F522" s="49"/>
      <c r="G522" s="21"/>
      <c r="H522" s="47"/>
      <c r="I522" s="47"/>
      <c r="J522" s="49"/>
      <c r="K522" s="49"/>
      <c r="Q522" s="46">
        <f>ROUND((Source!BZ389/100)*ROUND((Source!AF389*Source!AV389)*Source!I389, 2), 2)</f>
        <v>162.13</v>
      </c>
      <c r="R522" s="46">
        <f>Source!X389</f>
        <v>162.13</v>
      </c>
      <c r="S522" s="46">
        <f>ROUND((Source!CA389/100)*ROUND((Source!AF389*Source!AV389)*Source!I389, 2), 2)</f>
        <v>23.16</v>
      </c>
      <c r="T522" s="46">
        <f>Source!Y389</f>
        <v>23.16</v>
      </c>
      <c r="U522" s="46">
        <f>ROUND((175/100)*ROUND((Source!AE389*Source!AV389)*Source!I389, 2), 2)</f>
        <v>0</v>
      </c>
      <c r="V522" s="46">
        <f>ROUND((108/100)*ROUND(Source!CS389*Source!I389, 2), 2)</f>
        <v>0</v>
      </c>
    </row>
    <row r="523" spans="1:22" ht="14.25" x14ac:dyDescent="0.2">
      <c r="A523" s="19"/>
      <c r="B523" s="19"/>
      <c r="C523" s="19" t="s">
        <v>697</v>
      </c>
      <c r="D523" s="20"/>
      <c r="E523" s="47"/>
      <c r="F523" s="49">
        <f>Source!AO389</f>
        <v>2316.08</v>
      </c>
      <c r="G523" s="21" t="str">
        <f>Source!DG389</f>
        <v/>
      </c>
      <c r="H523" s="47">
        <f>Source!AV389</f>
        <v>1</v>
      </c>
      <c r="I523" s="47">
        <f>IF(Source!BA389&lt;&gt; 0, Source!BA389, 1)</f>
        <v>1</v>
      </c>
      <c r="J523" s="49">
        <f>Source!S389</f>
        <v>231.61</v>
      </c>
      <c r="K523" s="49"/>
    </row>
    <row r="524" spans="1:22" ht="114" x14ac:dyDescent="0.2">
      <c r="A524" s="19">
        <v>80</v>
      </c>
      <c r="B524" s="19" t="str">
        <f>Source!F390</f>
        <v>21.23-8-269</v>
      </c>
      <c r="C524" s="19" t="str">
        <f>Source!G390</f>
        <v>Кабели силовые, с медными жилами, с изоляц. и оболоч.из ПВХ пластиката пониж.пожар.опасности, не распростр.горение, с пониж.дымо- и газовыделением и с низк.токсич-тью продуктов горения, напряж.1000 В, марка ВВГнг(А)-LSLTx, число жил и сечение, мм2: 3х1,5</v>
      </c>
      <c r="D524" s="20" t="str">
        <f>Source!H390</f>
        <v>км</v>
      </c>
      <c r="E524" s="47">
        <f>Source!I390</f>
        <v>1.0200000000000001E-2</v>
      </c>
      <c r="F524" s="49">
        <f>Source!AK390</f>
        <v>100115.51</v>
      </c>
      <c r="G524" s="24" t="s">
        <v>3</v>
      </c>
      <c r="H524" s="47">
        <f>Source!AW390</f>
        <v>1</v>
      </c>
      <c r="I524" s="47">
        <f>IF(Source!BC390&lt;&gt; 0, Source!BC390, 1)</f>
        <v>1</v>
      </c>
      <c r="J524" s="49">
        <f>Source!O390</f>
        <v>1021.18</v>
      </c>
      <c r="K524" s="49"/>
      <c r="Q524" s="46">
        <f>ROUND((Source!BZ390/100)*ROUND((Source!AF390*Source!AV390)*Source!I390, 2), 2)</f>
        <v>0</v>
      </c>
      <c r="R524" s="46">
        <f>Source!X390</f>
        <v>0</v>
      </c>
      <c r="S524" s="46">
        <f>ROUND((Source!CA390/100)*ROUND((Source!AF390*Source!AV390)*Source!I390, 2), 2)</f>
        <v>0</v>
      </c>
      <c r="T524" s="46">
        <f>Source!Y390</f>
        <v>0</v>
      </c>
      <c r="U524" s="46">
        <f>ROUND((175/100)*ROUND((Source!AE390*Source!AV390)*Source!I390, 2), 2)</f>
        <v>0</v>
      </c>
      <c r="V524" s="46">
        <f>ROUND((108/100)*ROUND(Source!CS390*Source!I390, 2), 2)</f>
        <v>0</v>
      </c>
    </row>
    <row r="525" spans="1:22" ht="14.25" x14ac:dyDescent="0.2">
      <c r="A525" s="19"/>
      <c r="B525" s="19"/>
      <c r="C525" s="19" t="s">
        <v>699</v>
      </c>
      <c r="D525" s="20" t="s">
        <v>700</v>
      </c>
      <c r="E525" s="47">
        <f>Source!AT389</f>
        <v>70</v>
      </c>
      <c r="F525" s="49"/>
      <c r="G525" s="21"/>
      <c r="H525" s="47"/>
      <c r="I525" s="47"/>
      <c r="J525" s="49">
        <f>SUM(R522:R524)</f>
        <v>162.13</v>
      </c>
      <c r="K525" s="49"/>
    </row>
    <row r="526" spans="1:22" ht="14.25" x14ac:dyDescent="0.2">
      <c r="A526" s="19"/>
      <c r="B526" s="19"/>
      <c r="C526" s="19" t="s">
        <v>701</v>
      </c>
      <c r="D526" s="20" t="s">
        <v>700</v>
      </c>
      <c r="E526" s="47">
        <f>Source!AU389</f>
        <v>10</v>
      </c>
      <c r="F526" s="49"/>
      <c r="G526" s="21"/>
      <c r="H526" s="47"/>
      <c r="I526" s="47"/>
      <c r="J526" s="49">
        <f>SUM(T522:T525)</f>
        <v>23.16</v>
      </c>
      <c r="K526" s="49"/>
    </row>
    <row r="527" spans="1:22" ht="14.25" x14ac:dyDescent="0.2">
      <c r="A527" s="19"/>
      <c r="B527" s="19"/>
      <c r="C527" s="19" t="s">
        <v>702</v>
      </c>
      <c r="D527" s="20" t="s">
        <v>703</v>
      </c>
      <c r="E527" s="47">
        <f>Source!AQ389</f>
        <v>7.11</v>
      </c>
      <c r="F527" s="49"/>
      <c r="G527" s="21" t="str">
        <f>Source!DI389</f>
        <v/>
      </c>
      <c r="H527" s="47">
        <f>Source!AV389</f>
        <v>1</v>
      </c>
      <c r="I527" s="47"/>
      <c r="J527" s="49"/>
      <c r="K527" s="49">
        <f>Source!U389</f>
        <v>0.71100000000000008</v>
      </c>
    </row>
    <row r="528" spans="1:22" ht="15" x14ac:dyDescent="0.25">
      <c r="A528" s="53"/>
      <c r="B528" s="53"/>
      <c r="C528" s="53"/>
      <c r="D528" s="53"/>
      <c r="E528" s="53"/>
      <c r="F528" s="53"/>
      <c r="G528" s="53"/>
      <c r="H528" s="53"/>
      <c r="I528" s="69">
        <f>J523+J525+J526+SUM(J524:J524)</f>
        <v>1438.08</v>
      </c>
      <c r="J528" s="69"/>
      <c r="K528" s="51">
        <f>IF(Source!I389&lt;&gt;0, ROUND(I528/Source!I389, 2), 0)</f>
        <v>14380.8</v>
      </c>
      <c r="P528" s="54">
        <f>I528</f>
        <v>1438.08</v>
      </c>
    </row>
    <row r="529" spans="1:22" ht="71.25" x14ac:dyDescent="0.2">
      <c r="A529" s="19">
        <v>81</v>
      </c>
      <c r="B529" s="19" t="str">
        <f>Source!F391</f>
        <v>1.20-3103-4-3/1</v>
      </c>
      <c r="C529" s="19" t="str">
        <f>Source!G391</f>
        <v>Установка светильников с люминесцентными лампами, отдельно устанавливаемых на штырях с количеством ламп в светильнике до 4 (без стоимости материалов)</v>
      </c>
      <c r="D529" s="20" t="str">
        <f>Source!H391</f>
        <v>100 шт.</v>
      </c>
      <c r="E529" s="47">
        <f>Source!I391</f>
        <v>0.06</v>
      </c>
      <c r="F529" s="49"/>
      <c r="G529" s="21"/>
      <c r="H529" s="47"/>
      <c r="I529" s="47"/>
      <c r="J529" s="49"/>
      <c r="K529" s="49"/>
      <c r="Q529" s="46">
        <f>ROUND((Source!BZ391/100)*ROUND((Source!AF391*Source!AV391)*Source!I391, 2), 2)</f>
        <v>2870.46</v>
      </c>
      <c r="R529" s="46">
        <f>Source!X391</f>
        <v>2870.46</v>
      </c>
      <c r="S529" s="46">
        <f>ROUND((Source!CA391/100)*ROUND((Source!AF391*Source!AV391)*Source!I391, 2), 2)</f>
        <v>410.07</v>
      </c>
      <c r="T529" s="46">
        <f>Source!Y391</f>
        <v>410.07</v>
      </c>
      <c r="U529" s="46">
        <f>ROUND((175/100)*ROUND((Source!AE391*Source!AV391)*Source!I391, 2), 2)</f>
        <v>0</v>
      </c>
      <c r="V529" s="46">
        <f>ROUND((108/100)*ROUND(Source!CS391*Source!I391, 2), 2)</f>
        <v>0</v>
      </c>
    </row>
    <row r="530" spans="1:22" ht="14.25" x14ac:dyDescent="0.2">
      <c r="A530" s="19"/>
      <c r="B530" s="19"/>
      <c r="C530" s="19" t="s">
        <v>697</v>
      </c>
      <c r="D530" s="20"/>
      <c r="E530" s="47"/>
      <c r="F530" s="49">
        <f>Source!AO391</f>
        <v>68344.34</v>
      </c>
      <c r="G530" s="21" t="str">
        <f>Source!DG391</f>
        <v/>
      </c>
      <c r="H530" s="47">
        <f>Source!AV391</f>
        <v>1</v>
      </c>
      <c r="I530" s="47">
        <f>IF(Source!BA391&lt;&gt; 0, Source!BA391, 1)</f>
        <v>1</v>
      </c>
      <c r="J530" s="49">
        <f>Source!S391</f>
        <v>4100.66</v>
      </c>
      <c r="K530" s="49"/>
    </row>
    <row r="531" spans="1:22" ht="85.5" x14ac:dyDescent="0.2">
      <c r="A531" s="19">
        <v>82</v>
      </c>
      <c r="B531" s="19" t="str">
        <f>Source!F392</f>
        <v>Цена поставщика</v>
      </c>
      <c r="C531" s="19" t="str">
        <f>Source!G392</f>
        <v>Светильник GENILED офис, потребляемая мощность 40 Вт, световой поток 4000 Лм, цветовая температура 5000 К, степень защиты IP20, габаритные размеры 595х595х20 мм или эквивалент</v>
      </c>
      <c r="D531" s="20" t="str">
        <f>Source!H392</f>
        <v>шт.</v>
      </c>
      <c r="E531" s="47">
        <f>Source!I392</f>
        <v>6</v>
      </c>
      <c r="F531" s="49">
        <f>Source!AK392</f>
        <v>3570</v>
      </c>
      <c r="G531" s="24" t="s">
        <v>3</v>
      </c>
      <c r="H531" s="47">
        <f>Source!AW392</f>
        <v>1</v>
      </c>
      <c r="I531" s="47">
        <f>IF(Source!BC392&lt;&gt; 0, Source!BC392, 1)</f>
        <v>1</v>
      </c>
      <c r="J531" s="49">
        <f>Source!O392</f>
        <v>21420</v>
      </c>
      <c r="K531" s="49"/>
      <c r="Q531" s="46">
        <f>ROUND((Source!BZ392/100)*ROUND((Source!AF392*Source!AV392)*Source!I392, 2), 2)</f>
        <v>0</v>
      </c>
      <c r="R531" s="46">
        <f>Source!X392</f>
        <v>0</v>
      </c>
      <c r="S531" s="46">
        <f>ROUND((Source!CA392/100)*ROUND((Source!AF392*Source!AV392)*Source!I392, 2), 2)</f>
        <v>0</v>
      </c>
      <c r="T531" s="46">
        <f>Source!Y392</f>
        <v>0</v>
      </c>
      <c r="U531" s="46">
        <f>ROUND((175/100)*ROUND((Source!AE392*Source!AV392)*Source!I392, 2), 2)</f>
        <v>0</v>
      </c>
      <c r="V531" s="46">
        <f>ROUND((108/100)*ROUND(Source!CS392*Source!I392, 2), 2)</f>
        <v>0</v>
      </c>
    </row>
    <row r="532" spans="1:22" ht="14.25" x14ac:dyDescent="0.2">
      <c r="A532" s="19"/>
      <c r="B532" s="19"/>
      <c r="C532" s="19" t="s">
        <v>699</v>
      </c>
      <c r="D532" s="20" t="s">
        <v>700</v>
      </c>
      <c r="E532" s="47">
        <f>Source!AT391</f>
        <v>70</v>
      </c>
      <c r="F532" s="49"/>
      <c r="G532" s="21"/>
      <c r="H532" s="47"/>
      <c r="I532" s="47"/>
      <c r="J532" s="49">
        <f>SUM(R529:R531)</f>
        <v>2870.46</v>
      </c>
      <c r="K532" s="49"/>
    </row>
    <row r="533" spans="1:22" ht="14.25" x14ac:dyDescent="0.2">
      <c r="A533" s="19"/>
      <c r="B533" s="19"/>
      <c r="C533" s="19" t="s">
        <v>701</v>
      </c>
      <c r="D533" s="20" t="s">
        <v>700</v>
      </c>
      <c r="E533" s="47">
        <f>Source!AU391</f>
        <v>10</v>
      </c>
      <c r="F533" s="49"/>
      <c r="G533" s="21"/>
      <c r="H533" s="47"/>
      <c r="I533" s="47"/>
      <c r="J533" s="49">
        <f>SUM(T529:T532)</f>
        <v>410.07</v>
      </c>
      <c r="K533" s="49"/>
    </row>
    <row r="534" spans="1:22" ht="14.25" x14ac:dyDescent="0.2">
      <c r="A534" s="19"/>
      <c r="B534" s="19"/>
      <c r="C534" s="19" t="s">
        <v>702</v>
      </c>
      <c r="D534" s="20" t="s">
        <v>703</v>
      </c>
      <c r="E534" s="47">
        <f>Source!AQ391</f>
        <v>196.42</v>
      </c>
      <c r="F534" s="49"/>
      <c r="G534" s="21" t="str">
        <f>Source!DI391</f>
        <v/>
      </c>
      <c r="H534" s="47">
        <f>Source!AV391</f>
        <v>1</v>
      </c>
      <c r="I534" s="47"/>
      <c r="J534" s="49"/>
      <c r="K534" s="49">
        <f>Source!U391</f>
        <v>11.7852</v>
      </c>
    </row>
    <row r="535" spans="1:22" ht="15" x14ac:dyDescent="0.25">
      <c r="A535" s="53"/>
      <c r="B535" s="53"/>
      <c r="C535" s="53"/>
      <c r="D535" s="53"/>
      <c r="E535" s="53"/>
      <c r="F535" s="53"/>
      <c r="G535" s="53"/>
      <c r="H535" s="53"/>
      <c r="I535" s="69">
        <f>J530+J532+J533+SUM(J531:J531)</f>
        <v>28801.19</v>
      </c>
      <c r="J535" s="69"/>
      <c r="K535" s="51">
        <f>IF(Source!I391&lt;&gt;0, ROUND(I535/Source!I391, 2), 0)</f>
        <v>480019.83</v>
      </c>
      <c r="P535" s="54">
        <f>I535</f>
        <v>28801.19</v>
      </c>
    </row>
    <row r="537" spans="1:22" ht="15" x14ac:dyDescent="0.25">
      <c r="A537" s="73" t="str">
        <f>CONCATENATE("Итого по подразделу: ",IF(Source!G394&lt;&gt;"Новый подраздел", Source!G394, ""))</f>
        <v>Итого по подразделу: 2.4 Электромонтажные работы</v>
      </c>
      <c r="B537" s="73"/>
      <c r="C537" s="73"/>
      <c r="D537" s="73"/>
      <c r="E537" s="73"/>
      <c r="F537" s="73"/>
      <c r="G537" s="73"/>
      <c r="H537" s="73"/>
      <c r="I537" s="71">
        <f>SUM(P498:P536)</f>
        <v>32704.55</v>
      </c>
      <c r="J537" s="72"/>
      <c r="K537" s="26"/>
    </row>
    <row r="540" spans="1:22" ht="15" x14ac:dyDescent="0.25">
      <c r="A540" s="73" t="str">
        <f>CONCATENATE("Итого по разделу: ",IF(Source!G424&lt;&gt;"Новый раздел", Source!G424, ""))</f>
        <v>Итого по разделу: 2. Тренерская</v>
      </c>
      <c r="B540" s="73"/>
      <c r="C540" s="73"/>
      <c r="D540" s="73"/>
      <c r="E540" s="73"/>
      <c r="F540" s="73"/>
      <c r="G540" s="73"/>
      <c r="H540" s="73"/>
      <c r="I540" s="71">
        <f>SUM(P338:P539)</f>
        <v>383628.37</v>
      </c>
      <c r="J540" s="72"/>
      <c r="K540" s="26"/>
    </row>
    <row r="543" spans="1:22" ht="16.5" x14ac:dyDescent="0.25">
      <c r="A543" s="70" t="str">
        <f>CONCATENATE("Раздел: ",IF(Source!G454&lt;&gt;"Новый раздел", Source!G454, ""))</f>
        <v>Раздел: 3. Вывоз мусора</v>
      </c>
      <c r="B543" s="70"/>
      <c r="C543" s="70"/>
      <c r="D543" s="70"/>
      <c r="E543" s="70"/>
      <c r="F543" s="70"/>
      <c r="G543" s="70"/>
      <c r="H543" s="70"/>
      <c r="I543" s="70"/>
      <c r="J543" s="70"/>
      <c r="K543" s="70"/>
    </row>
    <row r="544" spans="1:22" ht="42.75" x14ac:dyDescent="0.2">
      <c r="A544" s="19">
        <v>83</v>
      </c>
      <c r="B544" s="19" t="str">
        <f>Source!F458</f>
        <v>1.49-9101-7-1/1</v>
      </c>
      <c r="C544" s="19" t="str">
        <f>Source!G458</f>
        <v>Механизированная погрузка строительного мусора в автомобили-самосвалы</v>
      </c>
      <c r="D544" s="20" t="str">
        <f>Source!H458</f>
        <v>т</v>
      </c>
      <c r="E544" s="47">
        <f>Source!I458</f>
        <v>3.056</v>
      </c>
      <c r="F544" s="49"/>
      <c r="G544" s="21"/>
      <c r="H544" s="47"/>
      <c r="I544" s="47"/>
      <c r="J544" s="49"/>
      <c r="K544" s="49"/>
      <c r="Q544" s="46">
        <f>ROUND((Source!BZ458/100)*ROUND((Source!AF458*Source!AV458)*Source!I458, 2), 2)</f>
        <v>0</v>
      </c>
      <c r="R544" s="46">
        <f>Source!X458</f>
        <v>0</v>
      </c>
      <c r="S544" s="46">
        <f>ROUND((Source!CA458/100)*ROUND((Source!AF458*Source!AV458)*Source!I458, 2), 2)</f>
        <v>0</v>
      </c>
      <c r="T544" s="46">
        <f>Source!Y458</f>
        <v>0</v>
      </c>
      <c r="U544" s="46">
        <f>ROUND((175/100)*ROUND((Source!AE458*Source!AV458)*Source!I458, 2), 2)</f>
        <v>172.2</v>
      </c>
      <c r="V544" s="46">
        <f>ROUND((108/100)*ROUND(Source!CS458*Source!I458, 2), 2)</f>
        <v>106.27</v>
      </c>
    </row>
    <row r="545" spans="1:22" ht="14.25" x14ac:dyDescent="0.2">
      <c r="A545" s="19"/>
      <c r="B545" s="19"/>
      <c r="C545" s="19" t="s">
        <v>698</v>
      </c>
      <c r="D545" s="20"/>
      <c r="E545" s="47"/>
      <c r="F545" s="49">
        <f>Source!AM458</f>
        <v>96.02</v>
      </c>
      <c r="G545" s="21" t="str">
        <f>Source!DE458</f>
        <v/>
      </c>
      <c r="H545" s="47">
        <f>Source!AV458</f>
        <v>1</v>
      </c>
      <c r="I545" s="47">
        <f>IF(Source!BB458&lt;&gt; 0, Source!BB458, 1)</f>
        <v>1</v>
      </c>
      <c r="J545" s="49">
        <f>Source!Q458</f>
        <v>293.44</v>
      </c>
      <c r="K545" s="49"/>
    </row>
    <row r="546" spans="1:22" ht="14.25" x14ac:dyDescent="0.2">
      <c r="A546" s="19"/>
      <c r="B546" s="19"/>
      <c r="C546" s="19" t="s">
        <v>705</v>
      </c>
      <c r="D546" s="20"/>
      <c r="E546" s="47"/>
      <c r="F546" s="49">
        <f>Source!AN458</f>
        <v>32.200000000000003</v>
      </c>
      <c r="G546" s="21" t="str">
        <f>Source!DF458</f>
        <v/>
      </c>
      <c r="H546" s="47">
        <f>Source!AV458</f>
        <v>1</v>
      </c>
      <c r="I546" s="47">
        <f>IF(Source!BS458&lt;&gt; 0, Source!BS458, 1)</f>
        <v>1</v>
      </c>
      <c r="J546" s="25">
        <f>Source!R458</f>
        <v>98.4</v>
      </c>
      <c r="K546" s="49"/>
    </row>
    <row r="547" spans="1:22" ht="14.25" x14ac:dyDescent="0.2">
      <c r="A547" s="19"/>
      <c r="B547" s="19"/>
      <c r="C547" s="19" t="s">
        <v>706</v>
      </c>
      <c r="D547" s="20" t="s">
        <v>700</v>
      </c>
      <c r="E547" s="47">
        <f>108</f>
        <v>108</v>
      </c>
      <c r="F547" s="49"/>
      <c r="G547" s="21"/>
      <c r="H547" s="47"/>
      <c r="I547" s="47"/>
      <c r="J547" s="49">
        <f>SUM(V544:V546)</f>
        <v>106.27</v>
      </c>
      <c r="K547" s="49"/>
    </row>
    <row r="548" spans="1:22" ht="15" x14ac:dyDescent="0.25">
      <c r="A548" s="53"/>
      <c r="B548" s="53"/>
      <c r="C548" s="53"/>
      <c r="D548" s="53"/>
      <c r="E548" s="53"/>
      <c r="F548" s="53"/>
      <c r="G548" s="53"/>
      <c r="H548" s="53"/>
      <c r="I548" s="69">
        <f>J545+J547</f>
        <v>399.71</v>
      </c>
      <c r="J548" s="69"/>
      <c r="K548" s="51">
        <f>IF(Source!I458&lt;&gt;0, ROUND(I548/Source!I458, 2), 0)</f>
        <v>130.80000000000001</v>
      </c>
      <c r="P548" s="54">
        <f>I548</f>
        <v>399.71</v>
      </c>
    </row>
    <row r="549" spans="1:22" ht="57" x14ac:dyDescent="0.2">
      <c r="A549" s="19">
        <v>84</v>
      </c>
      <c r="B549" s="19" t="str">
        <f>Source!F459</f>
        <v>1.49-9201-1-2/1</v>
      </c>
      <c r="C549" s="19" t="str">
        <f>Source!G459</f>
        <v>Перевозка строительного мусора автосамосвалами грузоподъемностью до 10 т на расстояние 1 км - при механизированной погрузке</v>
      </c>
      <c r="D549" s="20" t="str">
        <f>Source!H459</f>
        <v>т</v>
      </c>
      <c r="E549" s="47">
        <f>Source!I459</f>
        <v>3.056</v>
      </c>
      <c r="F549" s="49"/>
      <c r="G549" s="21"/>
      <c r="H549" s="47"/>
      <c r="I549" s="47"/>
      <c r="J549" s="49"/>
      <c r="K549" s="49"/>
      <c r="Q549" s="46">
        <f>ROUND((Source!BZ459/100)*ROUND((Source!AF459*Source!AV459)*Source!I459, 2), 2)</f>
        <v>0</v>
      </c>
      <c r="R549" s="46">
        <f>Source!X459</f>
        <v>0</v>
      </c>
      <c r="S549" s="46">
        <f>ROUND((Source!CA459/100)*ROUND((Source!AF459*Source!AV459)*Source!I459, 2), 2)</f>
        <v>0</v>
      </c>
      <c r="T549" s="46">
        <f>Source!Y459</f>
        <v>0</v>
      </c>
      <c r="U549" s="46">
        <f>ROUND((175/100)*ROUND((Source!AE459*Source!AV459)*Source!I459, 2), 2)</f>
        <v>209.53</v>
      </c>
      <c r="V549" s="46">
        <f>ROUND((108/100)*ROUND(Source!CS459*Source!I459, 2), 2)</f>
        <v>129.31</v>
      </c>
    </row>
    <row r="550" spans="1:22" ht="14.25" x14ac:dyDescent="0.2">
      <c r="A550" s="19"/>
      <c r="B550" s="19"/>
      <c r="C550" s="19" t="s">
        <v>698</v>
      </c>
      <c r="D550" s="20"/>
      <c r="E550" s="47"/>
      <c r="F550" s="49">
        <f>Source!AM459</f>
        <v>71.53</v>
      </c>
      <c r="G550" s="21" t="str">
        <f>Source!DE459</f>
        <v/>
      </c>
      <c r="H550" s="47">
        <f>Source!AV459</f>
        <v>1</v>
      </c>
      <c r="I550" s="47">
        <f>IF(Source!BB459&lt;&gt; 0, Source!BB459, 1)</f>
        <v>1</v>
      </c>
      <c r="J550" s="49">
        <f>Source!Q459</f>
        <v>218.6</v>
      </c>
      <c r="K550" s="49"/>
    </row>
    <row r="551" spans="1:22" ht="14.25" x14ac:dyDescent="0.2">
      <c r="A551" s="19"/>
      <c r="B551" s="19"/>
      <c r="C551" s="19" t="s">
        <v>705</v>
      </c>
      <c r="D551" s="20"/>
      <c r="E551" s="47"/>
      <c r="F551" s="49">
        <f>Source!AN459</f>
        <v>39.18</v>
      </c>
      <c r="G551" s="21" t="str">
        <f>Source!DF459</f>
        <v/>
      </c>
      <c r="H551" s="47">
        <f>Source!AV459</f>
        <v>1</v>
      </c>
      <c r="I551" s="47">
        <f>IF(Source!BS459&lt;&gt; 0, Source!BS459, 1)</f>
        <v>1</v>
      </c>
      <c r="J551" s="25">
        <f>Source!R459</f>
        <v>119.73</v>
      </c>
      <c r="K551" s="49"/>
    </row>
    <row r="552" spans="1:22" ht="15" x14ac:dyDescent="0.25">
      <c r="A552" s="53"/>
      <c r="B552" s="53"/>
      <c r="C552" s="53"/>
      <c r="D552" s="53"/>
      <c r="E552" s="53"/>
      <c r="F552" s="53"/>
      <c r="G552" s="53"/>
      <c r="H552" s="53"/>
      <c r="I552" s="69">
        <f>J550</f>
        <v>218.6</v>
      </c>
      <c r="J552" s="69"/>
      <c r="K552" s="51">
        <f>IF(Source!I459&lt;&gt;0, ROUND(I552/Source!I459, 2), 0)</f>
        <v>71.53</v>
      </c>
      <c r="P552" s="54">
        <f>I552</f>
        <v>218.6</v>
      </c>
    </row>
    <row r="553" spans="1:22" ht="57" x14ac:dyDescent="0.2">
      <c r="A553" s="19">
        <v>85</v>
      </c>
      <c r="B553" s="19" t="str">
        <f>Source!F460</f>
        <v>1.49-9201-1-3/1</v>
      </c>
      <c r="C553" s="19" t="str">
        <f>Source!G460</f>
        <v>Перевозка строительного мусора автосамосвалами грузоподъемностью до 10 т - добавляется на каждый последующий 1 км до 100 км</v>
      </c>
      <c r="D553" s="20" t="str">
        <f>Source!H460</f>
        <v>т</v>
      </c>
      <c r="E553" s="47">
        <f>Source!I460</f>
        <v>3.056</v>
      </c>
      <c r="F553" s="49"/>
      <c r="G553" s="21"/>
      <c r="H553" s="47"/>
      <c r="I553" s="47"/>
      <c r="J553" s="49"/>
      <c r="K553" s="49"/>
      <c r="Q553" s="46">
        <f>ROUND((Source!BZ460/100)*ROUND((Source!AF460*Source!AV460)*Source!I460, 2), 2)</f>
        <v>0</v>
      </c>
      <c r="R553" s="46">
        <f>Source!X460</f>
        <v>0</v>
      </c>
      <c r="S553" s="46">
        <f>ROUND((Source!CA460/100)*ROUND((Source!AF460*Source!AV460)*Source!I460, 2), 2)</f>
        <v>0</v>
      </c>
      <c r="T553" s="46">
        <f>Source!Y460</f>
        <v>0</v>
      </c>
      <c r="U553" s="46">
        <f>ROUND((175/100)*ROUND((Source!AE460*Source!AV460)*Source!I460, 2), 2)</f>
        <v>4168.87</v>
      </c>
      <c r="V553" s="46">
        <f>ROUND((108/100)*ROUND(Source!CS460*Source!I460, 2), 2)</f>
        <v>2572.79</v>
      </c>
    </row>
    <row r="554" spans="1:22" ht="14.25" x14ac:dyDescent="0.2">
      <c r="A554" s="19"/>
      <c r="B554" s="19"/>
      <c r="C554" s="19" t="s">
        <v>698</v>
      </c>
      <c r="D554" s="20"/>
      <c r="E554" s="47"/>
      <c r="F554" s="49">
        <f>Source!AM460</f>
        <v>33.880000000000003</v>
      </c>
      <c r="G554" s="21" t="str">
        <f>Source!DE460</f>
        <v>)*42</v>
      </c>
      <c r="H554" s="47">
        <f>Source!AV460</f>
        <v>1</v>
      </c>
      <c r="I554" s="47">
        <f>IF(Source!BB460&lt;&gt; 0, Source!BB460, 1)</f>
        <v>1</v>
      </c>
      <c r="J554" s="49">
        <f>Source!Q460</f>
        <v>4348.57</v>
      </c>
      <c r="K554" s="49"/>
    </row>
    <row r="555" spans="1:22" ht="14.25" x14ac:dyDescent="0.2">
      <c r="A555" s="19"/>
      <c r="B555" s="19"/>
      <c r="C555" s="19" t="s">
        <v>705</v>
      </c>
      <c r="D555" s="20"/>
      <c r="E555" s="47"/>
      <c r="F555" s="49">
        <f>Source!AN460</f>
        <v>18.559999999999999</v>
      </c>
      <c r="G555" s="21" t="str">
        <f>Source!DF460</f>
        <v>)*42</v>
      </c>
      <c r="H555" s="47">
        <f>Source!AV460</f>
        <v>1</v>
      </c>
      <c r="I555" s="47">
        <f>IF(Source!BS460&lt;&gt; 0, Source!BS460, 1)</f>
        <v>1</v>
      </c>
      <c r="J555" s="25">
        <f>Source!R460</f>
        <v>2382.21</v>
      </c>
      <c r="K555" s="49"/>
    </row>
    <row r="556" spans="1:22" ht="15" x14ac:dyDescent="0.25">
      <c r="A556" s="53"/>
      <c r="B556" s="53"/>
      <c r="C556" s="53"/>
      <c r="D556" s="53"/>
      <c r="E556" s="53"/>
      <c r="F556" s="53"/>
      <c r="G556" s="53"/>
      <c r="H556" s="53"/>
      <c r="I556" s="69">
        <f>J554</f>
        <v>4348.57</v>
      </c>
      <c r="J556" s="69"/>
      <c r="K556" s="51">
        <f>IF(Source!I460&lt;&gt;0, ROUND(I556/Source!I460, 2), 0)</f>
        <v>1422.96</v>
      </c>
      <c r="P556" s="54">
        <f>I556</f>
        <v>4348.57</v>
      </c>
    </row>
    <row r="558" spans="1:22" ht="15" x14ac:dyDescent="0.25">
      <c r="A558" s="73" t="str">
        <f>CONCATENATE("Итого по разделу: ",IF(Source!G462&lt;&gt;"Новый раздел", Source!G462, ""))</f>
        <v>Итого по разделу: 3. Вывоз мусора</v>
      </c>
      <c r="B558" s="73"/>
      <c r="C558" s="73"/>
      <c r="D558" s="73"/>
      <c r="E558" s="73"/>
      <c r="F558" s="73"/>
      <c r="G558" s="73"/>
      <c r="H558" s="73"/>
      <c r="I558" s="71">
        <f>SUM(P543:P557)</f>
        <v>4966.8799999999992</v>
      </c>
      <c r="J558" s="72"/>
      <c r="K558" s="26"/>
    </row>
    <row r="561" spans="1:32" ht="15" x14ac:dyDescent="0.25">
      <c r="A561" s="73" t="str">
        <f>CONCATENATE("Итого по локальной смете: ",IF(Source!G492&lt;&gt;"Новая локальная смета", Source!G492, ""))</f>
        <v xml:space="preserve">Итого по локальной смете: </v>
      </c>
      <c r="B561" s="73"/>
      <c r="C561" s="73"/>
      <c r="D561" s="73"/>
      <c r="E561" s="73"/>
      <c r="F561" s="73"/>
      <c r="G561" s="73"/>
      <c r="H561" s="73"/>
      <c r="I561" s="71">
        <f>SUM(P32:P560)</f>
        <v>2116768.7999999998</v>
      </c>
      <c r="J561" s="72"/>
      <c r="K561" s="26"/>
    </row>
    <row r="564" spans="1:32" ht="30" x14ac:dyDescent="0.25">
      <c r="A564" s="73" t="str">
        <f>CONCATENATE("Итого по смете: ",IF(Source!G522&lt;&gt;"Новый объект", Source!G522, ""))</f>
        <v>Итого по смете: +Текущий ремонт спортзала №1 + раздевалки по адресу: г. Москва, ул. Митинская улица, д. 48, корп. 2</v>
      </c>
      <c r="B564" s="73"/>
      <c r="C564" s="73"/>
      <c r="D564" s="73"/>
      <c r="E564" s="73"/>
      <c r="F564" s="73"/>
      <c r="G564" s="73"/>
      <c r="H564" s="73"/>
      <c r="I564" s="71">
        <f>SUM(P1:P563)</f>
        <v>2116768.7999999998</v>
      </c>
      <c r="J564" s="72"/>
      <c r="K564" s="26"/>
      <c r="AF564" s="52" t="str">
        <f>CONCATENATE("Итого по смете: ",IF(Source!G522&lt;&gt;"Новый объект", Source!G522, ""))</f>
        <v>Итого по смете: +Текущий ремонт спортзала №1 + раздевалки по адресу: г. Москва, ул. Митинская улица, д. 48, корп. 2</v>
      </c>
    </row>
    <row r="565" spans="1:32" ht="14.25" x14ac:dyDescent="0.2">
      <c r="C565" s="66" t="str">
        <f>Source!H551</f>
        <v>Возврат металла тип 12А (0,1816+0,13744+0,02606)*9520</v>
      </c>
      <c r="D565" s="66"/>
      <c r="E565" s="66"/>
      <c r="F565" s="66"/>
      <c r="G565" s="66"/>
      <c r="H565" s="66"/>
      <c r="I565" s="63">
        <f>IF(Source!F551=0, "", Source!F551)</f>
        <v>3285.35</v>
      </c>
      <c r="J565" s="63"/>
    </row>
    <row r="566" spans="1:32" ht="14.25" x14ac:dyDescent="0.2">
      <c r="C566" s="66" t="str">
        <f>Source!H552</f>
        <v>Возврат металла тип 17А (2,08+0,16)*9520</v>
      </c>
      <c r="D566" s="66"/>
      <c r="E566" s="66"/>
      <c r="F566" s="66"/>
      <c r="G566" s="66"/>
      <c r="H566" s="66"/>
      <c r="I566" s="63">
        <f>IF(Source!F552=0, "", Source!F552)</f>
        <v>21324.799999999999</v>
      </c>
      <c r="J566" s="63"/>
    </row>
    <row r="567" spans="1:32" ht="14.25" x14ac:dyDescent="0.2">
      <c r="C567" s="66" t="str">
        <f>Source!H553</f>
        <v>Итого</v>
      </c>
      <c r="D567" s="66"/>
      <c r="E567" s="66"/>
      <c r="F567" s="66"/>
      <c r="G567" s="66"/>
      <c r="H567" s="66"/>
      <c r="I567" s="63">
        <f>IF(Source!F553=0, "", Source!F553)</f>
        <v>2092158.65</v>
      </c>
      <c r="J567" s="63"/>
    </row>
    <row r="568" spans="1:32" ht="14.25" x14ac:dyDescent="0.2">
      <c r="C568" s="66" t="str">
        <f>Source!H554</f>
        <v>НДС 20%</v>
      </c>
      <c r="D568" s="66"/>
      <c r="E568" s="66"/>
      <c r="F568" s="66"/>
      <c r="G568" s="66"/>
      <c r="H568" s="66"/>
      <c r="I568" s="63">
        <f>IF(Source!F554=0, "", Source!F554)</f>
        <v>418431.73</v>
      </c>
      <c r="J568" s="63"/>
    </row>
    <row r="569" spans="1:32" ht="14.25" x14ac:dyDescent="0.2">
      <c r="C569" s="66" t="str">
        <f>Source!H555</f>
        <v>Всего</v>
      </c>
      <c r="D569" s="66"/>
      <c r="E569" s="66"/>
      <c r="F569" s="66"/>
      <c r="G569" s="66"/>
      <c r="H569" s="66"/>
      <c r="I569" s="63">
        <f>IF(Source!F555=0, "", Source!F555)</f>
        <v>2510590.38</v>
      </c>
      <c r="J569" s="63"/>
    </row>
    <row r="572" spans="1:32" ht="14.25" x14ac:dyDescent="0.2">
      <c r="A572" s="74" t="s">
        <v>709</v>
      </c>
      <c r="B572" s="74"/>
      <c r="C572" s="27" t="str">
        <f>IF(Source!AC12&lt;&gt;"", Source!AC12," ")</f>
        <v xml:space="preserve"> </v>
      </c>
      <c r="D572" s="27"/>
      <c r="E572" s="27"/>
      <c r="F572" s="27"/>
      <c r="G572" s="27"/>
      <c r="H572" s="9" t="str">
        <f>IF(Source!AB12&lt;&gt;"", Source!AB12," ")</f>
        <v xml:space="preserve"> </v>
      </c>
      <c r="I572" s="9"/>
      <c r="J572" s="9"/>
      <c r="K572" s="9"/>
    </row>
    <row r="573" spans="1:32" ht="14.25" x14ac:dyDescent="0.2">
      <c r="A573" s="9"/>
      <c r="B573" s="9"/>
      <c r="C573" s="75" t="s">
        <v>710</v>
      </c>
      <c r="D573" s="75"/>
      <c r="E573" s="75"/>
      <c r="F573" s="75"/>
      <c r="G573" s="75"/>
      <c r="H573" s="9"/>
      <c r="I573" s="9"/>
      <c r="J573" s="9"/>
      <c r="K573" s="9"/>
    </row>
    <row r="574" spans="1:32" ht="14.25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</row>
    <row r="575" spans="1:32" ht="14.25" x14ac:dyDescent="0.2">
      <c r="A575" s="74" t="s">
        <v>711</v>
      </c>
      <c r="B575" s="74"/>
      <c r="C575" s="27" t="str">
        <f>IF(Source!AE12&lt;&gt;"", Source!AE12," ")</f>
        <v xml:space="preserve"> </v>
      </c>
      <c r="D575" s="27"/>
      <c r="E575" s="27"/>
      <c r="F575" s="27"/>
      <c r="G575" s="27"/>
      <c r="H575" s="9" t="str">
        <f>IF(Source!AD12&lt;&gt;"", Source!AD12," ")</f>
        <v xml:space="preserve"> </v>
      </c>
      <c r="I575" s="9"/>
      <c r="J575" s="9"/>
      <c r="K575" s="9"/>
    </row>
    <row r="576" spans="1:32" ht="14.25" x14ac:dyDescent="0.2">
      <c r="A576" s="9"/>
      <c r="B576" s="9"/>
      <c r="C576" s="75" t="s">
        <v>710</v>
      </c>
      <c r="D576" s="75"/>
      <c r="E576" s="75"/>
      <c r="F576" s="75"/>
      <c r="G576" s="75"/>
      <c r="H576" s="9"/>
      <c r="I576" s="9"/>
      <c r="J576" s="9"/>
      <c r="K576" s="9"/>
    </row>
  </sheetData>
  <mergeCells count="146">
    <mergeCell ref="A575:B575"/>
    <mergeCell ref="C576:G576"/>
    <mergeCell ref="C568:H568"/>
    <mergeCell ref="I568:J568"/>
    <mergeCell ref="C569:H569"/>
    <mergeCell ref="I569:J569"/>
    <mergeCell ref="A572:B572"/>
    <mergeCell ref="C573:G573"/>
    <mergeCell ref="C565:H565"/>
    <mergeCell ref="I565:J565"/>
    <mergeCell ref="C566:H566"/>
    <mergeCell ref="I566:J566"/>
    <mergeCell ref="C567:H567"/>
    <mergeCell ref="I567:J567"/>
    <mergeCell ref="I556:J556"/>
    <mergeCell ref="I558:J558"/>
    <mergeCell ref="A558:H558"/>
    <mergeCell ref="I561:J561"/>
    <mergeCell ref="A561:H561"/>
    <mergeCell ref="I564:J564"/>
    <mergeCell ref="A564:H564"/>
    <mergeCell ref="A537:H537"/>
    <mergeCell ref="I540:J540"/>
    <mergeCell ref="A540:H540"/>
    <mergeCell ref="A543:K543"/>
    <mergeCell ref="I548:J548"/>
    <mergeCell ref="I552:J552"/>
    <mergeCell ref="I504:J504"/>
    <mergeCell ref="I511:J511"/>
    <mergeCell ref="I521:J521"/>
    <mergeCell ref="I528:J528"/>
    <mergeCell ref="I535:J535"/>
    <mergeCell ref="I537:J537"/>
    <mergeCell ref="I478:J478"/>
    <mergeCell ref="I485:J485"/>
    <mergeCell ref="I493:J493"/>
    <mergeCell ref="I495:J495"/>
    <mergeCell ref="A495:H495"/>
    <mergeCell ref="A498:K498"/>
    <mergeCell ref="I440:J440"/>
    <mergeCell ref="I447:J447"/>
    <mergeCell ref="I449:J449"/>
    <mergeCell ref="A449:H449"/>
    <mergeCell ref="A452:K452"/>
    <mergeCell ref="I467:J467"/>
    <mergeCell ref="A383:K383"/>
    <mergeCell ref="I393:J393"/>
    <mergeCell ref="I403:J403"/>
    <mergeCell ref="I413:J413"/>
    <mergeCell ref="I423:J423"/>
    <mergeCell ref="I433:J433"/>
    <mergeCell ref="I353:J353"/>
    <mergeCell ref="I360:J360"/>
    <mergeCell ref="I371:J371"/>
    <mergeCell ref="I378:J378"/>
    <mergeCell ref="I380:J380"/>
    <mergeCell ref="A380:H380"/>
    <mergeCell ref="A332:H332"/>
    <mergeCell ref="I335:J335"/>
    <mergeCell ref="A335:H335"/>
    <mergeCell ref="A338:K338"/>
    <mergeCell ref="A340:K340"/>
    <mergeCell ref="I347:J347"/>
    <mergeCell ref="I297:J297"/>
    <mergeCell ref="I307:J307"/>
    <mergeCell ref="I314:J314"/>
    <mergeCell ref="I322:J322"/>
    <mergeCell ref="I330:J330"/>
    <mergeCell ref="I332:J332"/>
    <mergeCell ref="I270:J270"/>
    <mergeCell ref="I272:J272"/>
    <mergeCell ref="A272:H272"/>
    <mergeCell ref="A275:K275"/>
    <mergeCell ref="I281:J281"/>
    <mergeCell ref="I287:J287"/>
    <mergeCell ref="I218:J218"/>
    <mergeCell ref="I229:J229"/>
    <mergeCell ref="I240:J240"/>
    <mergeCell ref="I247:J247"/>
    <mergeCell ref="I255:J255"/>
    <mergeCell ref="I263:J263"/>
    <mergeCell ref="I183:J183"/>
    <mergeCell ref="I185:J185"/>
    <mergeCell ref="A185:H185"/>
    <mergeCell ref="A188:K188"/>
    <mergeCell ref="I203:J203"/>
    <mergeCell ref="I211:J211"/>
    <mergeCell ref="I131:J131"/>
    <mergeCell ref="I138:J138"/>
    <mergeCell ref="I148:J148"/>
    <mergeCell ref="I158:J158"/>
    <mergeCell ref="I165:J165"/>
    <mergeCell ref="I175:J175"/>
    <mergeCell ref="I99:J99"/>
    <mergeCell ref="I101:J101"/>
    <mergeCell ref="A101:H101"/>
    <mergeCell ref="A104:K104"/>
    <mergeCell ref="I114:J114"/>
    <mergeCell ref="I124:J124"/>
    <mergeCell ref="I50:J50"/>
    <mergeCell ref="I57:J57"/>
    <mergeCell ref="I64:J64"/>
    <mergeCell ref="I75:J75"/>
    <mergeCell ref="I81:J81"/>
    <mergeCell ref="I90:J90"/>
    <mergeCell ref="I27:I29"/>
    <mergeCell ref="J27:J29"/>
    <mergeCell ref="A32:K32"/>
    <mergeCell ref="A34:K34"/>
    <mergeCell ref="A36:K36"/>
    <mergeCell ref="I43:J43"/>
    <mergeCell ref="F25:H25"/>
    <mergeCell ref="I25:J25"/>
    <mergeCell ref="A27:A29"/>
    <mergeCell ref="B27:B29"/>
    <mergeCell ref="C27:C29"/>
    <mergeCell ref="D27:D29"/>
    <mergeCell ref="E27:E29"/>
    <mergeCell ref="F27:F29"/>
    <mergeCell ref="G27:G29"/>
    <mergeCell ref="H27:H29"/>
    <mergeCell ref="F22:H22"/>
    <mergeCell ref="I22:J22"/>
    <mergeCell ref="F23:H23"/>
    <mergeCell ref="I23:J23"/>
    <mergeCell ref="F24:H24"/>
    <mergeCell ref="I24:J24"/>
    <mergeCell ref="A15:K15"/>
    <mergeCell ref="A16:K16"/>
    <mergeCell ref="A18:K18"/>
    <mergeCell ref="F20:H20"/>
    <mergeCell ref="I20:J20"/>
    <mergeCell ref="F21:H21"/>
    <mergeCell ref="I21:J21"/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</mergeCells>
  <pageMargins left="0.4" right="0.2" top="0.2" bottom="0.4" header="0.2" footer="0.2"/>
  <pageSetup paperSize="9" scale="65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18"/>
  <sheetViews>
    <sheetView zoomScaleNormal="100" workbookViewId="0">
      <selection activeCell="I19" sqref="I19"/>
    </sheetView>
  </sheetViews>
  <sheetFormatPr defaultRowHeight="12.75" x14ac:dyDescent="0.2"/>
  <cols>
    <col min="1" max="1" width="6.7109375" customWidth="1"/>
    <col min="2" max="2" width="75.7109375" customWidth="1"/>
    <col min="3" max="5" width="15.7109375" customWidth="1"/>
    <col min="30" max="30" width="114.7109375" hidden="1" customWidth="1"/>
    <col min="31" max="32" width="0" hidden="1" customWidth="1"/>
  </cols>
  <sheetData>
    <row r="1" spans="1:30" x14ac:dyDescent="0.2">
      <c r="A1" s="8" t="str">
        <f>Source!B1</f>
        <v>Smeta.RU Flash  (495) 974-1589</v>
      </c>
    </row>
    <row r="2" spans="1:30" ht="14.25" x14ac:dyDescent="0.2">
      <c r="C2" s="9"/>
      <c r="D2" s="9"/>
    </row>
    <row r="3" spans="1:30" ht="15" x14ac:dyDescent="0.25">
      <c r="C3" s="9"/>
      <c r="D3" s="22" t="s">
        <v>671</v>
      </c>
    </row>
    <row r="4" spans="1:30" ht="15" x14ac:dyDescent="0.25">
      <c r="C4" s="22"/>
      <c r="D4" s="22"/>
    </row>
    <row r="5" spans="1:30" ht="15" x14ac:dyDescent="0.25">
      <c r="C5" s="77" t="s">
        <v>712</v>
      </c>
      <c r="D5" s="77"/>
    </row>
    <row r="6" spans="1:30" ht="15" x14ac:dyDescent="0.25">
      <c r="C6" s="28"/>
      <c r="D6" s="28"/>
    </row>
    <row r="7" spans="1:30" ht="15" x14ac:dyDescent="0.25">
      <c r="C7" s="77" t="s">
        <v>712</v>
      </c>
      <c r="D7" s="77"/>
    </row>
    <row r="8" spans="1:30" ht="15" x14ac:dyDescent="0.25">
      <c r="C8" s="28"/>
      <c r="D8" s="28"/>
    </row>
    <row r="9" spans="1:30" ht="15" x14ac:dyDescent="0.25">
      <c r="C9" s="22" t="s">
        <v>713</v>
      </c>
      <c r="D9" s="9"/>
    </row>
    <row r="10" spans="1:30" ht="14.25" x14ac:dyDescent="0.2">
      <c r="A10" s="9"/>
      <c r="B10" s="9"/>
      <c r="C10" s="9"/>
      <c r="D10" s="9"/>
      <c r="E10" s="9"/>
    </row>
    <row r="11" spans="1:30" ht="15.75" x14ac:dyDescent="0.25">
      <c r="A11" s="78" t="str">
        <f>CONCATENATE("Дефектный акт ", IF(Source!AN15&lt;&gt;"", Source!AN15," "))</f>
        <v xml:space="preserve">Дефектный акт  </v>
      </c>
      <c r="B11" s="78"/>
      <c r="C11" s="78"/>
      <c r="D11" s="78"/>
      <c r="E11" s="9"/>
    </row>
    <row r="12" spans="1:30" ht="30" x14ac:dyDescent="0.25">
      <c r="A12" s="79" t="s">
        <v>775</v>
      </c>
      <c r="B12" s="79"/>
      <c r="C12" s="79"/>
      <c r="D12" s="79"/>
      <c r="E12" s="9"/>
      <c r="G12" s="45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AD12" s="31" t="str">
        <f>CONCATENATE("На капитальный ремонт ", Source!G12)</f>
        <v>На капитальный ремонт +Текущий ремонт спортзала №1 + раздевалки по адресу: г. Москва, ул. Митинская улица, д. 48, корп. 2</v>
      </c>
    </row>
    <row r="13" spans="1:30" ht="14.25" x14ac:dyDescent="0.2">
      <c r="A13" s="9"/>
      <c r="B13" s="9"/>
      <c r="C13" s="9"/>
      <c r="D13" s="9"/>
      <c r="E13" s="9"/>
    </row>
    <row r="14" spans="1:30" ht="15" x14ac:dyDescent="0.2">
      <c r="A14" s="9"/>
      <c r="B14" s="29" t="s">
        <v>714</v>
      </c>
      <c r="C14" s="9"/>
      <c r="D14" s="9"/>
      <c r="E14" s="9"/>
    </row>
    <row r="15" spans="1:30" ht="15" x14ac:dyDescent="0.2">
      <c r="A15" s="9"/>
      <c r="B15" s="29" t="s">
        <v>715</v>
      </c>
      <c r="C15" s="9"/>
      <c r="D15" s="9"/>
      <c r="E15" s="9"/>
    </row>
    <row r="16" spans="1:30" ht="15" x14ac:dyDescent="0.2">
      <c r="A16" s="9"/>
      <c r="B16" s="29" t="s">
        <v>716</v>
      </c>
      <c r="C16" s="9"/>
      <c r="D16" s="9"/>
      <c r="E16" s="9"/>
    </row>
    <row r="17" spans="1:5" ht="28.5" x14ac:dyDescent="0.2">
      <c r="A17" s="18" t="s">
        <v>717</v>
      </c>
      <c r="B17" s="18" t="s">
        <v>685</v>
      </c>
      <c r="C17" s="18" t="s">
        <v>686</v>
      </c>
      <c r="D17" s="18" t="s">
        <v>718</v>
      </c>
      <c r="E17" s="30" t="s">
        <v>719</v>
      </c>
    </row>
    <row r="18" spans="1:5" ht="14.25" x14ac:dyDescent="0.2">
      <c r="A18" s="32">
        <v>1</v>
      </c>
      <c r="B18" s="32">
        <v>2</v>
      </c>
      <c r="C18" s="32">
        <v>3</v>
      </c>
      <c r="D18" s="32">
        <v>4</v>
      </c>
      <c r="E18" s="33">
        <v>5</v>
      </c>
    </row>
    <row r="19" spans="1:5" ht="16.5" x14ac:dyDescent="0.25">
      <c r="A19" s="76" t="str">
        <f>CONCATENATE("Локальная смета: ", Source!G20)</f>
        <v>Локальная смета: Новая локальная смета</v>
      </c>
      <c r="B19" s="76"/>
      <c r="C19" s="76"/>
      <c r="D19" s="76"/>
      <c r="E19" s="76"/>
    </row>
    <row r="20" spans="1:5" ht="16.5" x14ac:dyDescent="0.25">
      <c r="A20" s="76" t="str">
        <f>CONCATENATE("Раздел: ", Source!G24)</f>
        <v>Раздел: 1. Спортзал №1</v>
      </c>
      <c r="B20" s="76"/>
      <c r="C20" s="76"/>
      <c r="D20" s="76"/>
      <c r="E20" s="76"/>
    </row>
    <row r="21" spans="1:5" ht="16.5" x14ac:dyDescent="0.25">
      <c r="A21" s="76" t="str">
        <f>CONCATENATE("Подраздел: ", Source!G28)</f>
        <v>Подраздел: 1.1 Демонтажные работы</v>
      </c>
      <c r="B21" s="76"/>
      <c r="C21" s="76"/>
      <c r="D21" s="76"/>
      <c r="E21" s="76"/>
    </row>
    <row r="22" spans="1:5" ht="14.25" x14ac:dyDescent="0.2">
      <c r="A22" s="38">
        <v>1</v>
      </c>
      <c r="B22" s="39" t="str">
        <f>Source!G32</f>
        <v>Разборка плинтусов поливинилхлоридных с креплением шурупами</v>
      </c>
      <c r="C22" s="40" t="str">
        <f>Source!H32</f>
        <v>100 м</v>
      </c>
      <c r="D22" s="41">
        <f>Source!I32</f>
        <v>0.65039999999999998</v>
      </c>
      <c r="E22" s="39"/>
    </row>
    <row r="23" spans="1:5" ht="14.25" x14ac:dyDescent="0.2">
      <c r="A23" s="38">
        <v>2</v>
      </c>
      <c r="B23" s="39" t="str">
        <f>Source!G33</f>
        <v>Расчистка поверхностей от старых покрасок (шпателем, щетками и т.д.)</v>
      </c>
      <c r="C23" s="40" t="str">
        <f>Source!H33</f>
        <v>м2</v>
      </c>
      <c r="D23" s="41">
        <f>Source!I33</f>
        <v>401.97</v>
      </c>
      <c r="E23" s="39"/>
    </row>
    <row r="24" spans="1:5" ht="14.25" x14ac:dyDescent="0.2">
      <c r="A24" s="38">
        <v>3</v>
      </c>
      <c r="B24" s="39" t="str">
        <f>Source!G34</f>
        <v>Демонтаж радиатора массой до 80 кг</v>
      </c>
      <c r="C24" s="40" t="str">
        <f>Source!H34</f>
        <v>100 шт.</v>
      </c>
      <c r="D24" s="41">
        <f>Source!I34</f>
        <v>0.26</v>
      </c>
      <c r="E24" s="39"/>
    </row>
    <row r="25" spans="1:5" ht="14.25" x14ac:dyDescent="0.2">
      <c r="A25" s="38">
        <v>3.1</v>
      </c>
      <c r="B25" s="39" t="str">
        <f>Source!G35</f>
        <v>Масса мусора</v>
      </c>
      <c r="C25" s="40" t="str">
        <f>Source!H35</f>
        <v>т</v>
      </c>
      <c r="D25" s="41">
        <f>Source!I35</f>
        <v>-2.08</v>
      </c>
      <c r="E25" s="39"/>
    </row>
    <row r="26" spans="1:5" ht="14.25" x14ac:dyDescent="0.2">
      <c r="A26" s="38">
        <v>4</v>
      </c>
      <c r="B26" s="39" t="str">
        <f>Source!G36</f>
        <v>Устройство и разборка защитного ограждения лесов из сетки</v>
      </c>
      <c r="C26" s="40" t="str">
        <f>Source!H36</f>
        <v>100 м2</v>
      </c>
      <c r="D26" s="41">
        <f>Source!I36</f>
        <v>0.77600000000000002</v>
      </c>
      <c r="E26" s="39"/>
    </row>
    <row r="27" spans="1:5" ht="28.5" x14ac:dyDescent="0.2">
      <c r="A27" s="38">
        <v>5</v>
      </c>
      <c r="B27" s="39" t="str">
        <f>Source!G37</f>
        <v>Разборка трубопроводов центрального отопления на сварке диаметром труб до 50 мм</v>
      </c>
      <c r="C27" s="40" t="str">
        <f>Source!H37</f>
        <v>100 м</v>
      </c>
      <c r="D27" s="41">
        <f>Source!I37</f>
        <v>0.4</v>
      </c>
      <c r="E27" s="39"/>
    </row>
    <row r="28" spans="1:5" ht="14.25" x14ac:dyDescent="0.2">
      <c r="A28" s="38">
        <v>5.0999999999999996</v>
      </c>
      <c r="B28" s="39" t="str">
        <f>Source!G38</f>
        <v>Масса мусора</v>
      </c>
      <c r="C28" s="40" t="str">
        <f>Source!H38</f>
        <v>т</v>
      </c>
      <c r="D28" s="41">
        <f>Source!I38</f>
        <v>-0.18160000000000001</v>
      </c>
      <c r="E28" s="39"/>
    </row>
    <row r="29" spans="1:5" ht="28.5" x14ac:dyDescent="0.2">
      <c r="A29" s="38">
        <v>6</v>
      </c>
      <c r="B29" s="39" t="str">
        <f>Source!G39</f>
        <v>Вынос и занос мебели, в том числе спортивных снарядов массой до 50 кг</v>
      </c>
      <c r="C29" s="40" t="str">
        <f>Source!H39</f>
        <v>шт.</v>
      </c>
      <c r="D29" s="41">
        <f>Source!I39</f>
        <v>15</v>
      </c>
      <c r="E29" s="39"/>
    </row>
    <row r="30" spans="1:5" ht="28.5" x14ac:dyDescent="0.2">
      <c r="A30" s="38">
        <v>7</v>
      </c>
      <c r="B30" s="39" t="str">
        <f>Source!G40</f>
        <v>Монтаж мелких конструкций из стали различного профиля массой до 20 кг</v>
      </c>
      <c r="C30" s="40" t="str">
        <f>Source!H40</f>
        <v>т</v>
      </c>
      <c r="D30" s="41">
        <f>Source!I40</f>
        <v>0.13744000000000001</v>
      </c>
      <c r="E30" s="39"/>
    </row>
    <row r="31" spans="1:5" ht="28.5" x14ac:dyDescent="0.2">
      <c r="A31" s="38">
        <v>8</v>
      </c>
      <c r="B31" s="39" t="str">
        <f>Source!G41</f>
        <v>Пробивка отбойным молотком сквозных отверстий в бетонных стенах и фундаментах толщиной 0,4 м для трубопроводов диаметром 100 мм</v>
      </c>
      <c r="C31" s="40" t="str">
        <f>Source!H41</f>
        <v>100 шт.</v>
      </c>
      <c r="D31" s="41">
        <f>Source!I41</f>
        <v>0.05</v>
      </c>
      <c r="E31" s="39"/>
    </row>
    <row r="32" spans="1:5" ht="16.5" x14ac:dyDescent="0.25">
      <c r="A32" s="76" t="str">
        <f>CONCATENATE("Подраздел: ", Source!G73)</f>
        <v>Подраздел: 1.2 Ремонтно-строительные работы</v>
      </c>
      <c r="B32" s="76"/>
      <c r="C32" s="76"/>
      <c r="D32" s="76"/>
      <c r="E32" s="76"/>
    </row>
    <row r="33" spans="1:5" ht="28.5" x14ac:dyDescent="0.2">
      <c r="A33" s="38">
        <v>9</v>
      </c>
      <c r="B33" s="39" t="str">
        <f>Source!G77</f>
        <v>Простая штукатурка поверхностей стен по камню и бетону известковым раствором</v>
      </c>
      <c r="C33" s="40" t="str">
        <f>Source!H77</f>
        <v>100 м2</v>
      </c>
      <c r="D33" s="41">
        <f>Source!I77</f>
        <v>3.9590999999999998</v>
      </c>
      <c r="E33" s="39"/>
    </row>
    <row r="34" spans="1:5" ht="28.5" x14ac:dyDescent="0.2">
      <c r="A34" s="38">
        <v>10</v>
      </c>
      <c r="B34" s="39" t="str">
        <f>Source!G78</f>
        <v>Обработка поверхностей стен грунтовкой глубокого проникновения внутри помещения</v>
      </c>
      <c r="C34" s="40" t="str">
        <f>Source!H78</f>
        <v>100 м2</v>
      </c>
      <c r="D34" s="41">
        <f>Source!I78</f>
        <v>3.9590999999999998</v>
      </c>
      <c r="E34" s="39"/>
    </row>
    <row r="35" spans="1:5" ht="28.5" x14ac:dyDescent="0.2">
      <c r="A35" s="38">
        <v>11</v>
      </c>
      <c r="B35" s="39" t="str">
        <f>Source!G79</f>
        <v>Улучшенная окраска стен внутри помещений водно-дисперсионными акриловыми красками - краска моющаяся типа ВД-АК-210</v>
      </c>
      <c r="C35" s="40" t="str">
        <f>Source!H79</f>
        <v>100 м2</v>
      </c>
      <c r="D35" s="41">
        <f>Source!I79</f>
        <v>3.9590999999999998</v>
      </c>
      <c r="E35" s="39"/>
    </row>
    <row r="36" spans="1:5" ht="28.5" x14ac:dyDescent="0.2">
      <c r="A36" s="38">
        <v>12</v>
      </c>
      <c r="B36" s="39" t="str">
        <f>Source!G80</f>
        <v>Установка и разборка инвентарных лесов внутренних трубчатых при высоте помещений до 6 м (без затрат по эксплуатации лесов)</v>
      </c>
      <c r="C36" s="40" t="str">
        <f>Source!H80</f>
        <v>100 м2</v>
      </c>
      <c r="D36" s="41">
        <f>Source!I80</f>
        <v>2.8370000000000002</v>
      </c>
      <c r="E36" s="39"/>
    </row>
    <row r="37" spans="1:5" ht="28.5" x14ac:dyDescent="0.2">
      <c r="A37" s="38">
        <v>13</v>
      </c>
      <c r="B37" s="39" t="str">
        <f>Source!G81</f>
        <v>Простая штукатурка поверхностей потолков по камню и бетону известковым раствором</v>
      </c>
      <c r="C37" s="40" t="str">
        <f>Source!H81</f>
        <v>100 м2</v>
      </c>
      <c r="D37" s="41">
        <f>Source!I81</f>
        <v>2.8370000000000002</v>
      </c>
      <c r="E37" s="39"/>
    </row>
    <row r="38" spans="1:5" ht="28.5" x14ac:dyDescent="0.2">
      <c r="A38" s="38">
        <v>14</v>
      </c>
      <c r="B38" s="39" t="str">
        <f>Source!G82</f>
        <v>Обработка поверхностей потолков грунтовкой глубокого проникновения внутри помещения</v>
      </c>
      <c r="C38" s="40" t="str">
        <f>Source!H82</f>
        <v>100 м2</v>
      </c>
      <c r="D38" s="41">
        <f>Source!I82</f>
        <v>2.8370000000000002</v>
      </c>
      <c r="E38" s="39"/>
    </row>
    <row r="39" spans="1:5" ht="28.5" x14ac:dyDescent="0.2">
      <c r="A39" s="38">
        <v>15</v>
      </c>
      <c r="B39" s="39" t="str">
        <f>Source!G83</f>
        <v>Улучшенная окраска потолков внутри помещений водно-дисперсионными акриловыми красками - краска моющаяся типа ВД-АК-210</v>
      </c>
      <c r="C39" s="40" t="str">
        <f>Source!H83</f>
        <v>100 м2</v>
      </c>
      <c r="D39" s="41">
        <f>Source!I83</f>
        <v>2.8370000000000002</v>
      </c>
      <c r="E39" s="39"/>
    </row>
    <row r="40" spans="1:5" ht="28.5" x14ac:dyDescent="0.2">
      <c r="A40" s="38">
        <v>16</v>
      </c>
      <c r="B40" s="39" t="str">
        <f>Source!G84</f>
        <v>Устройство плинтусов - поливинилхлоридных на винтах самонарезающих с креплением через защёлку / с мягким краем, размеры 50-62х21 мм</v>
      </c>
      <c r="C40" s="40" t="str">
        <f>Source!H84</f>
        <v>100 м</v>
      </c>
      <c r="D40" s="41">
        <f>Source!I84</f>
        <v>0.65039999999999998</v>
      </c>
      <c r="E40" s="39"/>
    </row>
    <row r="41" spans="1:5" ht="28.5" x14ac:dyDescent="0.2">
      <c r="A41" s="38">
        <v>17</v>
      </c>
      <c r="B41" s="39" t="str">
        <f>Source!G85</f>
        <v>Установка штучных изделий столов, шкафов под мойки, холодильных шкафов и др. (без стоимости изделий)</v>
      </c>
      <c r="C41" s="40" t="str">
        <f>Source!H85</f>
        <v>100 шт.</v>
      </c>
      <c r="D41" s="41">
        <f>Source!I85</f>
        <v>0.04</v>
      </c>
      <c r="E41" s="39"/>
    </row>
    <row r="42" spans="1:5" ht="14.25" x14ac:dyDescent="0.2">
      <c r="A42" s="38">
        <v>17.100000000000001</v>
      </c>
      <c r="B42" s="39" t="str">
        <f>Source!G86</f>
        <v>Шведская стенка деревянная с турником 1x3 м или эквивалент</v>
      </c>
      <c r="C42" s="40" t="str">
        <f>Source!H86</f>
        <v>шт.</v>
      </c>
      <c r="D42" s="41">
        <f>Source!I86</f>
        <v>4</v>
      </c>
      <c r="E42" s="39"/>
    </row>
    <row r="43" spans="1:5" ht="16.5" x14ac:dyDescent="0.25">
      <c r="A43" s="76" t="str">
        <f>CONCATENATE("Подраздел: ", Source!G118)</f>
        <v>Подраздел: 1.3 Сантехнические работы</v>
      </c>
      <c r="B43" s="76"/>
      <c r="C43" s="76"/>
      <c r="D43" s="76"/>
      <c r="E43" s="76"/>
    </row>
    <row r="44" spans="1:5" ht="28.5" x14ac:dyDescent="0.2">
      <c r="A44" s="38">
        <v>18</v>
      </c>
      <c r="B44" s="39" t="str">
        <f>Source!G122</f>
        <v>Установка радиаторов биметаллических "Рифар" / 10 секций, размеры 261х100х800 мм, теплоотдача 1010 Вт</v>
      </c>
      <c r="C44" s="40" t="str">
        <f>Source!H122</f>
        <v>100 квт</v>
      </c>
      <c r="D44" s="41">
        <f>Source!I122</f>
        <v>0.50960000000000005</v>
      </c>
      <c r="E44" s="39"/>
    </row>
    <row r="45" spans="1:5" ht="42.75" x14ac:dyDescent="0.2">
      <c r="A45" s="38">
        <v>18.100000000000001</v>
      </c>
      <c r="B45" s="39" t="str">
        <f>Source!G123</f>
        <v>Радиаторы биметаллические секционные "Рифар", межосевое расстояние 200 мм, 10 секций, размеры 261х100х800 мм, теплоотдача 1010 Вт</v>
      </c>
      <c r="C45" s="40" t="str">
        <f>Source!H123</f>
        <v>шт.</v>
      </c>
      <c r="D45" s="41">
        <f>Source!I123</f>
        <v>-50.455495999999997</v>
      </c>
      <c r="E45" s="39"/>
    </row>
    <row r="46" spans="1:5" ht="14.25" x14ac:dyDescent="0.2">
      <c r="A46" s="38">
        <v>18.2</v>
      </c>
      <c r="B46" s="39" t="str">
        <f>Source!G124</f>
        <v>Радиатор Rifar Monolit 500/100 биметалл 10 секций или эквивалент</v>
      </c>
      <c r="C46" s="40" t="str">
        <f>Source!H124</f>
        <v>шт.</v>
      </c>
      <c r="D46" s="41">
        <f>Source!I124</f>
        <v>26</v>
      </c>
      <c r="E46" s="39"/>
    </row>
    <row r="47" spans="1:5" ht="14.25" x14ac:dyDescent="0.2">
      <c r="A47" s="38">
        <v>18.3</v>
      </c>
      <c r="B47" s="39" t="str">
        <f>Source!G125</f>
        <v>Кронштейны для крепления отопительных приборов, марка КР1-РС</v>
      </c>
      <c r="C47" s="40" t="str">
        <f>Source!H125</f>
        <v>компл.</v>
      </c>
      <c r="D47" s="41">
        <f>Source!I125</f>
        <v>-22.524319999999999</v>
      </c>
      <c r="E47" s="39"/>
    </row>
    <row r="48" spans="1:5" ht="28.5" x14ac:dyDescent="0.2">
      <c r="A48" s="38">
        <v>18.399999999999999</v>
      </c>
      <c r="B48" s="39" t="str">
        <f>Source!G126</f>
        <v>Кронштейны для крепления отопительных приборов, марка КРД, длина 131 мм</v>
      </c>
      <c r="C48" s="40" t="str">
        <f>Source!H126</f>
        <v>шт.</v>
      </c>
      <c r="D48" s="41">
        <f>Source!I126</f>
        <v>52</v>
      </c>
      <c r="E48" s="39"/>
    </row>
    <row r="49" spans="1:5" ht="14.25" x14ac:dyDescent="0.2">
      <c r="A49" s="38">
        <v>19</v>
      </c>
      <c r="B49" s="39" t="str">
        <f>Source!G127</f>
        <v>Установка терморегулирующих клапанов на отопительных приборах</v>
      </c>
      <c r="C49" s="40" t="str">
        <f>Source!H127</f>
        <v>100 шт.</v>
      </c>
      <c r="D49" s="41">
        <f>Source!I127</f>
        <v>0.02</v>
      </c>
      <c r="E49" s="39"/>
    </row>
    <row r="50" spans="1:5" ht="28.5" x14ac:dyDescent="0.2">
      <c r="A50" s="38">
        <v>20</v>
      </c>
      <c r="B50" s="39" t="str">
        <f>Source!G128</f>
        <v>Окраска суриком металлических решеток, переплетов, радиаторов, труб диаметром менее 50 мм и т.п. за два раза</v>
      </c>
      <c r="C50" s="40" t="str">
        <f>Source!H128</f>
        <v>100 м2</v>
      </c>
      <c r="D50" s="41">
        <f>Source!I128</f>
        <v>2.188E-2</v>
      </c>
      <c r="E50" s="39"/>
    </row>
    <row r="51" spans="1:5" ht="42.75" x14ac:dyDescent="0.2">
      <c r="A51" s="38">
        <v>21</v>
      </c>
      <c r="B51" s="39" t="str">
        <f>Source!G129</f>
        <v>Прокладка трубопроводов отопления из стальных водогазопроводных неоцинкованных труб диаметром 20 мм (без стоимости арматуры и креплений)</v>
      </c>
      <c r="C51" s="40" t="str">
        <f>Source!H129</f>
        <v>100 м</v>
      </c>
      <c r="D51" s="41">
        <f>Source!I129</f>
        <v>0.54</v>
      </c>
      <c r="E51" s="39"/>
    </row>
    <row r="52" spans="1:5" ht="42.75" x14ac:dyDescent="0.2">
      <c r="A52" s="38">
        <v>21.1</v>
      </c>
      <c r="B52" s="39" t="str">
        <f>Source!G130</f>
        <v>Арматурные заготовки (стержни, хомуты и т.п.), не собранные в каркасы или сетки, арматурная сталь периодического профиля, класс А-III, диаметр 20-22 мм</v>
      </c>
      <c r="C52" s="40" t="str">
        <f>Source!H130</f>
        <v>т</v>
      </c>
      <c r="D52" s="41">
        <f>Source!I130</f>
        <v>7.2900000000000006E-2</v>
      </c>
      <c r="E52" s="39"/>
    </row>
    <row r="53" spans="1:5" ht="42.75" x14ac:dyDescent="0.2">
      <c r="A53" s="38">
        <v>22</v>
      </c>
      <c r="B53" s="39" t="str">
        <f>Source!G131</f>
        <v>Прокладка трубопроводов отопления из стальных водогазопроводных неоцинкованных труб диаметром 25 мм (без стоимости арматуры и креплений)</v>
      </c>
      <c r="C53" s="40" t="str">
        <f>Source!H131</f>
        <v>100 м</v>
      </c>
      <c r="D53" s="41">
        <f>Source!I131</f>
        <v>0.3</v>
      </c>
      <c r="E53" s="39"/>
    </row>
    <row r="54" spans="1:5" ht="42.75" x14ac:dyDescent="0.2">
      <c r="A54" s="38">
        <v>22.1</v>
      </c>
      <c r="B54" s="39" t="str">
        <f>Source!G132</f>
        <v>Арматурные заготовки (стержни, хомуты и т.п.), не собранные в каркасы или сетки, арматурная сталь периодического профиля, класс А-III, диаметр 20-22 мм</v>
      </c>
      <c r="C54" s="40" t="str">
        <f>Source!H132</f>
        <v>т</v>
      </c>
      <c r="D54" s="41">
        <f>Source!I132</f>
        <v>4.0500000000000001E-2</v>
      </c>
      <c r="E54" s="39"/>
    </row>
    <row r="55" spans="1:5" ht="28.5" x14ac:dyDescent="0.2">
      <c r="A55" s="38">
        <v>23</v>
      </c>
      <c r="B55" s="39" t="str">
        <f>Source!G133</f>
        <v>Гидравлическое испытание трубопроводов систем отопления диаметром до 50 мм</v>
      </c>
      <c r="C55" s="40" t="str">
        <f>Source!H133</f>
        <v>100 м</v>
      </c>
      <c r="D55" s="41">
        <f>Source!I133</f>
        <v>0.84</v>
      </c>
      <c r="E55" s="39"/>
    </row>
    <row r="56" spans="1:5" ht="28.5" x14ac:dyDescent="0.2">
      <c r="A56" s="38">
        <v>24</v>
      </c>
      <c r="B56" s="39" t="str">
        <f>Source!G134</f>
        <v>Установка муфтовой арматуры диаметром 20 мм (без стоимости арматуры)</v>
      </c>
      <c r="C56" s="40" t="str">
        <f>Source!H134</f>
        <v>10 шт.</v>
      </c>
      <c r="D56" s="41">
        <f>Source!I134</f>
        <v>1</v>
      </c>
      <c r="E56" s="39"/>
    </row>
    <row r="57" spans="1:5" ht="14.25" x14ac:dyDescent="0.2">
      <c r="A57" s="38">
        <v>24.1</v>
      </c>
      <c r="B57" s="39" t="str">
        <f>Source!G135</f>
        <v>Кран шаровой Ду 20 Бугатти или эквивалент</v>
      </c>
      <c r="C57" s="40" t="str">
        <f>Source!H135</f>
        <v>шт.</v>
      </c>
      <c r="D57" s="41">
        <f>Source!I135</f>
        <v>10</v>
      </c>
      <c r="E57" s="39"/>
    </row>
    <row r="58" spans="1:5" ht="28.5" x14ac:dyDescent="0.2">
      <c r="A58" s="38">
        <v>25</v>
      </c>
      <c r="B58" s="39" t="str">
        <f>Source!G136</f>
        <v>Установка муфтовой арматуры диаметром 25 мм (без стоимости арматуры)</v>
      </c>
      <c r="C58" s="40" t="str">
        <f>Source!H136</f>
        <v>10 шт.</v>
      </c>
      <c r="D58" s="41">
        <f>Source!I136</f>
        <v>0.4</v>
      </c>
      <c r="E58" s="39"/>
    </row>
    <row r="59" spans="1:5" ht="14.25" x14ac:dyDescent="0.2">
      <c r="A59" s="38">
        <v>25.1</v>
      </c>
      <c r="B59" s="39" t="str">
        <f>Source!G137</f>
        <v>Кран шаровой Ду 25 Бугатти или эквивалент</v>
      </c>
      <c r="C59" s="40" t="str">
        <f>Source!H137</f>
        <v>шт.</v>
      </c>
      <c r="D59" s="41">
        <f>Source!I137</f>
        <v>4</v>
      </c>
      <c r="E59" s="39"/>
    </row>
    <row r="60" spans="1:5" ht="28.5" x14ac:dyDescent="0.2">
      <c r="A60" s="38">
        <v>26</v>
      </c>
      <c r="B60" s="39" t="str">
        <f>Source!G138</f>
        <v>Заделка отверстий в бетонных перекрытиях в местах прохода трубопроводов</v>
      </c>
      <c r="C60" s="40" t="str">
        <f>Source!H138</f>
        <v>100 шт.</v>
      </c>
      <c r="D60" s="41">
        <f>Source!I138</f>
        <v>0.05</v>
      </c>
      <c r="E60" s="39"/>
    </row>
    <row r="61" spans="1:5" ht="16.5" x14ac:dyDescent="0.25">
      <c r="A61" s="76" t="str">
        <f>CONCATENATE("Подраздел: ", Source!G170)</f>
        <v>Подраздел: 1.4 Электромонтажные работы</v>
      </c>
      <c r="B61" s="76"/>
      <c r="C61" s="76"/>
      <c r="D61" s="76"/>
      <c r="E61" s="76"/>
    </row>
    <row r="62" spans="1:5" ht="28.5" x14ac:dyDescent="0.2">
      <c r="A62" s="38">
        <v>27</v>
      </c>
      <c r="B62" s="39" t="str">
        <f>Source!G174</f>
        <v>Демонтаж осветительных приборов - светильник для люминесцентных ламп</v>
      </c>
      <c r="C62" s="40" t="str">
        <f>Source!H174</f>
        <v>100 шт.</v>
      </c>
      <c r="D62" s="41">
        <f>Source!I174</f>
        <v>0.98</v>
      </c>
      <c r="E62" s="39"/>
    </row>
    <row r="63" spans="1:5" ht="14.25" x14ac:dyDescent="0.2">
      <c r="A63" s="38">
        <v>28</v>
      </c>
      <c r="B63" s="39" t="str">
        <f>Source!G175</f>
        <v>Демонтаж кабеля</v>
      </c>
      <c r="C63" s="40" t="str">
        <f>Source!H175</f>
        <v>100 м</v>
      </c>
      <c r="D63" s="41">
        <f>Source!I175</f>
        <v>0.35489999999999999</v>
      </c>
      <c r="E63" s="39"/>
    </row>
    <row r="64" spans="1:5" ht="28.5" x14ac:dyDescent="0.2">
      <c r="A64" s="38">
        <v>29</v>
      </c>
      <c r="B64" s="39" t="str">
        <f>Source!G176</f>
        <v>Прокладка пластикового кабель-канала по бетонному основанию / сечение 20х12,5 мм</v>
      </c>
      <c r="C64" s="40" t="str">
        <f>Source!H176</f>
        <v>100 м</v>
      </c>
      <c r="D64" s="41">
        <f>Source!I176</f>
        <v>0.1</v>
      </c>
      <c r="E64" s="39"/>
    </row>
    <row r="65" spans="1:5" ht="42.75" x14ac:dyDescent="0.2">
      <c r="A65" s="38">
        <v>30</v>
      </c>
      <c r="B65" s="39" t="str">
        <f>Source!G177</f>
        <v>Прокладка труб гофрированных поливинилхлоридных наружным диаметром 20 мм открыто по стенам и потолкам с установкой соединительных коробок</v>
      </c>
      <c r="C65" s="40" t="str">
        <f>Source!H177</f>
        <v>100 м</v>
      </c>
      <c r="D65" s="41">
        <f>Source!I177</f>
        <v>0.35489999999999999</v>
      </c>
      <c r="E65" s="39"/>
    </row>
    <row r="66" spans="1:5" ht="42.75" x14ac:dyDescent="0.2">
      <c r="A66" s="38">
        <v>31</v>
      </c>
      <c r="B66" s="39" t="str">
        <f>Source!G178</f>
        <v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6 мм2 (без стоимости материалов)</v>
      </c>
      <c r="C66" s="40" t="str">
        <f>Source!H178</f>
        <v>100 м</v>
      </c>
      <c r="D66" s="41">
        <f>Source!I178</f>
        <v>0.35489999999999999</v>
      </c>
      <c r="E66" s="39"/>
    </row>
    <row r="67" spans="1:5" ht="57" x14ac:dyDescent="0.2">
      <c r="A67" s="38">
        <v>31.1</v>
      </c>
      <c r="B67" s="39" t="str">
        <f>Source!G179</f>
        <v>Кабели силовые, с медными жилами, с изоляц. и оболоч.из ПВХ пластиката пониж.пожар.опасности, не распростр.горение, с пониж.дымо- и газовыделением и с низк.токсич-тью продуктов горения, напряж.1000 В, марка ВВГнг(А)-LSLTx, число жил и сечение, мм2: 3х1,5</v>
      </c>
      <c r="C67" s="40" t="str">
        <f>Source!H179</f>
        <v>км</v>
      </c>
      <c r="D67" s="41">
        <f>Source!I179</f>
        <v>3.6200000000000003E-2</v>
      </c>
      <c r="E67" s="39"/>
    </row>
    <row r="68" spans="1:5" ht="28.5" x14ac:dyDescent="0.2">
      <c r="A68" s="38">
        <v>32</v>
      </c>
      <c r="B68" s="39" t="str">
        <f>Source!G180</f>
        <v>Замена электроустановочных изделий, открытая проводка, выключатель, розетка (без стоимости материалов)</v>
      </c>
      <c r="C68" s="40" t="str">
        <f>Source!H180</f>
        <v>100 шт.</v>
      </c>
      <c r="D68" s="41">
        <f>Source!I180</f>
        <v>0.02</v>
      </c>
      <c r="E68" s="39"/>
    </row>
    <row r="69" spans="1:5" ht="28.5" x14ac:dyDescent="0.2">
      <c r="A69" s="38">
        <v>32.1</v>
      </c>
      <c r="B69" s="39" t="str">
        <f>Source!G181</f>
        <v>Выключатели, серия "Прима", напряжение 250 В, сила тока 6 А, тип: А16-051, одноклавишный, открытой установки</v>
      </c>
      <c r="C69" s="40" t="str">
        <f>Source!H181</f>
        <v>шт.</v>
      </c>
      <c r="D69" s="41">
        <f>Source!I181</f>
        <v>1</v>
      </c>
      <c r="E69" s="39"/>
    </row>
    <row r="70" spans="1:5" ht="28.5" x14ac:dyDescent="0.2">
      <c r="A70" s="38">
        <v>32.200000000000003</v>
      </c>
      <c r="B70" s="39" t="str">
        <f>Source!G182</f>
        <v>Выключатели серии "Прима", напряжение 250 В, сила тока 6 А, открытой установки двухклавишные, тип А56-029</v>
      </c>
      <c r="C70" s="40" t="str">
        <f>Source!H182</f>
        <v>шт.</v>
      </c>
      <c r="D70" s="41">
        <f>Source!I182</f>
        <v>1</v>
      </c>
      <c r="E70" s="39"/>
    </row>
    <row r="71" spans="1:5" ht="42.75" x14ac:dyDescent="0.2">
      <c r="A71" s="38">
        <v>33</v>
      </c>
      <c r="B71" s="39" t="str">
        <f>Source!G183</f>
        <v>Установка светильников с люминесцентными лампами, отдельно устанавливаемых на штырях с количеством ламп в светильнике до 4 (без стоимости материалов)</v>
      </c>
      <c r="C71" s="40" t="str">
        <f>Source!H183</f>
        <v>100 шт.</v>
      </c>
      <c r="D71" s="41">
        <f>Source!I183</f>
        <v>0.64</v>
      </c>
      <c r="E71" s="39"/>
    </row>
    <row r="72" spans="1:5" ht="28.5" x14ac:dyDescent="0.2">
      <c r="A72" s="38">
        <v>33.1</v>
      </c>
      <c r="B72" s="39" t="str">
        <f>Source!G184</f>
        <v>Светильник светодиодный Geniled ЛПО 1200х180х40мм 40Вт 4000К Опал или эквивалент</v>
      </c>
      <c r="C72" s="40" t="str">
        <f>Source!H184</f>
        <v>шт.</v>
      </c>
      <c r="D72" s="41">
        <f>Source!I184</f>
        <v>56</v>
      </c>
      <c r="E72" s="39"/>
    </row>
    <row r="73" spans="1:5" ht="28.5" x14ac:dyDescent="0.2">
      <c r="A73" s="38">
        <v>33.200000000000003</v>
      </c>
      <c r="B73" s="39" t="str">
        <f>Source!G185</f>
        <v>Светильник светодиодный Geniled ЛПО 1200х180х40мм 40Вт 4000К Опал БАП или эквивалент</v>
      </c>
      <c r="C73" s="40" t="str">
        <f>Source!H185</f>
        <v>шт.</v>
      </c>
      <c r="D73" s="41">
        <f>Source!I185</f>
        <v>8</v>
      </c>
      <c r="E73" s="39"/>
    </row>
    <row r="74" spans="1:5" ht="16.5" x14ac:dyDescent="0.25">
      <c r="A74" s="76" t="str">
        <f>CONCATENATE("Раздел: ", Source!G247)</f>
        <v>Раздел: 2. Тренерская</v>
      </c>
      <c r="B74" s="76"/>
      <c r="C74" s="76"/>
      <c r="D74" s="76"/>
      <c r="E74" s="76"/>
    </row>
    <row r="75" spans="1:5" ht="16.5" x14ac:dyDescent="0.25">
      <c r="A75" s="76" t="str">
        <f>CONCATENATE("Подраздел: ", Source!G251)</f>
        <v>Подраздел: 2.1 Тренерская</v>
      </c>
      <c r="B75" s="76"/>
      <c r="C75" s="76"/>
      <c r="D75" s="76"/>
      <c r="E75" s="76"/>
    </row>
    <row r="76" spans="1:5" ht="14.25" x14ac:dyDescent="0.2">
      <c r="A76" s="38">
        <v>34</v>
      </c>
      <c r="B76" s="39" t="str">
        <f>Source!G255</f>
        <v>Разборка плинтусов поливинилхлоридных с креплением шурупами</v>
      </c>
      <c r="C76" s="40" t="str">
        <f>Source!H255</f>
        <v>100 м</v>
      </c>
      <c r="D76" s="41">
        <f>Source!I255</f>
        <v>0.26100000000000001</v>
      </c>
      <c r="E76" s="39"/>
    </row>
    <row r="77" spans="1:5" ht="14.25" x14ac:dyDescent="0.2">
      <c r="A77" s="38">
        <v>35</v>
      </c>
      <c r="B77" s="39" t="str">
        <f>Source!G256</f>
        <v>Расчистка поверхностей от старых покрасок (шпателем, щетками и т.д.)</v>
      </c>
      <c r="C77" s="40" t="str">
        <f>Source!H256</f>
        <v>м2</v>
      </c>
      <c r="D77" s="41">
        <f>Source!I256</f>
        <v>16.5</v>
      </c>
      <c r="E77" s="39"/>
    </row>
    <row r="78" spans="1:5" ht="14.25" x14ac:dyDescent="0.2">
      <c r="A78" s="38">
        <v>36</v>
      </c>
      <c r="B78" s="39" t="str">
        <f>Source!G257</f>
        <v>Демонтаж радиатора массой до 80 кг</v>
      </c>
      <c r="C78" s="40" t="str">
        <f>Source!H257</f>
        <v>100 шт.</v>
      </c>
      <c r="D78" s="41">
        <f>Source!I257</f>
        <v>0.03</v>
      </c>
      <c r="E78" s="39"/>
    </row>
    <row r="79" spans="1:5" ht="14.25" x14ac:dyDescent="0.2">
      <c r="A79" s="38">
        <v>36.1</v>
      </c>
      <c r="B79" s="39" t="str">
        <f>Source!G258</f>
        <v>Масса мусора</v>
      </c>
      <c r="C79" s="40" t="str">
        <f>Source!H258</f>
        <v>т</v>
      </c>
      <c r="D79" s="41">
        <f>Source!I258</f>
        <v>-0.24</v>
      </c>
      <c r="E79" s="39"/>
    </row>
    <row r="80" spans="1:5" ht="28.5" x14ac:dyDescent="0.2">
      <c r="A80" s="38">
        <v>37</v>
      </c>
      <c r="B80" s="39" t="str">
        <f>Source!G259</f>
        <v>Разборка трубопроводов центрального отопления на сварке диаметром труб до 50 мм</v>
      </c>
      <c r="C80" s="40" t="str">
        <f>Source!H259</f>
        <v>100 м</v>
      </c>
      <c r="D80" s="41">
        <f>Source!I259</f>
        <v>5.74E-2</v>
      </c>
      <c r="E80" s="39"/>
    </row>
    <row r="81" spans="1:5" ht="14.25" x14ac:dyDescent="0.2">
      <c r="A81" s="38">
        <v>37.1</v>
      </c>
      <c r="B81" s="39" t="str">
        <f>Source!G260</f>
        <v>Масса мусора</v>
      </c>
      <c r="C81" s="40" t="str">
        <f>Source!H260</f>
        <v>т</v>
      </c>
      <c r="D81" s="41">
        <f>Source!I260</f>
        <v>-2.606E-2</v>
      </c>
      <c r="E81" s="39"/>
    </row>
    <row r="82" spans="1:5" ht="14.25" x14ac:dyDescent="0.2">
      <c r="A82" s="38">
        <v>38</v>
      </c>
      <c r="B82" s="39" t="str">
        <f>Source!G261</f>
        <v>Разборка покрытий из линолеума и релина</v>
      </c>
      <c r="C82" s="40" t="str">
        <f>Source!H261</f>
        <v>100 м2</v>
      </c>
      <c r="D82" s="41">
        <f>Source!I261</f>
        <v>0.33800000000000002</v>
      </c>
      <c r="E82" s="39"/>
    </row>
    <row r="83" spans="1:5" ht="14.25" x14ac:dyDescent="0.2">
      <c r="A83" s="38">
        <v>38.1</v>
      </c>
      <c r="B83" s="39" t="str">
        <f>Source!G262</f>
        <v>Масса мусора</v>
      </c>
      <c r="C83" s="40" t="str">
        <f>Source!H262</f>
        <v>т</v>
      </c>
      <c r="D83" s="41">
        <f>Source!I262</f>
        <v>-0.15886</v>
      </c>
      <c r="E83" s="39"/>
    </row>
    <row r="84" spans="1:5" ht="16.5" x14ac:dyDescent="0.25">
      <c r="A84" s="76" t="str">
        <f>CONCATENATE("Подраздел: ", Source!G294)</f>
        <v>Подраздел: 2.2 Ремонтно-строительные работы</v>
      </c>
      <c r="B84" s="76"/>
      <c r="C84" s="76"/>
      <c r="D84" s="76"/>
      <c r="E84" s="76"/>
    </row>
    <row r="85" spans="1:5" ht="42.75" x14ac:dyDescent="0.2">
      <c r="A85" s="38">
        <v>39</v>
      </c>
      <c r="B85" s="39" t="str">
        <f>Source!G298</f>
        <v>Монтаж потолка кассетного типа на металлическом каркасе - размер алюминиевых кассет 595 х 595 мм, при площади помещения до 100 м2, с установкой направляющих и креплением подвесок дюбель-гвоздями</v>
      </c>
      <c r="C85" s="40" t="str">
        <f>Source!H298</f>
        <v>100 м2</v>
      </c>
      <c r="D85" s="41">
        <f>Source!I298</f>
        <v>0.33800000000000002</v>
      </c>
      <c r="E85" s="39"/>
    </row>
    <row r="86" spans="1:5" ht="28.5" x14ac:dyDescent="0.2">
      <c r="A86" s="38">
        <v>40</v>
      </c>
      <c r="B86" s="39" t="str">
        <f>Source!G299</f>
        <v>Устройство самовыравнивающихся стяжек из специализированных сухих смесей толщиной 5 мм</v>
      </c>
      <c r="C86" s="40" t="str">
        <f>Source!H299</f>
        <v>100 м2</v>
      </c>
      <c r="D86" s="41">
        <f>Source!I299</f>
        <v>0.33800000000000002</v>
      </c>
      <c r="E86" s="39"/>
    </row>
    <row r="87" spans="1:5" ht="28.5" x14ac:dyDescent="0.2">
      <c r="A87" s="38">
        <v>41</v>
      </c>
      <c r="B87" s="39" t="str">
        <f>Source!G300</f>
        <v>Добавляется или исключается на каждый 1 мм изменения толщины стяжки к поз.10-3103-2-11</v>
      </c>
      <c r="C87" s="40" t="str">
        <f>Source!H300</f>
        <v>100 м2</v>
      </c>
      <c r="D87" s="41">
        <f>Source!I300</f>
        <v>0.33800000000000002</v>
      </c>
      <c r="E87" s="39"/>
    </row>
    <row r="88" spans="1:5" ht="42.75" x14ac:dyDescent="0.2">
      <c r="A88" s="38">
        <v>42</v>
      </c>
      <c r="B88" s="39" t="str">
        <f>Source!G301</f>
        <v>Устройство полов из крупноразмерных керамогранитных плиток на клее из сухих смесей толщиной клеевого слоя 4 мм с затиркой швов / смеси для плиточных работ водостойкие, суперэластичные</v>
      </c>
      <c r="C88" s="40" t="str">
        <f>Source!H301</f>
        <v>100 м2</v>
      </c>
      <c r="D88" s="41">
        <f>Source!I301</f>
        <v>0.33800000000000002</v>
      </c>
      <c r="E88" s="39"/>
    </row>
    <row r="89" spans="1:5" ht="14.25" x14ac:dyDescent="0.2">
      <c r="A89" s="38">
        <v>43</v>
      </c>
      <c r="B89" s="39" t="str">
        <f>Source!G302</f>
        <v>Устройство плинтусов из крупноразмерной плитки типа "керамогранит"</v>
      </c>
      <c r="C89" s="40" t="str">
        <f>Source!H302</f>
        <v>100 м</v>
      </c>
      <c r="D89" s="41">
        <f>Source!I302</f>
        <v>0.26100000000000001</v>
      </c>
      <c r="E89" s="39"/>
    </row>
    <row r="90" spans="1:5" ht="42.75" x14ac:dyDescent="0.2">
      <c r="A90" s="38">
        <v>44</v>
      </c>
      <c r="B90" s="39" t="str">
        <f>Source!G303</f>
        <v>Настенное покрытие стеклообоями с окраской поливинилацетатными красками за один раз с подготовкой / обои стеклотканевые под покраску для стен и потолков, однослойные</v>
      </c>
      <c r="C90" s="40" t="str">
        <f>Source!H303</f>
        <v>100 м2</v>
      </c>
      <c r="D90" s="41">
        <f>Source!I303</f>
        <v>1.0025999999999999</v>
      </c>
      <c r="E90" s="39"/>
    </row>
    <row r="91" spans="1:5" ht="28.5" x14ac:dyDescent="0.2">
      <c r="A91" s="38">
        <v>45</v>
      </c>
      <c r="B91" s="39" t="str">
        <f>Source!G304</f>
        <v>Добавляется на окраску поливинилацетатными красками стеклообоев на каждый последующий слой к поз. 13-3303-5-1, 13-3303-5-2</v>
      </c>
      <c r="C91" s="40" t="str">
        <f>Source!H304</f>
        <v>100 м2</v>
      </c>
      <c r="D91" s="41">
        <f>Source!I304</f>
        <v>1.0025999999999999</v>
      </c>
      <c r="E91" s="39"/>
    </row>
    <row r="92" spans="1:5" ht="16.5" x14ac:dyDescent="0.25">
      <c r="A92" s="76" t="str">
        <f>CONCATENATE("Подраздел: ", Source!G336)</f>
        <v>Подраздел: 2.3 Сантехнические работы</v>
      </c>
      <c r="B92" s="76"/>
      <c r="C92" s="76"/>
      <c r="D92" s="76"/>
      <c r="E92" s="76"/>
    </row>
    <row r="93" spans="1:5" ht="28.5" x14ac:dyDescent="0.2">
      <c r="A93" s="38">
        <v>46</v>
      </c>
      <c r="B93" s="39" t="str">
        <f>Source!G340</f>
        <v>Установка радиаторов биметаллических "Рифар" / 10 секций, размеры 261х100х800 мм, теплоотдача 1010 Вт</v>
      </c>
      <c r="C93" s="40" t="str">
        <f>Source!H340</f>
        <v>100 квт</v>
      </c>
      <c r="D93" s="41">
        <f>Source!I340</f>
        <v>3.9199999999999999E-2</v>
      </c>
      <c r="E93" s="39"/>
    </row>
    <row r="94" spans="1:5" ht="42.75" x14ac:dyDescent="0.2">
      <c r="A94" s="38">
        <v>46.1</v>
      </c>
      <c r="B94" s="39" t="str">
        <f>Source!G341</f>
        <v>Радиаторы биметаллические секционные "Рифар", межосевое расстояние 200 мм, 10 секций, размеры 261х100х800 мм, теплоотдача 1010 Вт</v>
      </c>
      <c r="C94" s="40" t="str">
        <f>Source!H341</f>
        <v>шт.</v>
      </c>
      <c r="D94" s="41">
        <f>Source!I341</f>
        <v>-3.881192</v>
      </c>
      <c r="E94" s="39"/>
    </row>
    <row r="95" spans="1:5" ht="14.25" x14ac:dyDescent="0.2">
      <c r="A95" s="38">
        <v>46.2</v>
      </c>
      <c r="B95" s="39" t="str">
        <f>Source!G342</f>
        <v>Радиатор Rifar Monolit 500/100 биметалл 10 секций или эквивалент</v>
      </c>
      <c r="C95" s="40" t="str">
        <f>Source!H342</f>
        <v>шт.</v>
      </c>
      <c r="D95" s="41">
        <f>Source!I342</f>
        <v>3</v>
      </c>
      <c r="E95" s="39"/>
    </row>
    <row r="96" spans="1:5" ht="14.25" x14ac:dyDescent="0.2">
      <c r="A96" s="38">
        <v>46.3</v>
      </c>
      <c r="B96" s="39" t="str">
        <f>Source!G343</f>
        <v>Кронштейны для крепления отопительных приборов, марка КР1-РС</v>
      </c>
      <c r="C96" s="40" t="str">
        <f>Source!H343</f>
        <v>компл.</v>
      </c>
      <c r="D96" s="41">
        <f>Source!I343</f>
        <v>-1.73264</v>
      </c>
      <c r="E96" s="39"/>
    </row>
    <row r="97" spans="1:5" ht="28.5" x14ac:dyDescent="0.2">
      <c r="A97" s="38">
        <v>46.4</v>
      </c>
      <c r="B97" s="39" t="str">
        <f>Source!G344</f>
        <v>Кронштейны для крепления отопительных приборов, марка КРД, длина 131 мм</v>
      </c>
      <c r="C97" s="40" t="str">
        <f>Source!H344</f>
        <v>шт.</v>
      </c>
      <c r="D97" s="41">
        <f>Source!I344</f>
        <v>6</v>
      </c>
      <c r="E97" s="39"/>
    </row>
    <row r="98" spans="1:5" ht="42.75" x14ac:dyDescent="0.2">
      <c r="A98" s="38">
        <v>47</v>
      </c>
      <c r="B98" s="39" t="str">
        <f>Source!G345</f>
        <v>Прокладка трубопроводов отопления из стальных водогазопроводных неоцинкованных труб диаметром 20 мм (без стоимости арматуры и креплений)</v>
      </c>
      <c r="C98" s="40" t="str">
        <f>Source!H345</f>
        <v>100 м</v>
      </c>
      <c r="D98" s="41">
        <f>Source!I345</f>
        <v>0.15</v>
      </c>
      <c r="E98" s="39"/>
    </row>
    <row r="99" spans="1:5" ht="42.75" x14ac:dyDescent="0.2">
      <c r="A99" s="38">
        <v>47.1</v>
      </c>
      <c r="B99" s="39" t="str">
        <f>Source!G346</f>
        <v>Арматурные заготовки (стержни, хомуты и т.п.), не собранные в каркасы или сетки, арматурная сталь периодического профиля, класс А-III, диаметр 20-22 мм</v>
      </c>
      <c r="C99" s="40" t="str">
        <f>Source!H346</f>
        <v>т</v>
      </c>
      <c r="D99" s="41">
        <f>Source!I346</f>
        <v>2.0250000000000001E-2</v>
      </c>
      <c r="E99" s="39"/>
    </row>
    <row r="100" spans="1:5" ht="28.5" x14ac:dyDescent="0.2">
      <c r="A100" s="38">
        <v>48</v>
      </c>
      <c r="B100" s="39" t="str">
        <f>Source!G347</f>
        <v>Гидравлическое испытание трубопроводов систем отопления диаметром до 50 мм</v>
      </c>
      <c r="C100" s="40" t="str">
        <f>Source!H347</f>
        <v>100 м</v>
      </c>
      <c r="D100" s="41">
        <f>Source!I347</f>
        <v>0.15</v>
      </c>
      <c r="E100" s="39"/>
    </row>
    <row r="101" spans="1:5" ht="28.5" x14ac:dyDescent="0.2">
      <c r="A101" s="38">
        <v>49</v>
      </c>
      <c r="B101" s="39" t="str">
        <f>Source!G348</f>
        <v>Установка муфтовой арматуры диаметром 20 мм (без стоимости арматуры)</v>
      </c>
      <c r="C101" s="40" t="str">
        <f>Source!H348</f>
        <v>10 шт.</v>
      </c>
      <c r="D101" s="41">
        <f>Source!I348</f>
        <v>0.7</v>
      </c>
      <c r="E101" s="39"/>
    </row>
    <row r="102" spans="1:5" ht="14.25" x14ac:dyDescent="0.2">
      <c r="A102" s="38">
        <v>49.1</v>
      </c>
      <c r="B102" s="39" t="str">
        <f>Source!G349</f>
        <v>Кран шаровой Ду 20 Бугатти или эквивалент</v>
      </c>
      <c r="C102" s="40" t="str">
        <f>Source!H349</f>
        <v>шт.</v>
      </c>
      <c r="D102" s="41">
        <f>Source!I349</f>
        <v>7</v>
      </c>
      <c r="E102" s="39"/>
    </row>
    <row r="103" spans="1:5" ht="16.5" x14ac:dyDescent="0.25">
      <c r="A103" s="76" t="str">
        <f>CONCATENATE("Подраздел: ", Source!G381)</f>
        <v>Подраздел: 2.4 Электромонтажные работы</v>
      </c>
      <c r="B103" s="76"/>
      <c r="C103" s="76"/>
      <c r="D103" s="76"/>
      <c r="E103" s="76"/>
    </row>
    <row r="104" spans="1:5" ht="28.5" x14ac:dyDescent="0.2">
      <c r="A104" s="38">
        <v>50</v>
      </c>
      <c r="B104" s="39" t="str">
        <f>Source!G385</f>
        <v>Демонтаж осветительных приборов - светильник для люминесцентных ламп</v>
      </c>
      <c r="C104" s="40" t="str">
        <f>Source!H385</f>
        <v>100 шт.</v>
      </c>
      <c r="D104" s="41">
        <f>Source!I385</f>
        <v>0.06</v>
      </c>
      <c r="E104" s="39"/>
    </row>
    <row r="105" spans="1:5" ht="28.5" x14ac:dyDescent="0.2">
      <c r="A105" s="38">
        <v>51</v>
      </c>
      <c r="B105" s="39" t="str">
        <f>Source!G386</f>
        <v>Замена электроустановочных изделий, открытая проводка, выключатель, розетка (без стоимости материалов)</v>
      </c>
      <c r="C105" s="40" t="str">
        <f>Source!H386</f>
        <v>100 шт.</v>
      </c>
      <c r="D105" s="41">
        <f>Source!I386</f>
        <v>0.02</v>
      </c>
      <c r="E105" s="39"/>
    </row>
    <row r="106" spans="1:5" ht="28.5" x14ac:dyDescent="0.2">
      <c r="A106" s="38">
        <v>51.1</v>
      </c>
      <c r="B106" s="39" t="str">
        <f>Source!G387</f>
        <v>Выключатели серии "Прима", напряжение 250 В, сила тока 6 А, открытой установки двухклавишные, тип А56-029</v>
      </c>
      <c r="C106" s="40" t="str">
        <f>Source!H387</f>
        <v>шт.</v>
      </c>
      <c r="D106" s="41">
        <f>Source!I387</f>
        <v>2</v>
      </c>
      <c r="E106" s="39"/>
    </row>
    <row r="107" spans="1:5" ht="42.75" x14ac:dyDescent="0.2">
      <c r="A107" s="38">
        <v>52</v>
      </c>
      <c r="B107" s="39" t="str">
        <f>Source!G388</f>
        <v>Прокладка труб гофрированных поливинилхлоридных наружным диаметром 20 мм открыто по стенам и потолкам с установкой соединительных коробок</v>
      </c>
      <c r="C107" s="40" t="str">
        <f>Source!H388</f>
        <v>100 м</v>
      </c>
      <c r="D107" s="41">
        <f>Source!I388</f>
        <v>0.1</v>
      </c>
      <c r="E107" s="39"/>
    </row>
    <row r="108" spans="1:5" ht="42.75" x14ac:dyDescent="0.2">
      <c r="A108" s="38">
        <v>53</v>
      </c>
      <c r="B108" s="39" t="str">
        <f>Source!G389</f>
        <v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6 мм2 (без стоимости материалов)</v>
      </c>
      <c r="C108" s="40" t="str">
        <f>Source!H389</f>
        <v>100 м</v>
      </c>
      <c r="D108" s="41">
        <f>Source!I389</f>
        <v>0.1</v>
      </c>
      <c r="E108" s="39"/>
    </row>
    <row r="109" spans="1:5" ht="57" x14ac:dyDescent="0.2">
      <c r="A109" s="38">
        <v>53.1</v>
      </c>
      <c r="B109" s="39" t="str">
        <f>Source!G390</f>
        <v>Кабели силовые, с медными жилами, с изоляц. и оболоч.из ПВХ пластиката пониж.пожар.опасности, не распростр.горение, с пониж.дымо- и газовыделением и с низк.токсич-тью продуктов горения, напряж.1000 В, марка ВВГнг(А)-LSLTx, число жил и сечение, мм2: 3х1,5</v>
      </c>
      <c r="C109" s="40" t="str">
        <f>Source!H390</f>
        <v>км</v>
      </c>
      <c r="D109" s="41">
        <f>Source!I390</f>
        <v>1.0200000000000001E-2</v>
      </c>
      <c r="E109" s="39"/>
    </row>
    <row r="110" spans="1:5" ht="42.75" x14ac:dyDescent="0.2">
      <c r="A110" s="38">
        <v>54</v>
      </c>
      <c r="B110" s="39" t="str">
        <f>Source!G391</f>
        <v>Установка светильников с люминесцентными лампами, отдельно устанавливаемых на штырях с количеством ламп в светильнике до 4 (без стоимости материалов)</v>
      </c>
      <c r="C110" s="40" t="str">
        <f>Source!H391</f>
        <v>100 шт.</v>
      </c>
      <c r="D110" s="41">
        <f>Source!I391</f>
        <v>0.06</v>
      </c>
      <c r="E110" s="39"/>
    </row>
    <row r="111" spans="1:5" ht="42.75" x14ac:dyDescent="0.2">
      <c r="A111" s="38">
        <v>54.1</v>
      </c>
      <c r="B111" s="39" t="str">
        <f>Source!G392</f>
        <v>Светильник GENILED офис, потребляемая мощность 40 Вт, световой поток 4000 Лм, цветовая температура 5000 К, степень защиты IP20, габаритные размеры 595х595х20 мм или эквивалент</v>
      </c>
      <c r="C111" s="40" t="str">
        <f>Source!H392</f>
        <v>шт.</v>
      </c>
      <c r="D111" s="41">
        <f>Source!I392</f>
        <v>6</v>
      </c>
      <c r="E111" s="39"/>
    </row>
    <row r="112" spans="1:5" ht="16.5" x14ac:dyDescent="0.25">
      <c r="A112" s="76" t="str">
        <f>CONCATENATE("Раздел: ", Source!G454)</f>
        <v>Раздел: 3. Вывоз мусора</v>
      </c>
      <c r="B112" s="76"/>
      <c r="C112" s="76"/>
      <c r="D112" s="76"/>
      <c r="E112" s="76"/>
    </row>
    <row r="113" spans="1:5" ht="28.5" x14ac:dyDescent="0.2">
      <c r="A113" s="38">
        <v>55</v>
      </c>
      <c r="B113" s="39" t="str">
        <f>Source!G458</f>
        <v>Механизированная погрузка строительного мусора в автомобили-самосвалы</v>
      </c>
      <c r="C113" s="40" t="str">
        <f>Source!H458</f>
        <v>т</v>
      </c>
      <c r="D113" s="41">
        <f>Source!I458</f>
        <v>3.056</v>
      </c>
      <c r="E113" s="39"/>
    </row>
    <row r="114" spans="1:5" ht="28.5" x14ac:dyDescent="0.2">
      <c r="A114" s="38">
        <v>56</v>
      </c>
      <c r="B114" s="39" t="str">
        <f>Source!G459</f>
        <v>Перевозка строительного мусора автосамосвалами грузоподъемностью до 10 т на расстояние 1 км - при механизированной погрузке</v>
      </c>
      <c r="C114" s="40" t="str">
        <f>Source!H459</f>
        <v>т</v>
      </c>
      <c r="D114" s="41">
        <f>Source!I459</f>
        <v>3.056</v>
      </c>
      <c r="E114" s="39"/>
    </row>
    <row r="115" spans="1:5" ht="28.5" x14ac:dyDescent="0.2">
      <c r="A115" s="34">
        <v>57</v>
      </c>
      <c r="B115" s="35" t="str">
        <f>Source!G460</f>
        <v>Перевозка строительного мусора автосамосвалами грузоподъемностью до 10 т - добавляется на каждый последующий 1 км до 100 км</v>
      </c>
      <c r="C115" s="36" t="str">
        <f>Source!H460</f>
        <v>т</v>
      </c>
      <c r="D115" s="37">
        <f>Source!I460</f>
        <v>3.056</v>
      </c>
      <c r="E115" s="35"/>
    </row>
    <row r="118" spans="1:5" ht="15" x14ac:dyDescent="0.25">
      <c r="A118" s="26" t="s">
        <v>720</v>
      </c>
      <c r="B118" s="26"/>
      <c r="C118" s="26" t="s">
        <v>721</v>
      </c>
      <c r="D118" s="26"/>
      <c r="E118" s="26"/>
    </row>
  </sheetData>
  <mergeCells count="16">
    <mergeCell ref="A84:E84"/>
    <mergeCell ref="A92:E92"/>
    <mergeCell ref="A103:E103"/>
    <mergeCell ref="A112:E112"/>
    <mergeCell ref="A21:E21"/>
    <mergeCell ref="A32:E32"/>
    <mergeCell ref="A43:E43"/>
    <mergeCell ref="A61:E61"/>
    <mergeCell ref="A74:E74"/>
    <mergeCell ref="A75:E75"/>
    <mergeCell ref="A20:E20"/>
    <mergeCell ref="C5:D5"/>
    <mergeCell ref="C7:D7"/>
    <mergeCell ref="A11:D11"/>
    <mergeCell ref="A12:D12"/>
    <mergeCell ref="A19:E19"/>
  </mergeCells>
  <pageMargins left="0.4" right="0.2" top="0.2" bottom="0.4" header="0.2" footer="0.2"/>
  <pageSetup paperSize="9" scale="77" fitToHeight="0" orientation="portrait" verticalDpi="0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workbookViewId="0"/>
  </sheetViews>
  <sheetFormatPr defaultRowHeight="12.75" x14ac:dyDescent="0.2"/>
  <sheetData>
    <row r="1" spans="1:28" x14ac:dyDescent="0.2">
      <c r="A1" t="s">
        <v>750</v>
      </c>
      <c r="B1" t="s">
        <v>752</v>
      </c>
      <c r="C1" t="s">
        <v>753</v>
      </c>
      <c r="D1" t="s">
        <v>754</v>
      </c>
      <c r="E1" t="s">
        <v>755</v>
      </c>
      <c r="F1" t="s">
        <v>756</v>
      </c>
      <c r="G1" t="s">
        <v>757</v>
      </c>
      <c r="H1" t="s">
        <v>758</v>
      </c>
      <c r="I1" t="s">
        <v>759</v>
      </c>
      <c r="J1" t="s">
        <v>760</v>
      </c>
      <c r="K1" t="s">
        <v>761</v>
      </c>
      <c r="L1" t="s">
        <v>762</v>
      </c>
      <c r="M1" t="s">
        <v>763</v>
      </c>
      <c r="N1" t="s">
        <v>764</v>
      </c>
      <c r="O1" t="s">
        <v>751</v>
      </c>
    </row>
    <row r="2" spans="1:28" x14ac:dyDescent="0.2">
      <c r="A2">
        <v>1</v>
      </c>
      <c r="B2">
        <v>0</v>
      </c>
      <c r="C2">
        <v>0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1</v>
      </c>
      <c r="L2">
        <v>72192302</v>
      </c>
      <c r="M2">
        <v>0</v>
      </c>
      <c r="N2">
        <v>0</v>
      </c>
      <c r="O2">
        <v>0</v>
      </c>
    </row>
    <row r="4" spans="1:28" x14ac:dyDescent="0.2">
      <c r="A4" t="s">
        <v>722</v>
      </c>
      <c r="B4" t="s">
        <v>723</v>
      </c>
      <c r="C4" t="s">
        <v>724</v>
      </c>
      <c r="D4" t="s">
        <v>725</v>
      </c>
      <c r="E4" t="s">
        <v>726</v>
      </c>
      <c r="F4" t="s">
        <v>727</v>
      </c>
      <c r="G4" t="s">
        <v>728</v>
      </c>
      <c r="H4" t="s">
        <v>729</v>
      </c>
      <c r="I4" t="s">
        <v>730</v>
      </c>
      <c r="J4" t="s">
        <v>731</v>
      </c>
      <c r="K4" t="s">
        <v>732</v>
      </c>
      <c r="L4" t="s">
        <v>733</v>
      </c>
      <c r="M4" t="s">
        <v>734</v>
      </c>
      <c r="N4" t="s">
        <v>735</v>
      </c>
      <c r="O4" t="s">
        <v>736</v>
      </c>
      <c r="P4" t="s">
        <v>737</v>
      </c>
      <c r="Q4" t="s">
        <v>738</v>
      </c>
      <c r="R4" t="s">
        <v>739</v>
      </c>
      <c r="S4" t="s">
        <v>740</v>
      </c>
      <c r="T4" t="s">
        <v>741</v>
      </c>
      <c r="U4" t="s">
        <v>745</v>
      </c>
      <c r="V4" t="s">
        <v>746</v>
      </c>
      <c r="W4" t="s">
        <v>747</v>
      </c>
      <c r="X4" t="s">
        <v>748</v>
      </c>
      <c r="Y4" t="s">
        <v>749</v>
      </c>
      <c r="Z4" t="s">
        <v>742</v>
      </c>
      <c r="AA4" t="s">
        <v>743</v>
      </c>
      <c r="AB4" t="s">
        <v>744</v>
      </c>
    </row>
    <row r="6" spans="1:28" x14ac:dyDescent="0.2">
      <c r="A6">
        <f>Source!A20</f>
        <v>3</v>
      </c>
      <c r="B6">
        <v>20</v>
      </c>
      <c r="G6" t="str">
        <f>Source!G20</f>
        <v>Новая локальная смета</v>
      </c>
    </row>
    <row r="7" spans="1:28" x14ac:dyDescent="0.2">
      <c r="A7">
        <f>Source!A24</f>
        <v>4</v>
      </c>
      <c r="B7">
        <v>24</v>
      </c>
      <c r="G7" t="str">
        <f>Source!G24</f>
        <v>1. Спортзал №1</v>
      </c>
    </row>
    <row r="8" spans="1:28" x14ac:dyDescent="0.2">
      <c r="A8">
        <f>Source!A28</f>
        <v>5</v>
      </c>
      <c r="B8">
        <v>28</v>
      </c>
      <c r="G8" t="str">
        <f>Source!G28</f>
        <v>1.1 Демонтажные работы</v>
      </c>
    </row>
    <row r="9" spans="1:28" x14ac:dyDescent="0.2">
      <c r="A9">
        <f>Source!A73</f>
        <v>5</v>
      </c>
      <c r="B9">
        <v>73</v>
      </c>
      <c r="G9" t="str">
        <f>Source!G73</f>
        <v>1.2 Ремонтно-строительные работы</v>
      </c>
    </row>
    <row r="10" spans="1:28" x14ac:dyDescent="0.2">
      <c r="A10">
        <f>Source!A86</f>
        <v>18</v>
      </c>
      <c r="B10">
        <v>86</v>
      </c>
      <c r="C10">
        <v>3</v>
      </c>
      <c r="D10">
        <f>Source!BI86</f>
        <v>4</v>
      </c>
      <c r="E10">
        <f>Source!FS86</f>
        <v>0</v>
      </c>
      <c r="F10" t="str">
        <f>Source!F86</f>
        <v>Цена поставщика</v>
      </c>
      <c r="G10" t="str">
        <f>Source!G86</f>
        <v>Шведская стенка деревянная с турником 1x3 м или эквивалент</v>
      </c>
      <c r="H10" t="str">
        <f>Source!H86</f>
        <v>шт.</v>
      </c>
      <c r="I10">
        <f>Source!I86</f>
        <v>4</v>
      </c>
      <c r="J10">
        <v>1</v>
      </c>
      <c r="K10">
        <f>Source!AC86</f>
        <v>8545.0499999999993</v>
      </c>
      <c r="M10">
        <f>ROUND(K10*I10, 2)</f>
        <v>34180.199999999997</v>
      </c>
      <c r="N10">
        <f>Source!AC86*IF(Source!BC86&lt;&gt; 0, Source!BC86, 1)</f>
        <v>8545.0499999999993</v>
      </c>
      <c r="O10">
        <f>ROUND(N10*I10, 2)</f>
        <v>34180.199999999997</v>
      </c>
      <c r="P10">
        <f>Source!AE86</f>
        <v>0</v>
      </c>
      <c r="R10">
        <f>ROUND(P10*I10, 2)</f>
        <v>0</v>
      </c>
      <c r="S10">
        <f>Source!AE86*IF(Source!BS86&lt;&gt; 0, Source!BS86, 1)</f>
        <v>0</v>
      </c>
      <c r="T10">
        <f>ROUND(S10*I10, 2)</f>
        <v>0</v>
      </c>
      <c r="U10">
        <v>3</v>
      </c>
      <c r="Z10">
        <f>Source!GF86</f>
        <v>1111623754</v>
      </c>
      <c r="AA10">
        <v>290821961</v>
      </c>
      <c r="AB10">
        <v>290821961</v>
      </c>
    </row>
    <row r="11" spans="1:28" x14ac:dyDescent="0.2">
      <c r="A11">
        <f>Source!A118</f>
        <v>5</v>
      </c>
      <c r="B11">
        <v>118</v>
      </c>
      <c r="G11" t="str">
        <f>Source!G118</f>
        <v>1.3 Сантехнические работы</v>
      </c>
    </row>
    <row r="12" spans="1:28" x14ac:dyDescent="0.2">
      <c r="A12">
        <f>Source!A124</f>
        <v>18</v>
      </c>
      <c r="B12">
        <v>124</v>
      </c>
      <c r="C12">
        <v>3</v>
      </c>
      <c r="D12">
        <f>Source!BI124</f>
        <v>4</v>
      </c>
      <c r="E12">
        <f>Source!FS124</f>
        <v>0</v>
      </c>
      <c r="F12" t="str">
        <f>Source!F124</f>
        <v>Цена поставщика</v>
      </c>
      <c r="G12" t="str">
        <f>Source!G124</f>
        <v>Радиатор Rifar Monolit 500/100 биметалл 10 секций или эквивалент</v>
      </c>
      <c r="H12" t="str">
        <f>Source!H124</f>
        <v>шт.</v>
      </c>
      <c r="I12">
        <f>Source!I124</f>
        <v>26</v>
      </c>
      <c r="J12">
        <v>1</v>
      </c>
      <c r="K12">
        <f>Source!AC124</f>
        <v>12673.5</v>
      </c>
      <c r="M12">
        <f t="shared" ref="M12:M17" si="0">ROUND(K12*I12, 2)</f>
        <v>329511</v>
      </c>
      <c r="N12">
        <f>Source!AC124*IF(Source!BC124&lt;&gt; 0, Source!BC124, 1)</f>
        <v>12673.5</v>
      </c>
      <c r="O12">
        <f t="shared" ref="O12:O17" si="1">ROUND(N12*I12, 2)</f>
        <v>329511</v>
      </c>
      <c r="P12">
        <f>Source!AE124</f>
        <v>0</v>
      </c>
      <c r="R12">
        <f t="shared" ref="R12:R17" si="2">ROUND(P12*I12, 2)</f>
        <v>0</v>
      </c>
      <c r="S12">
        <f>Source!AE124*IF(Source!BS124&lt;&gt; 0, Source!BS124, 1)</f>
        <v>0</v>
      </c>
      <c r="T12">
        <f t="shared" ref="T12:T17" si="3">ROUND(S12*I12, 2)</f>
        <v>0</v>
      </c>
      <c r="U12">
        <v>3</v>
      </c>
      <c r="Z12">
        <f>Source!GF124</f>
        <v>195406401</v>
      </c>
      <c r="AA12">
        <v>549507648</v>
      </c>
      <c r="AB12">
        <v>549507648</v>
      </c>
    </row>
    <row r="13" spans="1:28" x14ac:dyDescent="0.2">
      <c r="A13">
        <f>Source!A126</f>
        <v>18</v>
      </c>
      <c r="B13">
        <v>126</v>
      </c>
      <c r="C13">
        <v>3</v>
      </c>
      <c r="D13">
        <f>Source!BI126</f>
        <v>4</v>
      </c>
      <c r="E13">
        <f>Source!FS126</f>
        <v>0</v>
      </c>
      <c r="F13" t="str">
        <f>Source!F126</f>
        <v>21.12-10-45</v>
      </c>
      <c r="G13" t="str">
        <f>Source!G126</f>
        <v>Кронштейны для крепления отопительных приборов, марка КРД, длина 131 мм</v>
      </c>
      <c r="H13" t="str">
        <f>Source!H126</f>
        <v>шт.</v>
      </c>
      <c r="I13">
        <f>Source!I126</f>
        <v>52</v>
      </c>
      <c r="J13">
        <v>1</v>
      </c>
      <c r="K13">
        <f>Source!AC126</f>
        <v>51.23</v>
      </c>
      <c r="M13">
        <f t="shared" si="0"/>
        <v>2663.96</v>
      </c>
      <c r="N13">
        <f>Source!AC126*IF(Source!BC126&lt;&gt; 0, Source!BC126, 1)</f>
        <v>51.23</v>
      </c>
      <c r="O13">
        <f t="shared" si="1"/>
        <v>2663.96</v>
      </c>
      <c r="P13">
        <f>Source!AE126</f>
        <v>0</v>
      </c>
      <c r="R13">
        <f t="shared" si="2"/>
        <v>0</v>
      </c>
      <c r="S13">
        <f>Source!AE126*IF(Source!BS126&lt;&gt; 0, Source!BS126, 1)</f>
        <v>0</v>
      </c>
      <c r="T13">
        <f t="shared" si="3"/>
        <v>0</v>
      </c>
      <c r="U13">
        <v>3</v>
      </c>
      <c r="Z13">
        <f>Source!GF126</f>
        <v>140294319</v>
      </c>
      <c r="AA13">
        <v>196322037</v>
      </c>
      <c r="AB13">
        <v>196322037</v>
      </c>
    </row>
    <row r="14" spans="1:28" x14ac:dyDescent="0.2">
      <c r="A14">
        <f>Source!A130</f>
        <v>18</v>
      </c>
      <c r="B14">
        <v>130</v>
      </c>
      <c r="C14">
        <v>3</v>
      </c>
      <c r="D14">
        <f>Source!BI130</f>
        <v>4</v>
      </c>
      <c r="E14">
        <f>Source!FS130</f>
        <v>0</v>
      </c>
      <c r="F14" t="str">
        <f>Source!F130</f>
        <v>21.3-4-19</v>
      </c>
      <c r="G14" t="str">
        <f>Source!G130</f>
        <v>Арматурные заготовки (стержни, хомуты и т.п.), не собранные в каркасы или сетки, арматурная сталь периодического профиля, класс А-III, диаметр 20-22 мм</v>
      </c>
      <c r="H14" t="str">
        <f>Source!H130</f>
        <v>т</v>
      </c>
      <c r="I14">
        <f>Source!I130</f>
        <v>7.2900000000000006E-2</v>
      </c>
      <c r="J14">
        <v>1</v>
      </c>
      <c r="K14">
        <f>Source!AC130</f>
        <v>71207.520000000004</v>
      </c>
      <c r="M14">
        <f t="shared" si="0"/>
        <v>5191.03</v>
      </c>
      <c r="N14">
        <f>Source!AC130*IF(Source!BC130&lt;&gt; 0, Source!BC130, 1)</f>
        <v>71207.520000000004</v>
      </c>
      <c r="O14">
        <f t="shared" si="1"/>
        <v>5191.03</v>
      </c>
      <c r="P14">
        <f>Source!AE130</f>
        <v>0</v>
      </c>
      <c r="R14">
        <f t="shared" si="2"/>
        <v>0</v>
      </c>
      <c r="S14">
        <f>Source!AE130*IF(Source!BS130&lt;&gt; 0, Source!BS130, 1)</f>
        <v>0</v>
      </c>
      <c r="T14">
        <f t="shared" si="3"/>
        <v>0</v>
      </c>
      <c r="U14">
        <v>3</v>
      </c>
      <c r="Z14">
        <f>Source!GF130</f>
        <v>1622126655</v>
      </c>
      <c r="AA14">
        <v>-1439171684</v>
      </c>
      <c r="AB14">
        <v>-1439171684</v>
      </c>
    </row>
    <row r="15" spans="1:28" x14ac:dyDescent="0.2">
      <c r="A15">
        <f>Source!A132</f>
        <v>18</v>
      </c>
      <c r="B15">
        <v>132</v>
      </c>
      <c r="C15">
        <v>3</v>
      </c>
      <c r="D15">
        <f>Source!BI132</f>
        <v>4</v>
      </c>
      <c r="E15">
        <f>Source!FS132</f>
        <v>0</v>
      </c>
      <c r="F15" t="str">
        <f>Source!F132</f>
        <v>21.3-4-19</v>
      </c>
      <c r="G15" t="str">
        <f>Source!G132</f>
        <v>Арматурные заготовки (стержни, хомуты и т.п.), не собранные в каркасы или сетки, арматурная сталь периодического профиля, класс А-III, диаметр 20-22 мм</v>
      </c>
      <c r="H15" t="str">
        <f>Source!H132</f>
        <v>т</v>
      </c>
      <c r="I15">
        <f>Source!I132</f>
        <v>4.0500000000000001E-2</v>
      </c>
      <c r="J15">
        <v>1</v>
      </c>
      <c r="K15">
        <f>Source!AC132</f>
        <v>71207.520000000004</v>
      </c>
      <c r="M15">
        <f t="shared" si="0"/>
        <v>2883.9</v>
      </c>
      <c r="N15">
        <f>Source!AC132*IF(Source!BC132&lt;&gt; 0, Source!BC132, 1)</f>
        <v>71207.520000000004</v>
      </c>
      <c r="O15">
        <f t="shared" si="1"/>
        <v>2883.9</v>
      </c>
      <c r="P15">
        <f>Source!AE132</f>
        <v>0</v>
      </c>
      <c r="R15">
        <f t="shared" si="2"/>
        <v>0</v>
      </c>
      <c r="S15">
        <f>Source!AE132*IF(Source!BS132&lt;&gt; 0, Source!BS132, 1)</f>
        <v>0</v>
      </c>
      <c r="T15">
        <f t="shared" si="3"/>
        <v>0</v>
      </c>
      <c r="U15">
        <v>3</v>
      </c>
      <c r="Z15">
        <f>Source!GF132</f>
        <v>1622126655</v>
      </c>
      <c r="AA15">
        <v>-1439171684</v>
      </c>
      <c r="AB15">
        <v>-1439171684</v>
      </c>
    </row>
    <row r="16" spans="1:28" x14ac:dyDescent="0.2">
      <c r="A16">
        <f>Source!A135</f>
        <v>18</v>
      </c>
      <c r="B16">
        <v>135</v>
      </c>
      <c r="C16">
        <v>3</v>
      </c>
      <c r="D16">
        <f>Source!BI135</f>
        <v>4</v>
      </c>
      <c r="E16">
        <f>Source!FS135</f>
        <v>0</v>
      </c>
      <c r="F16" t="str">
        <f>Source!F135</f>
        <v>Цена поставщика</v>
      </c>
      <c r="G16" t="str">
        <f>Source!G135</f>
        <v>Кран шаровой Ду 20 Бугатти или эквивалент</v>
      </c>
      <c r="H16" t="str">
        <f>Source!H135</f>
        <v>шт.</v>
      </c>
      <c r="I16">
        <f>Source!I135</f>
        <v>10</v>
      </c>
      <c r="J16">
        <v>1</v>
      </c>
      <c r="K16">
        <f>Source!AC135</f>
        <v>544</v>
      </c>
      <c r="M16">
        <f t="shared" si="0"/>
        <v>5440</v>
      </c>
      <c r="N16">
        <f>Source!AC135*IF(Source!BC135&lt;&gt; 0, Source!BC135, 1)</f>
        <v>544</v>
      </c>
      <c r="O16">
        <f t="shared" si="1"/>
        <v>5440</v>
      </c>
      <c r="P16">
        <f>Source!AE135</f>
        <v>0</v>
      </c>
      <c r="R16">
        <f t="shared" si="2"/>
        <v>0</v>
      </c>
      <c r="S16">
        <f>Source!AE135*IF(Source!BS135&lt;&gt; 0, Source!BS135, 1)</f>
        <v>0</v>
      </c>
      <c r="T16">
        <f t="shared" si="3"/>
        <v>0</v>
      </c>
      <c r="U16">
        <v>3</v>
      </c>
      <c r="Z16">
        <f>Source!GF135</f>
        <v>502732464</v>
      </c>
      <c r="AA16">
        <v>1765282897</v>
      </c>
      <c r="AB16">
        <v>1765282897</v>
      </c>
    </row>
    <row r="17" spans="1:28" x14ac:dyDescent="0.2">
      <c r="A17">
        <f>Source!A137</f>
        <v>18</v>
      </c>
      <c r="B17">
        <v>137</v>
      </c>
      <c r="C17">
        <v>3</v>
      </c>
      <c r="D17">
        <f>Source!BI137</f>
        <v>4</v>
      </c>
      <c r="E17">
        <f>Source!FS137</f>
        <v>0</v>
      </c>
      <c r="F17" t="str">
        <f>Source!F137</f>
        <v>Цена поставщика</v>
      </c>
      <c r="G17" t="str">
        <f>Source!G137</f>
        <v>Кран шаровой Ду 25 Бугатти или эквивалент</v>
      </c>
      <c r="H17" t="str">
        <f>Source!H137</f>
        <v>шт.</v>
      </c>
      <c r="I17">
        <f>Source!I137</f>
        <v>4</v>
      </c>
      <c r="J17">
        <v>1</v>
      </c>
      <c r="K17">
        <f>Source!AC137</f>
        <v>1471.35</v>
      </c>
      <c r="M17">
        <f t="shared" si="0"/>
        <v>5885.4</v>
      </c>
      <c r="N17">
        <f>Source!AC137*IF(Source!BC137&lt;&gt; 0, Source!BC137, 1)</f>
        <v>1471.35</v>
      </c>
      <c r="O17">
        <f t="shared" si="1"/>
        <v>5885.4</v>
      </c>
      <c r="P17">
        <f>Source!AE137</f>
        <v>0</v>
      </c>
      <c r="R17">
        <f t="shared" si="2"/>
        <v>0</v>
      </c>
      <c r="S17">
        <f>Source!AE137*IF(Source!BS137&lt;&gt; 0, Source!BS137, 1)</f>
        <v>0</v>
      </c>
      <c r="T17">
        <f t="shared" si="3"/>
        <v>0</v>
      </c>
      <c r="U17">
        <v>3</v>
      </c>
      <c r="Z17">
        <f>Source!GF137</f>
        <v>1738626795</v>
      </c>
      <c r="AA17">
        <v>-1886084189</v>
      </c>
      <c r="AB17">
        <v>-1886084189</v>
      </c>
    </row>
    <row r="18" spans="1:28" x14ac:dyDescent="0.2">
      <c r="A18">
        <f>Source!A170</f>
        <v>5</v>
      </c>
      <c r="B18">
        <v>170</v>
      </c>
      <c r="G18" t="str">
        <f>Source!G170</f>
        <v>1.4 Электромонтажные работы</v>
      </c>
    </row>
    <row r="19" spans="1:28" x14ac:dyDescent="0.2">
      <c r="A19">
        <f>Source!A179</f>
        <v>18</v>
      </c>
      <c r="B19">
        <v>179</v>
      </c>
      <c r="C19">
        <v>3</v>
      </c>
      <c r="D19">
        <f>Source!BI179</f>
        <v>4</v>
      </c>
      <c r="E19">
        <f>Source!FS179</f>
        <v>0</v>
      </c>
      <c r="F19" t="str">
        <f>Source!F179</f>
        <v>21.23-8-269</v>
      </c>
      <c r="G19" t="str">
        <f>Source!G179</f>
        <v>Кабели силовые, с медными жилами, с изоляц. и оболоч.из ПВХ пластиката пониж.пожар.опасности, не распростр.горение, с пониж.дымо- и газовыделением и с низк.токсич-тью продуктов горения, напряж.1000 В, марка ВВГнг(А)-LSLTx, число жил и сечение, мм2: 3х1,5</v>
      </c>
      <c r="H19" t="str">
        <f>Source!H179</f>
        <v>км</v>
      </c>
      <c r="I19">
        <f>Source!I179</f>
        <v>3.6200000000000003E-2</v>
      </c>
      <c r="J19">
        <v>1</v>
      </c>
      <c r="K19">
        <f>Source!AC179</f>
        <v>100115.51</v>
      </c>
      <c r="M19">
        <f>ROUND(K19*I19, 2)</f>
        <v>3624.18</v>
      </c>
      <c r="N19">
        <f>Source!AC179*IF(Source!BC179&lt;&gt; 0, Source!BC179, 1)</f>
        <v>100115.51</v>
      </c>
      <c r="O19">
        <f>ROUND(N19*I19, 2)</f>
        <v>3624.18</v>
      </c>
      <c r="P19">
        <f>Source!AE179</f>
        <v>0</v>
      </c>
      <c r="R19">
        <f>ROUND(P19*I19, 2)</f>
        <v>0</v>
      </c>
      <c r="S19">
        <f>Source!AE179*IF(Source!BS179&lt;&gt; 0, Source!BS179, 1)</f>
        <v>0</v>
      </c>
      <c r="T19">
        <f>ROUND(S19*I19, 2)</f>
        <v>0</v>
      </c>
      <c r="U19">
        <v>3</v>
      </c>
      <c r="Z19">
        <f>Source!GF179</f>
        <v>918109215</v>
      </c>
      <c r="AA19">
        <v>688701120</v>
      </c>
      <c r="AB19">
        <v>688701120</v>
      </c>
    </row>
    <row r="20" spans="1:28" x14ac:dyDescent="0.2">
      <c r="A20">
        <f>Source!A181</f>
        <v>18</v>
      </c>
      <c r="B20">
        <v>181</v>
      </c>
      <c r="C20">
        <v>3</v>
      </c>
      <c r="D20">
        <f>Source!BI181</f>
        <v>4</v>
      </c>
      <c r="E20">
        <f>Source!FS181</f>
        <v>0</v>
      </c>
      <c r="F20" t="str">
        <f>Source!F181</f>
        <v>21.21-5-24</v>
      </c>
      <c r="G20" t="str">
        <f>Source!G181</f>
        <v>Выключатели, серия "Прима", напряжение 250 В, сила тока 6 А, тип: А16-051, одноклавишный, открытой установки</v>
      </c>
      <c r="H20" t="str">
        <f>Source!H181</f>
        <v>шт.</v>
      </c>
      <c r="I20">
        <f>Source!I181</f>
        <v>1</v>
      </c>
      <c r="J20">
        <v>1</v>
      </c>
      <c r="K20">
        <f>Source!AC181</f>
        <v>39.99</v>
      </c>
      <c r="M20">
        <f>ROUND(K20*I20, 2)</f>
        <v>39.99</v>
      </c>
      <c r="N20">
        <f>Source!AC181*IF(Source!BC181&lt;&gt; 0, Source!BC181, 1)</f>
        <v>39.99</v>
      </c>
      <c r="O20">
        <f>ROUND(N20*I20, 2)</f>
        <v>39.99</v>
      </c>
      <c r="P20">
        <f>Source!AE181</f>
        <v>0</v>
      </c>
      <c r="R20">
        <f>ROUND(P20*I20, 2)</f>
        <v>0</v>
      </c>
      <c r="S20">
        <f>Source!AE181*IF(Source!BS181&lt;&gt; 0, Source!BS181, 1)</f>
        <v>0</v>
      </c>
      <c r="T20">
        <f>ROUND(S20*I20, 2)</f>
        <v>0</v>
      </c>
      <c r="U20">
        <v>3</v>
      </c>
      <c r="Z20">
        <f>Source!GF181</f>
        <v>-1721790415</v>
      </c>
      <c r="AA20">
        <v>-275146849</v>
      </c>
      <c r="AB20">
        <v>-275146849</v>
      </c>
    </row>
    <row r="21" spans="1:28" x14ac:dyDescent="0.2">
      <c r="A21">
        <f>Source!A182</f>
        <v>18</v>
      </c>
      <c r="B21">
        <v>182</v>
      </c>
      <c r="C21">
        <v>3</v>
      </c>
      <c r="D21">
        <f>Source!BI182</f>
        <v>4</v>
      </c>
      <c r="E21">
        <f>Source!FS182</f>
        <v>0</v>
      </c>
      <c r="F21" t="str">
        <f>Source!F182</f>
        <v>21.21-5-25</v>
      </c>
      <c r="G21" t="str">
        <f>Source!G182</f>
        <v>Выключатели серии "Прима", напряжение 250 В, сила тока 6 А, открытой установки двухклавишные, тип А56-029</v>
      </c>
      <c r="H21" t="str">
        <f>Source!H182</f>
        <v>шт.</v>
      </c>
      <c r="I21">
        <f>Source!I182</f>
        <v>1</v>
      </c>
      <c r="J21">
        <v>1</v>
      </c>
      <c r="K21">
        <f>Source!AC182</f>
        <v>102.63</v>
      </c>
      <c r="M21">
        <f>ROUND(K21*I21, 2)</f>
        <v>102.63</v>
      </c>
      <c r="N21">
        <f>Source!AC182*IF(Source!BC182&lt;&gt; 0, Source!BC182, 1)</f>
        <v>102.63</v>
      </c>
      <c r="O21">
        <f>ROUND(N21*I21, 2)</f>
        <v>102.63</v>
      </c>
      <c r="P21">
        <f>Source!AE182</f>
        <v>0</v>
      </c>
      <c r="R21">
        <f>ROUND(P21*I21, 2)</f>
        <v>0</v>
      </c>
      <c r="S21">
        <f>Source!AE182*IF(Source!BS182&lt;&gt; 0, Source!BS182, 1)</f>
        <v>0</v>
      </c>
      <c r="T21">
        <f>ROUND(S21*I21, 2)</f>
        <v>0</v>
      </c>
      <c r="U21">
        <v>3</v>
      </c>
      <c r="Z21">
        <f>Source!GF182</f>
        <v>154001895</v>
      </c>
      <c r="AA21">
        <v>598563480</v>
      </c>
      <c r="AB21">
        <v>598563480</v>
      </c>
    </row>
    <row r="22" spans="1:28" x14ac:dyDescent="0.2">
      <c r="A22">
        <f>Source!A184</f>
        <v>18</v>
      </c>
      <c r="B22">
        <v>184</v>
      </c>
      <c r="C22">
        <v>3</v>
      </c>
      <c r="D22">
        <f>Source!BI184</f>
        <v>4</v>
      </c>
      <c r="E22">
        <f>Source!FS184</f>
        <v>0</v>
      </c>
      <c r="F22" t="str">
        <f>Source!F184</f>
        <v>Цена поставщика</v>
      </c>
      <c r="G22" t="str">
        <f>Source!G184</f>
        <v>Светильник светодиодный Geniled ЛПО 1200х180х40мм 40Вт 4000К Опал или эквивалент</v>
      </c>
      <c r="H22" t="str">
        <f>Source!H184</f>
        <v>шт.</v>
      </c>
      <c r="I22">
        <f>Source!I184</f>
        <v>56</v>
      </c>
      <c r="J22">
        <v>1</v>
      </c>
      <c r="K22">
        <f>Source!AC184</f>
        <v>3323.5</v>
      </c>
      <c r="M22">
        <f>ROUND(K22*I22, 2)</f>
        <v>186116</v>
      </c>
      <c r="N22">
        <f>Source!AC184*IF(Source!BC184&lt;&gt; 0, Source!BC184, 1)</f>
        <v>3323.5</v>
      </c>
      <c r="O22">
        <f>ROUND(N22*I22, 2)</f>
        <v>186116</v>
      </c>
      <c r="P22">
        <f>Source!AE184</f>
        <v>0</v>
      </c>
      <c r="R22">
        <f>ROUND(P22*I22, 2)</f>
        <v>0</v>
      </c>
      <c r="S22">
        <f>Source!AE184*IF(Source!BS184&lt;&gt; 0, Source!BS184, 1)</f>
        <v>0</v>
      </c>
      <c r="T22">
        <f>ROUND(S22*I22, 2)</f>
        <v>0</v>
      </c>
      <c r="U22">
        <v>3</v>
      </c>
      <c r="Z22">
        <f>Source!GF184</f>
        <v>-1650221762</v>
      </c>
      <c r="AA22">
        <v>-915922714</v>
      </c>
      <c r="AB22">
        <v>-915922714</v>
      </c>
    </row>
    <row r="23" spans="1:28" x14ac:dyDescent="0.2">
      <c r="A23">
        <f>Source!A185</f>
        <v>18</v>
      </c>
      <c r="B23">
        <v>185</v>
      </c>
      <c r="C23">
        <v>3</v>
      </c>
      <c r="D23">
        <f>Source!BI185</f>
        <v>4</v>
      </c>
      <c r="E23">
        <f>Source!FS185</f>
        <v>0</v>
      </c>
      <c r="F23" t="str">
        <f>Source!F185</f>
        <v>Цена поставщика</v>
      </c>
      <c r="G23" t="str">
        <f>Source!G185</f>
        <v>Светильник светодиодный Geniled ЛПО 1200х180х40мм 40Вт 4000К Опал БАП или эквивалент</v>
      </c>
      <c r="H23" t="str">
        <f>Source!H185</f>
        <v>шт.</v>
      </c>
      <c r="I23">
        <f>Source!I185</f>
        <v>8</v>
      </c>
      <c r="J23">
        <v>1</v>
      </c>
      <c r="K23">
        <f>Source!AC185</f>
        <v>5321</v>
      </c>
      <c r="M23">
        <f>ROUND(K23*I23, 2)</f>
        <v>42568</v>
      </c>
      <c r="N23">
        <f>Source!AC185*IF(Source!BC185&lt;&gt; 0, Source!BC185, 1)</f>
        <v>5321</v>
      </c>
      <c r="O23">
        <f>ROUND(N23*I23, 2)</f>
        <v>42568</v>
      </c>
      <c r="P23">
        <f>Source!AE185</f>
        <v>0</v>
      </c>
      <c r="R23">
        <f>ROUND(P23*I23, 2)</f>
        <v>0</v>
      </c>
      <c r="S23">
        <f>Source!AE185*IF(Source!BS185&lt;&gt; 0, Source!BS185, 1)</f>
        <v>0</v>
      </c>
      <c r="T23">
        <f>ROUND(S23*I23, 2)</f>
        <v>0</v>
      </c>
      <c r="U23">
        <v>3</v>
      </c>
      <c r="Z23">
        <f>Source!GF185</f>
        <v>-1747291611</v>
      </c>
      <c r="AA23">
        <v>-209616135</v>
      </c>
      <c r="AB23">
        <v>-209616135</v>
      </c>
    </row>
    <row r="24" spans="1:28" x14ac:dyDescent="0.2">
      <c r="A24">
        <f>Source!A247</f>
        <v>4</v>
      </c>
      <c r="B24">
        <v>247</v>
      </c>
      <c r="G24" t="str">
        <f>Source!G247</f>
        <v>2. Тренерская</v>
      </c>
    </row>
    <row r="25" spans="1:28" x14ac:dyDescent="0.2">
      <c r="A25">
        <f>Source!A251</f>
        <v>5</v>
      </c>
      <c r="B25">
        <v>251</v>
      </c>
      <c r="G25" t="str">
        <f>Source!G251</f>
        <v>2.1 Тренерская</v>
      </c>
    </row>
    <row r="26" spans="1:28" x14ac:dyDescent="0.2">
      <c r="A26">
        <f>Source!A294</f>
        <v>5</v>
      </c>
      <c r="B26">
        <v>294</v>
      </c>
      <c r="G26" t="str">
        <f>Source!G294</f>
        <v>2.2 Ремонтно-строительные работы</v>
      </c>
    </row>
    <row r="27" spans="1:28" x14ac:dyDescent="0.2">
      <c r="A27">
        <f>Source!A336</f>
        <v>5</v>
      </c>
      <c r="B27">
        <v>336</v>
      </c>
      <c r="G27" t="str">
        <f>Source!G336</f>
        <v>2.3 Сантехнические работы</v>
      </c>
    </row>
    <row r="28" spans="1:28" x14ac:dyDescent="0.2">
      <c r="A28">
        <f>Source!A342</f>
        <v>18</v>
      </c>
      <c r="B28">
        <v>342</v>
      </c>
      <c r="C28">
        <v>3</v>
      </c>
      <c r="D28">
        <f>Source!BI342</f>
        <v>4</v>
      </c>
      <c r="E28">
        <f>Source!FS342</f>
        <v>0</v>
      </c>
      <c r="F28" t="str">
        <f>Source!F342</f>
        <v>Цена поставщика</v>
      </c>
      <c r="G28" t="str">
        <f>Source!G342</f>
        <v>Радиатор Rifar Monolit 500/100 биметалл 10 секций или эквивалент</v>
      </c>
      <c r="H28" t="str">
        <f>Source!H342</f>
        <v>шт.</v>
      </c>
      <c r="I28">
        <f>Source!I342</f>
        <v>3</v>
      </c>
      <c r="J28">
        <v>1</v>
      </c>
      <c r="K28">
        <f>Source!AC342</f>
        <v>12673.5</v>
      </c>
      <c r="M28">
        <f>ROUND(K28*I28, 2)</f>
        <v>38020.5</v>
      </c>
      <c r="N28">
        <f>Source!AC342*IF(Source!BC342&lt;&gt; 0, Source!BC342, 1)</f>
        <v>12673.5</v>
      </c>
      <c r="O28">
        <f>ROUND(N28*I28, 2)</f>
        <v>38020.5</v>
      </c>
      <c r="P28">
        <f>Source!AE342</f>
        <v>0</v>
      </c>
      <c r="R28">
        <f>ROUND(P28*I28, 2)</f>
        <v>0</v>
      </c>
      <c r="S28">
        <f>Source!AE342*IF(Source!BS342&lt;&gt; 0, Source!BS342, 1)</f>
        <v>0</v>
      </c>
      <c r="T28">
        <f>ROUND(S28*I28, 2)</f>
        <v>0</v>
      </c>
      <c r="U28">
        <v>3</v>
      </c>
      <c r="Z28">
        <f>Source!GF342</f>
        <v>195406401</v>
      </c>
      <c r="AA28">
        <v>549507648</v>
      </c>
      <c r="AB28">
        <v>549507648</v>
      </c>
    </row>
    <row r="29" spans="1:28" x14ac:dyDescent="0.2">
      <c r="A29">
        <f>Source!A344</f>
        <v>18</v>
      </c>
      <c r="B29">
        <v>344</v>
      </c>
      <c r="C29">
        <v>3</v>
      </c>
      <c r="D29">
        <f>Source!BI344</f>
        <v>4</v>
      </c>
      <c r="E29">
        <f>Source!FS344</f>
        <v>0</v>
      </c>
      <c r="F29" t="str">
        <f>Source!F344</f>
        <v>21.12-10-45</v>
      </c>
      <c r="G29" t="str">
        <f>Source!G344</f>
        <v>Кронштейны для крепления отопительных приборов, марка КРД, длина 131 мм</v>
      </c>
      <c r="H29" t="str">
        <f>Source!H344</f>
        <v>шт.</v>
      </c>
      <c r="I29">
        <f>Source!I344</f>
        <v>6</v>
      </c>
      <c r="J29">
        <v>1</v>
      </c>
      <c r="K29">
        <f>Source!AC344</f>
        <v>51.23</v>
      </c>
      <c r="M29">
        <f>ROUND(K29*I29, 2)</f>
        <v>307.38</v>
      </c>
      <c r="N29">
        <f>Source!AC344*IF(Source!BC344&lt;&gt; 0, Source!BC344, 1)</f>
        <v>51.23</v>
      </c>
      <c r="O29">
        <f>ROUND(N29*I29, 2)</f>
        <v>307.38</v>
      </c>
      <c r="P29">
        <f>Source!AE344</f>
        <v>0</v>
      </c>
      <c r="R29">
        <f>ROUND(P29*I29, 2)</f>
        <v>0</v>
      </c>
      <c r="S29">
        <f>Source!AE344*IF(Source!BS344&lt;&gt; 0, Source!BS344, 1)</f>
        <v>0</v>
      </c>
      <c r="T29">
        <f>ROUND(S29*I29, 2)</f>
        <v>0</v>
      </c>
      <c r="U29">
        <v>3</v>
      </c>
      <c r="Z29">
        <f>Source!GF344</f>
        <v>140294319</v>
      </c>
      <c r="AA29">
        <v>196322037</v>
      </c>
      <c r="AB29">
        <v>196322037</v>
      </c>
    </row>
    <row r="30" spans="1:28" x14ac:dyDescent="0.2">
      <c r="A30">
        <f>Source!A346</f>
        <v>18</v>
      </c>
      <c r="B30">
        <v>346</v>
      </c>
      <c r="C30">
        <v>3</v>
      </c>
      <c r="D30">
        <f>Source!BI346</f>
        <v>4</v>
      </c>
      <c r="E30">
        <f>Source!FS346</f>
        <v>0</v>
      </c>
      <c r="F30" t="str">
        <f>Source!F346</f>
        <v>21.3-4-19</v>
      </c>
      <c r="G30" t="str">
        <f>Source!G346</f>
        <v>Арматурные заготовки (стержни, хомуты и т.п.), не собранные в каркасы или сетки, арматурная сталь периодического профиля, класс А-III, диаметр 20-22 мм</v>
      </c>
      <c r="H30" t="str">
        <f>Source!H346</f>
        <v>т</v>
      </c>
      <c r="I30">
        <f>Source!I346</f>
        <v>2.0250000000000001E-2</v>
      </c>
      <c r="J30">
        <v>1</v>
      </c>
      <c r="K30">
        <f>Source!AC346</f>
        <v>71207.520000000004</v>
      </c>
      <c r="M30">
        <f>ROUND(K30*I30, 2)</f>
        <v>1441.95</v>
      </c>
      <c r="N30">
        <f>Source!AC346*IF(Source!BC346&lt;&gt; 0, Source!BC346, 1)</f>
        <v>71207.520000000004</v>
      </c>
      <c r="O30">
        <f>ROUND(N30*I30, 2)</f>
        <v>1441.95</v>
      </c>
      <c r="P30">
        <f>Source!AE346</f>
        <v>0</v>
      </c>
      <c r="R30">
        <f>ROUND(P30*I30, 2)</f>
        <v>0</v>
      </c>
      <c r="S30">
        <f>Source!AE346*IF(Source!BS346&lt;&gt; 0, Source!BS346, 1)</f>
        <v>0</v>
      </c>
      <c r="T30">
        <f>ROUND(S30*I30, 2)</f>
        <v>0</v>
      </c>
      <c r="U30">
        <v>3</v>
      </c>
      <c r="Z30">
        <f>Source!GF346</f>
        <v>1622126655</v>
      </c>
      <c r="AA30">
        <v>-1439171684</v>
      </c>
      <c r="AB30">
        <v>-1439171684</v>
      </c>
    </row>
    <row r="31" spans="1:28" x14ac:dyDescent="0.2">
      <c r="A31">
        <f>Source!A349</f>
        <v>18</v>
      </c>
      <c r="B31">
        <v>349</v>
      </c>
      <c r="C31">
        <v>3</v>
      </c>
      <c r="D31">
        <f>Source!BI349</f>
        <v>4</v>
      </c>
      <c r="E31">
        <f>Source!FS349</f>
        <v>0</v>
      </c>
      <c r="F31" t="str">
        <f>Source!F349</f>
        <v>Цена поставщика</v>
      </c>
      <c r="G31" t="str">
        <f>Source!G349</f>
        <v>Кран шаровой Ду 20 Бугатти или эквивалент</v>
      </c>
      <c r="H31" t="str">
        <f>Source!H349</f>
        <v>шт.</v>
      </c>
      <c r="I31">
        <f>Source!I349</f>
        <v>7</v>
      </c>
      <c r="J31">
        <v>1</v>
      </c>
      <c r="K31">
        <f>Source!AC349</f>
        <v>544</v>
      </c>
      <c r="M31">
        <f>ROUND(K31*I31, 2)</f>
        <v>3808</v>
      </c>
      <c r="N31">
        <f>Source!AC349*IF(Source!BC349&lt;&gt; 0, Source!BC349, 1)</f>
        <v>544</v>
      </c>
      <c r="O31">
        <f>ROUND(N31*I31, 2)</f>
        <v>3808</v>
      </c>
      <c r="P31">
        <f>Source!AE349</f>
        <v>0</v>
      </c>
      <c r="R31">
        <f>ROUND(P31*I31, 2)</f>
        <v>0</v>
      </c>
      <c r="S31">
        <f>Source!AE349*IF(Source!BS349&lt;&gt; 0, Source!BS349, 1)</f>
        <v>0</v>
      </c>
      <c r="T31">
        <f>ROUND(S31*I31, 2)</f>
        <v>0</v>
      </c>
      <c r="U31">
        <v>3</v>
      </c>
      <c r="Z31">
        <f>Source!GF349</f>
        <v>502732464</v>
      </c>
      <c r="AA31">
        <v>1765282897</v>
      </c>
      <c r="AB31">
        <v>1765282897</v>
      </c>
    </row>
    <row r="32" spans="1:28" x14ac:dyDescent="0.2">
      <c r="A32">
        <f>Source!A381</f>
        <v>5</v>
      </c>
      <c r="B32">
        <v>381</v>
      </c>
      <c r="G32" t="str">
        <f>Source!G381</f>
        <v>2.4 Электромонтажные работы</v>
      </c>
    </row>
    <row r="33" spans="1:28" x14ac:dyDescent="0.2">
      <c r="A33">
        <f>Source!A387</f>
        <v>18</v>
      </c>
      <c r="B33">
        <v>387</v>
      </c>
      <c r="C33">
        <v>3</v>
      </c>
      <c r="D33">
        <f>Source!BI387</f>
        <v>4</v>
      </c>
      <c r="E33">
        <f>Source!FS387</f>
        <v>0</v>
      </c>
      <c r="F33" t="str">
        <f>Source!F387</f>
        <v>21.21-5-25</v>
      </c>
      <c r="G33" t="str">
        <f>Source!G387</f>
        <v>Выключатели серии "Прима", напряжение 250 В, сила тока 6 А, открытой установки двухклавишные, тип А56-029</v>
      </c>
      <c r="H33" t="str">
        <f>Source!H387</f>
        <v>шт.</v>
      </c>
      <c r="I33">
        <f>Source!I387</f>
        <v>2</v>
      </c>
      <c r="J33">
        <v>1</v>
      </c>
      <c r="K33">
        <f>Source!AC387</f>
        <v>102.63</v>
      </c>
      <c r="M33">
        <f>ROUND(K33*I33, 2)</f>
        <v>205.26</v>
      </c>
      <c r="N33">
        <f>Source!AC387*IF(Source!BC387&lt;&gt; 0, Source!BC387, 1)</f>
        <v>102.63</v>
      </c>
      <c r="O33">
        <f>ROUND(N33*I33, 2)</f>
        <v>205.26</v>
      </c>
      <c r="P33">
        <f>Source!AE387</f>
        <v>0</v>
      </c>
      <c r="R33">
        <f>ROUND(P33*I33, 2)</f>
        <v>0</v>
      </c>
      <c r="S33">
        <f>Source!AE387*IF(Source!BS387&lt;&gt; 0, Source!BS387, 1)</f>
        <v>0</v>
      </c>
      <c r="T33">
        <f>ROUND(S33*I33, 2)</f>
        <v>0</v>
      </c>
      <c r="U33">
        <v>3</v>
      </c>
      <c r="Z33">
        <f>Source!GF387</f>
        <v>154001895</v>
      </c>
      <c r="AA33">
        <v>598563480</v>
      </c>
      <c r="AB33">
        <v>598563480</v>
      </c>
    </row>
    <row r="34" spans="1:28" x14ac:dyDescent="0.2">
      <c r="A34">
        <f>Source!A390</f>
        <v>18</v>
      </c>
      <c r="B34">
        <v>390</v>
      </c>
      <c r="C34">
        <v>3</v>
      </c>
      <c r="D34">
        <f>Source!BI390</f>
        <v>4</v>
      </c>
      <c r="E34">
        <f>Source!FS390</f>
        <v>0</v>
      </c>
      <c r="F34" t="str">
        <f>Source!F390</f>
        <v>21.23-8-269</v>
      </c>
      <c r="G34" t="str">
        <f>Source!G390</f>
        <v>Кабели силовые, с медными жилами, с изоляц. и оболоч.из ПВХ пластиката пониж.пожар.опасности, не распростр.горение, с пониж.дымо- и газовыделением и с низк.токсич-тью продуктов горения, напряж.1000 В, марка ВВГнг(А)-LSLTx, число жил и сечение, мм2: 3х1,5</v>
      </c>
      <c r="H34" t="str">
        <f>Source!H390</f>
        <v>км</v>
      </c>
      <c r="I34">
        <f>Source!I390</f>
        <v>1.0200000000000001E-2</v>
      </c>
      <c r="J34">
        <v>1</v>
      </c>
      <c r="K34">
        <f>Source!AC390</f>
        <v>100115.51</v>
      </c>
      <c r="M34">
        <f>ROUND(K34*I34, 2)</f>
        <v>1021.18</v>
      </c>
      <c r="N34">
        <f>Source!AC390*IF(Source!BC390&lt;&gt; 0, Source!BC390, 1)</f>
        <v>100115.51</v>
      </c>
      <c r="O34">
        <f>ROUND(N34*I34, 2)</f>
        <v>1021.18</v>
      </c>
      <c r="P34">
        <f>Source!AE390</f>
        <v>0</v>
      </c>
      <c r="R34">
        <f>ROUND(P34*I34, 2)</f>
        <v>0</v>
      </c>
      <c r="S34">
        <f>Source!AE390*IF(Source!BS390&lt;&gt; 0, Source!BS390, 1)</f>
        <v>0</v>
      </c>
      <c r="T34">
        <f>ROUND(S34*I34, 2)</f>
        <v>0</v>
      </c>
      <c r="U34">
        <v>3</v>
      </c>
      <c r="Z34">
        <f>Source!GF390</f>
        <v>918109215</v>
      </c>
      <c r="AA34">
        <v>688701120</v>
      </c>
      <c r="AB34">
        <v>688701120</v>
      </c>
    </row>
    <row r="35" spans="1:28" x14ac:dyDescent="0.2">
      <c r="A35">
        <f>Source!A392</f>
        <v>18</v>
      </c>
      <c r="B35">
        <v>392</v>
      </c>
      <c r="C35">
        <v>3</v>
      </c>
      <c r="D35">
        <f>Source!BI392</f>
        <v>4</v>
      </c>
      <c r="E35">
        <f>Source!FS392</f>
        <v>0</v>
      </c>
      <c r="F35" t="str">
        <f>Source!F392</f>
        <v>Цена поставщика</v>
      </c>
      <c r="G35" t="str">
        <f>Source!G392</f>
        <v>Светильник GENILED офис, потребляемая мощность 40 Вт, световой поток 4000 Лм, цветовая температура 5000 К, степень защиты IP20, габаритные размеры 595х595х20 мм или эквивалент</v>
      </c>
      <c r="H35" t="str">
        <f>Source!H392</f>
        <v>шт.</v>
      </c>
      <c r="I35">
        <f>Source!I392</f>
        <v>6</v>
      </c>
      <c r="J35">
        <v>1</v>
      </c>
      <c r="K35">
        <f>Source!AC392</f>
        <v>3570</v>
      </c>
      <c r="M35">
        <f>ROUND(K35*I35, 2)</f>
        <v>21420</v>
      </c>
      <c r="N35">
        <f>Source!AC392*IF(Source!BC392&lt;&gt; 0, Source!BC392, 1)</f>
        <v>3570</v>
      </c>
      <c r="O35">
        <f>ROUND(N35*I35, 2)</f>
        <v>21420</v>
      </c>
      <c r="P35">
        <f>Source!AE392</f>
        <v>0</v>
      </c>
      <c r="R35">
        <f>ROUND(P35*I35, 2)</f>
        <v>0</v>
      </c>
      <c r="S35">
        <f>Source!AE392*IF(Source!BS392&lt;&gt; 0, Source!BS392, 1)</f>
        <v>0</v>
      </c>
      <c r="T35">
        <f>ROUND(S35*I35, 2)</f>
        <v>0</v>
      </c>
      <c r="U35">
        <v>3</v>
      </c>
      <c r="Z35">
        <f>Source!GF392</f>
        <v>515220028</v>
      </c>
      <c r="AA35">
        <v>-1554945508</v>
      </c>
      <c r="AB35">
        <v>-1554945508</v>
      </c>
    </row>
    <row r="36" spans="1:28" x14ac:dyDescent="0.2">
      <c r="A36">
        <f>Source!A454</f>
        <v>4</v>
      </c>
      <c r="B36">
        <v>454</v>
      </c>
      <c r="G36" t="str">
        <f>Source!G454</f>
        <v>3. Вывоз мусора</v>
      </c>
    </row>
    <row r="37" spans="1:28" x14ac:dyDescent="0.2">
      <c r="A37">
        <v>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Q47"/>
  <sheetViews>
    <sheetView workbookViewId="0"/>
  </sheetViews>
  <sheetFormatPr defaultRowHeight="12.75" x14ac:dyDescent="0.2"/>
  <cols>
    <col min="1" max="1" width="18.7109375" customWidth="1"/>
    <col min="2" max="2" width="40.7109375" customWidth="1"/>
    <col min="3" max="6" width="12.7109375" customWidth="1"/>
    <col min="15" max="15" width="54.28515625" hidden="1" customWidth="1"/>
    <col min="16" max="18" width="0" hidden="1" customWidth="1"/>
  </cols>
  <sheetData>
    <row r="2" spans="1:17" ht="16.5" x14ac:dyDescent="0.2">
      <c r="A2" s="82" t="s">
        <v>765</v>
      </c>
      <c r="B2" s="83"/>
      <c r="C2" s="83"/>
      <c r="D2" s="83"/>
      <c r="E2" s="83"/>
      <c r="F2" s="83"/>
    </row>
    <row r="3" spans="1:17" ht="49.5" x14ac:dyDescent="0.2">
      <c r="A3" s="82" t="str">
        <f>CONCATENATE("Объект: ",IF(Source!G522&lt;&gt;"Новый объект", Source!G522, ""))</f>
        <v>Объект: +Текущий ремонт спортзала №1 + раздевалки по адресу: г. Москва, ул. Митинская улица, д. 48, корп. 2</v>
      </c>
      <c r="B3" s="83"/>
      <c r="C3" s="83"/>
      <c r="D3" s="83"/>
      <c r="E3" s="83"/>
      <c r="F3" s="83"/>
      <c r="O3" s="42" t="s">
        <v>766</v>
      </c>
    </row>
    <row r="4" spans="1:17" x14ac:dyDescent="0.2">
      <c r="A4" s="67" t="s">
        <v>767</v>
      </c>
      <c r="B4" s="67" t="s">
        <v>768</v>
      </c>
      <c r="C4" s="67" t="s">
        <v>686</v>
      </c>
      <c r="D4" s="67" t="s">
        <v>769</v>
      </c>
      <c r="E4" s="85" t="s">
        <v>770</v>
      </c>
      <c r="F4" s="86"/>
    </row>
    <row r="5" spans="1:17" x14ac:dyDescent="0.2">
      <c r="A5" s="68"/>
      <c r="B5" s="68"/>
      <c r="C5" s="68"/>
      <c r="D5" s="68"/>
      <c r="E5" s="87"/>
      <c r="F5" s="88"/>
    </row>
    <row r="6" spans="1:17" ht="14.25" x14ac:dyDescent="0.2">
      <c r="A6" s="84"/>
      <c r="B6" s="84"/>
      <c r="C6" s="84"/>
      <c r="D6" s="84"/>
      <c r="E6" s="18" t="s">
        <v>771</v>
      </c>
      <c r="F6" s="18" t="s">
        <v>772</v>
      </c>
    </row>
    <row r="7" spans="1:17" ht="14.25" x14ac:dyDescent="0.2">
      <c r="A7" s="18">
        <v>1</v>
      </c>
      <c r="B7" s="18">
        <v>2</v>
      </c>
      <c r="C7" s="18">
        <v>3</v>
      </c>
      <c r="D7" s="18">
        <v>4</v>
      </c>
      <c r="E7" s="18">
        <v>5</v>
      </c>
      <c r="F7" s="18">
        <v>6</v>
      </c>
    </row>
    <row r="8" spans="1:17" ht="16.5" x14ac:dyDescent="0.2">
      <c r="A8" s="82" t="str">
        <f>CONCATENATE("Локальная смета: ",IF(Source!G22&lt;&gt;"Новая локальная смета", Source!G22, ""))</f>
        <v xml:space="preserve">Локальная смета: </v>
      </c>
      <c r="B8" s="83"/>
      <c r="C8" s="83"/>
      <c r="D8" s="83"/>
      <c r="E8" s="83"/>
      <c r="F8" s="83"/>
    </row>
    <row r="9" spans="1:17" ht="16.5" x14ac:dyDescent="0.2">
      <c r="A9" s="82" t="str">
        <f>CONCATENATE("Раздел: ",IF(Source!G26&lt;&gt;"Новый раздел", Source!G26, ""))</f>
        <v>Раздел: 1. Спортзал №1</v>
      </c>
      <c r="B9" s="83"/>
      <c r="C9" s="83"/>
      <c r="D9" s="83"/>
      <c r="E9" s="83"/>
      <c r="F9" s="83"/>
    </row>
    <row r="10" spans="1:17" ht="16.5" x14ac:dyDescent="0.2">
      <c r="A10" s="82" t="str">
        <f>CONCATENATE("Подраздел: ",IF(Source!G30&lt;&gt;"Новый подраздел", Source!G30, ""))</f>
        <v>Подраздел: 1.1 Демонтажные работы</v>
      </c>
      <c r="B10" s="83"/>
      <c r="C10" s="83"/>
      <c r="D10" s="83"/>
      <c r="E10" s="83"/>
      <c r="F10" s="83"/>
    </row>
    <row r="11" spans="1:17" ht="16.5" x14ac:dyDescent="0.2">
      <c r="A11" s="82" t="str">
        <f>CONCATENATE("Подраздел: ",IF(Source!G75&lt;&gt;"Новый подраздел", Source!G75, ""))</f>
        <v>Подраздел: 1.2 Ремонтно-строительные работы</v>
      </c>
      <c r="B11" s="83"/>
      <c r="C11" s="83"/>
      <c r="D11" s="83"/>
      <c r="E11" s="83"/>
      <c r="F11" s="83"/>
    </row>
    <row r="12" spans="1:17" ht="14.25" x14ac:dyDescent="0.2">
      <c r="A12" s="89" t="s">
        <v>773</v>
      </c>
      <c r="B12" s="90"/>
      <c r="C12" s="90"/>
      <c r="D12" s="90"/>
      <c r="E12" s="90"/>
      <c r="F12" s="90"/>
    </row>
    <row r="13" spans="1:17" ht="28.5" x14ac:dyDescent="0.2">
      <c r="A13" s="43" t="s">
        <v>156</v>
      </c>
      <c r="B13" s="35" t="s">
        <v>157</v>
      </c>
      <c r="C13" s="35" t="s">
        <v>51</v>
      </c>
      <c r="D13" s="36">
        <f>ROUND(SUMIF(RV_DATA!AB10:AB10, 290821961, RV_DATA!I10:I10), 6)</f>
        <v>4</v>
      </c>
      <c r="E13" s="44">
        <f>ROUND(RV_DATA!N10, 6)</f>
        <v>8545.0499999999993</v>
      </c>
      <c r="F13" s="44">
        <f>ROUND(SUMIF(RV_DATA!AB10:AB10, 290821961, RV_DATA!O10:O10), 6)</f>
        <v>34180.199999999997</v>
      </c>
      <c r="Q13">
        <v>3</v>
      </c>
    </row>
    <row r="14" spans="1:17" ht="15" x14ac:dyDescent="0.25">
      <c r="A14" s="80" t="s">
        <v>774</v>
      </c>
      <c r="B14" s="80"/>
      <c r="C14" s="80"/>
      <c r="D14" s="80"/>
      <c r="E14" s="81">
        <f>SUMIF(Q13:Q13, 3, F13:F13)</f>
        <v>34180.199999999997</v>
      </c>
      <c r="F14" s="80"/>
    </row>
    <row r="15" spans="1:17" ht="16.5" x14ac:dyDescent="0.2">
      <c r="A15" s="82" t="str">
        <f>CONCATENATE("Подраздел: ",IF(Source!G120&lt;&gt;"Новый подраздел", Source!G120, ""))</f>
        <v>Подраздел: 1.3 Сантехнические работы</v>
      </c>
      <c r="B15" s="83"/>
      <c r="C15" s="83"/>
      <c r="D15" s="83"/>
      <c r="E15" s="83"/>
      <c r="F15" s="83"/>
    </row>
    <row r="16" spans="1:17" ht="14.25" x14ac:dyDescent="0.2">
      <c r="A16" s="89" t="s">
        <v>773</v>
      </c>
      <c r="B16" s="90"/>
      <c r="C16" s="90"/>
      <c r="D16" s="90"/>
      <c r="E16" s="90"/>
      <c r="F16" s="90"/>
    </row>
    <row r="17" spans="1:17" ht="42.75" x14ac:dyDescent="0.2">
      <c r="A17" s="43" t="s">
        <v>176</v>
      </c>
      <c r="B17" s="35" t="s">
        <v>177</v>
      </c>
      <c r="C17" s="35" t="s">
        <v>51</v>
      </c>
      <c r="D17" s="36">
        <f>ROUND(SUMIF(RV_DATA!AB12:AB17, 196322037, RV_DATA!I12:I17), 6)</f>
        <v>52</v>
      </c>
      <c r="E17" s="44">
        <f>ROUND(RV_DATA!N13, 6)</f>
        <v>51.23</v>
      </c>
      <c r="F17" s="44">
        <f>ROUND(SUMIF(RV_DATA!AB12:AB17, 196322037, RV_DATA!O12:O17), 6)</f>
        <v>2663.96</v>
      </c>
      <c r="Q17">
        <v>3</v>
      </c>
    </row>
    <row r="18" spans="1:17" ht="71.25" x14ac:dyDescent="0.2">
      <c r="A18" s="43" t="s">
        <v>192</v>
      </c>
      <c r="B18" s="35" t="s">
        <v>193</v>
      </c>
      <c r="C18" s="35" t="s">
        <v>38</v>
      </c>
      <c r="D18" s="36">
        <f>ROUND(SUMIF(RV_DATA!AB12:AB17, -1439171684, RV_DATA!I12:I17), 6)</f>
        <v>0.1134</v>
      </c>
      <c r="E18" s="44">
        <f>ROUND(RV_DATA!N14, 6)</f>
        <v>71207.520000000004</v>
      </c>
      <c r="F18" s="44">
        <f>ROUND(SUMIF(RV_DATA!AB12:AB17, -1439171684, RV_DATA!O12:O17), 6)</f>
        <v>8074.93</v>
      </c>
      <c r="Q18">
        <v>3</v>
      </c>
    </row>
    <row r="19" spans="1:17" ht="28.5" x14ac:dyDescent="0.2">
      <c r="A19" s="43" t="s">
        <v>156</v>
      </c>
      <c r="B19" s="35" t="s">
        <v>169</v>
      </c>
      <c r="C19" s="35" t="s">
        <v>51</v>
      </c>
      <c r="D19" s="36">
        <f>ROUND(SUMIF(RV_DATA!AB12:AB17, 549507648, RV_DATA!I12:I17), 6)</f>
        <v>26</v>
      </c>
      <c r="E19" s="44">
        <f>ROUND(RV_DATA!N12, 6)</f>
        <v>12673.5</v>
      </c>
      <c r="F19" s="44">
        <f>ROUND(SUMIF(RV_DATA!AB12:AB17, 549507648, RV_DATA!O12:O17), 6)</f>
        <v>329511</v>
      </c>
      <c r="Q19">
        <v>3</v>
      </c>
    </row>
    <row r="20" spans="1:17" ht="14.25" x14ac:dyDescent="0.2">
      <c r="A20" s="43" t="s">
        <v>156</v>
      </c>
      <c r="B20" s="35" t="s">
        <v>210</v>
      </c>
      <c r="C20" s="35" t="s">
        <v>51</v>
      </c>
      <c r="D20" s="36">
        <f>ROUND(SUMIF(RV_DATA!AB12:AB17, 1765282897, RV_DATA!I12:I17), 6)</f>
        <v>10</v>
      </c>
      <c r="E20" s="44">
        <f>ROUND(RV_DATA!N16, 6)</f>
        <v>544</v>
      </c>
      <c r="F20" s="44">
        <f>ROUND(SUMIF(RV_DATA!AB12:AB17, 1765282897, RV_DATA!O12:O17), 6)</f>
        <v>5440</v>
      </c>
      <c r="Q20">
        <v>3</v>
      </c>
    </row>
    <row r="21" spans="1:17" ht="14.25" x14ac:dyDescent="0.2">
      <c r="A21" s="43" t="s">
        <v>156</v>
      </c>
      <c r="B21" s="35" t="s">
        <v>216</v>
      </c>
      <c r="C21" s="35" t="s">
        <v>51</v>
      </c>
      <c r="D21" s="36">
        <f>ROUND(SUMIF(RV_DATA!AB12:AB17, -1886084189, RV_DATA!I12:I17), 6)</f>
        <v>4</v>
      </c>
      <c r="E21" s="44">
        <f>ROUND(RV_DATA!N17, 6)</f>
        <v>1471.35</v>
      </c>
      <c r="F21" s="44">
        <f>ROUND(SUMIF(RV_DATA!AB12:AB17, -1886084189, RV_DATA!O12:O17), 6)</f>
        <v>5885.4</v>
      </c>
      <c r="Q21">
        <v>3</v>
      </c>
    </row>
    <row r="22" spans="1:17" ht="15" x14ac:dyDescent="0.25">
      <c r="A22" s="80" t="s">
        <v>774</v>
      </c>
      <c r="B22" s="80"/>
      <c r="C22" s="80"/>
      <c r="D22" s="80"/>
      <c r="E22" s="81">
        <f>SUMIF(Q17:Q21, 3, F17:F21)</f>
        <v>351575.29000000004</v>
      </c>
      <c r="F22" s="80"/>
    </row>
    <row r="23" spans="1:17" ht="16.5" x14ac:dyDescent="0.2">
      <c r="A23" s="82" t="str">
        <f>CONCATENATE("Подраздел: ",IF(Source!G172&lt;&gt;"Новый подраздел", Source!G172, ""))</f>
        <v>Подраздел: 1.4 Электромонтажные работы</v>
      </c>
      <c r="B23" s="83"/>
      <c r="C23" s="83"/>
      <c r="D23" s="83"/>
      <c r="E23" s="83"/>
      <c r="F23" s="83"/>
    </row>
    <row r="24" spans="1:17" ht="14.25" x14ac:dyDescent="0.2">
      <c r="A24" s="89" t="s">
        <v>773</v>
      </c>
      <c r="B24" s="90"/>
      <c r="C24" s="90"/>
      <c r="D24" s="90"/>
      <c r="E24" s="90"/>
      <c r="F24" s="90"/>
    </row>
    <row r="25" spans="1:17" ht="57" x14ac:dyDescent="0.2">
      <c r="A25" s="43" t="s">
        <v>252</v>
      </c>
      <c r="B25" s="35" t="s">
        <v>253</v>
      </c>
      <c r="C25" s="35" t="s">
        <v>51</v>
      </c>
      <c r="D25" s="36">
        <f>ROUND(SUMIF(RV_DATA!AB19:AB23, -275146849, RV_DATA!I19:I23), 6)</f>
        <v>1</v>
      </c>
      <c r="E25" s="44">
        <f>ROUND(RV_DATA!N20, 6)</f>
        <v>39.99</v>
      </c>
      <c r="F25" s="44">
        <f>ROUND(SUMIF(RV_DATA!AB19:AB23, -275146849, RV_DATA!O19:O23), 6)</f>
        <v>39.99</v>
      </c>
      <c r="Q25">
        <v>3</v>
      </c>
    </row>
    <row r="26" spans="1:17" ht="57" x14ac:dyDescent="0.2">
      <c r="A26" s="43" t="s">
        <v>256</v>
      </c>
      <c r="B26" s="35" t="s">
        <v>257</v>
      </c>
      <c r="C26" s="35" t="s">
        <v>51</v>
      </c>
      <c r="D26" s="36">
        <f>ROUND(SUMIF(RV_DATA!AB19:AB23, 598563480, RV_DATA!I19:I23), 6)</f>
        <v>1</v>
      </c>
      <c r="E26" s="44">
        <f>ROUND(RV_DATA!N21, 6)</f>
        <v>102.63</v>
      </c>
      <c r="F26" s="44">
        <f>ROUND(SUMIF(RV_DATA!AB19:AB23, 598563480, RV_DATA!O19:O23), 6)</f>
        <v>102.63</v>
      </c>
      <c r="Q26">
        <v>3</v>
      </c>
    </row>
    <row r="27" spans="1:17" ht="114" x14ac:dyDescent="0.2">
      <c r="A27" s="43" t="s">
        <v>243</v>
      </c>
      <c r="B27" s="35" t="s">
        <v>244</v>
      </c>
      <c r="C27" s="35" t="s">
        <v>245</v>
      </c>
      <c r="D27" s="36">
        <f>ROUND(SUMIF(RV_DATA!AB19:AB23, 688701120, RV_DATA!I19:I23), 6)</f>
        <v>3.6200000000000003E-2</v>
      </c>
      <c r="E27" s="44">
        <f>ROUND(RV_DATA!N19, 6)</f>
        <v>100115.51</v>
      </c>
      <c r="F27" s="44">
        <f>ROUND(SUMIF(RV_DATA!AB19:AB23, 688701120, RV_DATA!O19:O23), 6)</f>
        <v>3624.18</v>
      </c>
      <c r="Q27">
        <v>3</v>
      </c>
    </row>
    <row r="28" spans="1:17" ht="28.5" x14ac:dyDescent="0.2">
      <c r="A28" s="43" t="s">
        <v>156</v>
      </c>
      <c r="B28" s="35" t="s">
        <v>264</v>
      </c>
      <c r="C28" s="35" t="s">
        <v>51</v>
      </c>
      <c r="D28" s="36">
        <f>ROUND(SUMIF(RV_DATA!AB19:AB23, -915922714, RV_DATA!I19:I23), 6)</f>
        <v>56</v>
      </c>
      <c r="E28" s="44">
        <f>ROUND(RV_DATA!N22, 6)</f>
        <v>3323.5</v>
      </c>
      <c r="F28" s="44">
        <f>ROUND(SUMIF(RV_DATA!AB19:AB23, -915922714, RV_DATA!O19:O23), 6)</f>
        <v>186116</v>
      </c>
      <c r="Q28">
        <v>3</v>
      </c>
    </row>
    <row r="29" spans="1:17" ht="42.75" x14ac:dyDescent="0.2">
      <c r="A29" s="43" t="s">
        <v>156</v>
      </c>
      <c r="B29" s="35" t="s">
        <v>266</v>
      </c>
      <c r="C29" s="35" t="s">
        <v>51</v>
      </c>
      <c r="D29" s="36">
        <f>ROUND(SUMIF(RV_DATA!AB19:AB23, -209616135, RV_DATA!I19:I23), 6)</f>
        <v>8</v>
      </c>
      <c r="E29" s="44">
        <f>ROUND(RV_DATA!N23, 6)</f>
        <v>5321</v>
      </c>
      <c r="F29" s="44">
        <f>ROUND(SUMIF(RV_DATA!AB19:AB23, -209616135, RV_DATA!O19:O23), 6)</f>
        <v>42568</v>
      </c>
      <c r="Q29">
        <v>3</v>
      </c>
    </row>
    <row r="30" spans="1:17" ht="15" x14ac:dyDescent="0.25">
      <c r="A30" s="80" t="s">
        <v>774</v>
      </c>
      <c r="B30" s="80"/>
      <c r="C30" s="80"/>
      <c r="D30" s="80"/>
      <c r="E30" s="81">
        <f>SUMIF(Q25:Q29, 3, F25:F29)</f>
        <v>232450.8</v>
      </c>
      <c r="F30" s="80"/>
    </row>
    <row r="31" spans="1:17" ht="16.5" x14ac:dyDescent="0.2">
      <c r="A31" s="82" t="str">
        <f>CONCATENATE("Раздел: ",IF(Source!G249&lt;&gt;"Новый раздел", Source!G249, ""))</f>
        <v>Раздел: 2. Тренерская</v>
      </c>
      <c r="B31" s="83"/>
      <c r="C31" s="83"/>
      <c r="D31" s="83"/>
      <c r="E31" s="83"/>
      <c r="F31" s="83"/>
    </row>
    <row r="32" spans="1:17" ht="16.5" x14ac:dyDescent="0.2">
      <c r="A32" s="82" t="str">
        <f>CONCATENATE("Подраздел: ",IF(Source!G253&lt;&gt;"Новый подраздел", Source!G253, ""))</f>
        <v>Подраздел: 2.1 Тренерская</v>
      </c>
      <c r="B32" s="83"/>
      <c r="C32" s="83"/>
      <c r="D32" s="83"/>
      <c r="E32" s="83"/>
      <c r="F32" s="83"/>
    </row>
    <row r="33" spans="1:17" ht="16.5" x14ac:dyDescent="0.2">
      <c r="A33" s="82" t="str">
        <f>CONCATENATE("Подраздел: ",IF(Source!G296&lt;&gt;"Новый подраздел", Source!G296, ""))</f>
        <v>Подраздел: 2.2 Ремонтно-строительные работы</v>
      </c>
      <c r="B33" s="83"/>
      <c r="C33" s="83"/>
      <c r="D33" s="83"/>
      <c r="E33" s="83"/>
      <c r="F33" s="83"/>
    </row>
    <row r="34" spans="1:17" ht="16.5" x14ac:dyDescent="0.2">
      <c r="A34" s="82" t="str">
        <f>CONCATENATE("Подраздел: ",IF(Source!G338&lt;&gt;"Новый подраздел", Source!G338, ""))</f>
        <v>Подраздел: 2.3 Сантехнические работы</v>
      </c>
      <c r="B34" s="83"/>
      <c r="C34" s="83"/>
      <c r="D34" s="83"/>
      <c r="E34" s="83"/>
      <c r="F34" s="83"/>
    </row>
    <row r="35" spans="1:17" ht="14.25" x14ac:dyDescent="0.2">
      <c r="A35" s="89" t="s">
        <v>773</v>
      </c>
      <c r="B35" s="90"/>
      <c r="C35" s="90"/>
      <c r="D35" s="90"/>
      <c r="E35" s="90"/>
      <c r="F35" s="90"/>
    </row>
    <row r="36" spans="1:17" ht="42.75" x14ac:dyDescent="0.2">
      <c r="A36" s="43" t="s">
        <v>176</v>
      </c>
      <c r="B36" s="35" t="s">
        <v>177</v>
      </c>
      <c r="C36" s="35" t="s">
        <v>51</v>
      </c>
      <c r="D36" s="36">
        <f>ROUND(SUMIF(RV_DATA!AB28:AB31, 196322037, RV_DATA!I28:I31), 6)</f>
        <v>6</v>
      </c>
      <c r="E36" s="44">
        <f>ROUND(RV_DATA!N29, 6)</f>
        <v>51.23</v>
      </c>
      <c r="F36" s="44">
        <f>ROUND(SUMIF(RV_DATA!AB28:AB31, 196322037, RV_DATA!O28:O31), 6)</f>
        <v>307.38</v>
      </c>
      <c r="Q36">
        <v>3</v>
      </c>
    </row>
    <row r="37" spans="1:17" ht="71.25" x14ac:dyDescent="0.2">
      <c r="A37" s="43" t="s">
        <v>192</v>
      </c>
      <c r="B37" s="35" t="s">
        <v>193</v>
      </c>
      <c r="C37" s="35" t="s">
        <v>38</v>
      </c>
      <c r="D37" s="36">
        <f>ROUND(SUMIF(RV_DATA!AB28:AB31, -1439171684, RV_DATA!I28:I31), 6)</f>
        <v>2.0250000000000001E-2</v>
      </c>
      <c r="E37" s="44">
        <f>ROUND(RV_DATA!N30, 6)</f>
        <v>71207.520000000004</v>
      </c>
      <c r="F37" s="44">
        <f>ROUND(SUMIF(RV_DATA!AB28:AB31, -1439171684, RV_DATA!O28:O31), 6)</f>
        <v>1441.95</v>
      </c>
      <c r="Q37">
        <v>3</v>
      </c>
    </row>
    <row r="38" spans="1:17" ht="28.5" x14ac:dyDescent="0.2">
      <c r="A38" s="43" t="s">
        <v>156</v>
      </c>
      <c r="B38" s="35" t="s">
        <v>169</v>
      </c>
      <c r="C38" s="35" t="s">
        <v>51</v>
      </c>
      <c r="D38" s="36">
        <f>ROUND(SUMIF(RV_DATA!AB28:AB31, 549507648, RV_DATA!I28:I31), 6)</f>
        <v>3</v>
      </c>
      <c r="E38" s="44">
        <f>ROUND(RV_DATA!N28, 6)</f>
        <v>12673.5</v>
      </c>
      <c r="F38" s="44">
        <f>ROUND(SUMIF(RV_DATA!AB28:AB31, 549507648, RV_DATA!O28:O31), 6)</f>
        <v>38020.5</v>
      </c>
      <c r="Q38">
        <v>3</v>
      </c>
    </row>
    <row r="39" spans="1:17" ht="14.25" x14ac:dyDescent="0.2">
      <c r="A39" s="43" t="s">
        <v>156</v>
      </c>
      <c r="B39" s="35" t="s">
        <v>210</v>
      </c>
      <c r="C39" s="35" t="s">
        <v>51</v>
      </c>
      <c r="D39" s="36">
        <f>ROUND(SUMIF(RV_DATA!AB28:AB31, 1765282897, RV_DATA!I28:I31), 6)</f>
        <v>7</v>
      </c>
      <c r="E39" s="44">
        <f>ROUND(RV_DATA!N31, 6)</f>
        <v>544</v>
      </c>
      <c r="F39" s="44">
        <f>ROUND(SUMIF(RV_DATA!AB28:AB31, 1765282897, RV_DATA!O28:O31), 6)</f>
        <v>3808</v>
      </c>
      <c r="Q39">
        <v>3</v>
      </c>
    </row>
    <row r="40" spans="1:17" ht="15" x14ac:dyDescent="0.25">
      <c r="A40" s="80" t="s">
        <v>774</v>
      </c>
      <c r="B40" s="80"/>
      <c r="C40" s="80"/>
      <c r="D40" s="80"/>
      <c r="E40" s="81">
        <f>SUMIF(Q36:Q39, 3, F36:F39)</f>
        <v>43577.83</v>
      </c>
      <c r="F40" s="80"/>
    </row>
    <row r="41" spans="1:17" ht="16.5" x14ac:dyDescent="0.2">
      <c r="A41" s="82" t="str">
        <f>CONCATENATE("Подраздел: ",IF(Source!G383&lt;&gt;"Новый подраздел", Source!G383, ""))</f>
        <v>Подраздел: 2.4 Электромонтажные работы</v>
      </c>
      <c r="B41" s="83"/>
      <c r="C41" s="83"/>
      <c r="D41" s="83"/>
      <c r="E41" s="83"/>
      <c r="F41" s="83"/>
    </row>
    <row r="42" spans="1:17" ht="14.25" x14ac:dyDescent="0.2">
      <c r="A42" s="89" t="s">
        <v>773</v>
      </c>
      <c r="B42" s="90"/>
      <c r="C42" s="90"/>
      <c r="D42" s="90"/>
      <c r="E42" s="90"/>
      <c r="F42" s="90"/>
    </row>
    <row r="43" spans="1:17" ht="57" x14ac:dyDescent="0.2">
      <c r="A43" s="43" t="s">
        <v>256</v>
      </c>
      <c r="B43" s="35" t="s">
        <v>257</v>
      </c>
      <c r="C43" s="35" t="s">
        <v>51</v>
      </c>
      <c r="D43" s="36">
        <f>ROUND(SUMIF(RV_DATA!AB33:AB35, 598563480, RV_DATA!I33:I35), 6)</f>
        <v>2</v>
      </c>
      <c r="E43" s="44">
        <f>ROUND(RV_DATA!N33, 6)</f>
        <v>102.63</v>
      </c>
      <c r="F43" s="44">
        <f>ROUND(SUMIF(RV_DATA!AB33:AB35, 598563480, RV_DATA!O33:O35), 6)</f>
        <v>205.26</v>
      </c>
      <c r="Q43">
        <v>3</v>
      </c>
    </row>
    <row r="44" spans="1:17" ht="114" x14ac:dyDescent="0.2">
      <c r="A44" s="43" t="s">
        <v>243</v>
      </c>
      <c r="B44" s="35" t="s">
        <v>244</v>
      </c>
      <c r="C44" s="35" t="s">
        <v>245</v>
      </c>
      <c r="D44" s="36">
        <f>ROUND(SUMIF(RV_DATA!AB33:AB35, 688701120, RV_DATA!I33:I35), 6)</f>
        <v>1.0200000000000001E-2</v>
      </c>
      <c r="E44" s="44">
        <f>ROUND(RV_DATA!N34, 6)</f>
        <v>100115.51</v>
      </c>
      <c r="F44" s="44">
        <f>ROUND(SUMIF(RV_DATA!AB33:AB35, 688701120, RV_DATA!O33:O35), 6)</f>
        <v>1021.18</v>
      </c>
      <c r="Q44">
        <v>3</v>
      </c>
    </row>
    <row r="45" spans="1:17" ht="85.5" x14ac:dyDescent="0.2">
      <c r="A45" s="43" t="s">
        <v>156</v>
      </c>
      <c r="B45" s="35" t="s">
        <v>330</v>
      </c>
      <c r="C45" s="35" t="s">
        <v>51</v>
      </c>
      <c r="D45" s="36">
        <f>ROUND(SUMIF(RV_DATA!AB33:AB35, -1554945508, RV_DATA!I33:I35), 6)</f>
        <v>6</v>
      </c>
      <c r="E45" s="44">
        <f>ROUND(RV_DATA!N35, 6)</f>
        <v>3570</v>
      </c>
      <c r="F45" s="44">
        <f>ROUND(SUMIF(RV_DATA!AB33:AB35, -1554945508, RV_DATA!O33:O35), 6)</f>
        <v>21420</v>
      </c>
      <c r="Q45">
        <v>3</v>
      </c>
    </row>
    <row r="46" spans="1:17" ht="15" x14ac:dyDescent="0.25">
      <c r="A46" s="80" t="s">
        <v>774</v>
      </c>
      <c r="B46" s="80"/>
      <c r="C46" s="80"/>
      <c r="D46" s="80"/>
      <c r="E46" s="81">
        <f>SUMIF(Q43:Q45, 3, F43:F45)</f>
        <v>22646.44</v>
      </c>
      <c r="F46" s="80"/>
    </row>
    <row r="47" spans="1:17" ht="16.5" x14ac:dyDescent="0.2">
      <c r="A47" s="82" t="str">
        <f>CONCATENATE("Раздел: ",IF(Source!G456&lt;&gt;"Новый раздел", Source!G456, ""))</f>
        <v>Раздел: 3. Вывоз мусора</v>
      </c>
      <c r="B47" s="83"/>
      <c r="C47" s="83"/>
      <c r="D47" s="83"/>
      <c r="E47" s="83"/>
      <c r="F47" s="83"/>
    </row>
  </sheetData>
  <sortState ref="A43:R45">
    <sortCondition ref="A43"/>
  </sortState>
  <mergeCells count="34">
    <mergeCell ref="A47:F47"/>
    <mergeCell ref="A35:F35"/>
    <mergeCell ref="A40:D40"/>
    <mergeCell ref="E40:F40"/>
    <mergeCell ref="A41:F41"/>
    <mergeCell ref="A42:F42"/>
    <mergeCell ref="A46:D46"/>
    <mergeCell ref="E46:F46"/>
    <mergeCell ref="A34:F34"/>
    <mergeCell ref="A15:F15"/>
    <mergeCell ref="A16:F16"/>
    <mergeCell ref="A22:D22"/>
    <mergeCell ref="E22:F22"/>
    <mergeCell ref="A23:F23"/>
    <mergeCell ref="A24:F24"/>
    <mergeCell ref="A30:D30"/>
    <mergeCell ref="E30:F30"/>
    <mergeCell ref="A31:F31"/>
    <mergeCell ref="A32:F32"/>
    <mergeCell ref="A33:F33"/>
    <mergeCell ref="A14:D14"/>
    <mergeCell ref="E14:F14"/>
    <mergeCell ref="A2:F2"/>
    <mergeCell ref="A3:F3"/>
    <mergeCell ref="A4:A6"/>
    <mergeCell ref="B4:B6"/>
    <mergeCell ref="C4:C6"/>
    <mergeCell ref="D4:D6"/>
    <mergeCell ref="E4:F5"/>
    <mergeCell ref="A8:F8"/>
    <mergeCell ref="A9:F9"/>
    <mergeCell ref="A10:F10"/>
    <mergeCell ref="A11:F11"/>
    <mergeCell ref="A12:F12"/>
  </mergeCells>
  <pageMargins left="0.6" right="0.4" top="0.65" bottom="0.4" header="0.4" footer="0.4"/>
  <pageSetup paperSize="9" scale="85" fitToHeight="0" orientation="portrait" horizontalDpi="4294967293" verticalDpi="0" r:id="rId1"/>
  <headerFooter>
    <oddHeader>&amp;C&amp;P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K585"/>
  <sheetViews>
    <sheetView tabSelected="1" workbookViewId="0">
      <selection activeCell="F32" sqref="F32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62169</v>
      </c>
      <c r="M1">
        <v>10</v>
      </c>
      <c r="N1">
        <v>11</v>
      </c>
      <c r="O1">
        <v>8</v>
      </c>
      <c r="P1">
        <v>0</v>
      </c>
      <c r="Q1">
        <v>0</v>
      </c>
    </row>
    <row r="12" spans="1:133" x14ac:dyDescent="0.2">
      <c r="A12" s="1">
        <v>1</v>
      </c>
      <c r="B12" s="1">
        <v>581</v>
      </c>
      <c r="C12" s="1">
        <v>0</v>
      </c>
      <c r="D12" s="1">
        <f>ROW(A522)</f>
        <v>522</v>
      </c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2</v>
      </c>
      <c r="N12" s="1"/>
      <c r="O12" s="1">
        <v>0</v>
      </c>
      <c r="P12" s="1">
        <v>0</v>
      </c>
      <c r="Q12" s="1">
        <v>0</v>
      </c>
      <c r="R12" s="1">
        <v>108</v>
      </c>
      <c r="S12" s="1"/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1</v>
      </c>
      <c r="BU12" s="1">
        <v>0</v>
      </c>
      <c r="BV12" s="1">
        <v>1</v>
      </c>
      <c r="BW12" s="1">
        <v>0</v>
      </c>
      <c r="BX12" s="1">
        <v>0</v>
      </c>
      <c r="BY12" s="1" t="s">
        <v>8</v>
      </c>
      <c r="BZ12" s="1" t="s">
        <v>9</v>
      </c>
      <c r="CA12" s="1" t="s">
        <v>10</v>
      </c>
      <c r="CB12" s="1" t="s">
        <v>10</v>
      </c>
      <c r="CC12" s="1" t="s">
        <v>10</v>
      </c>
      <c r="CD12" s="1" t="s">
        <v>10</v>
      </c>
      <c r="CE12" s="1" t="s">
        <v>11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0</v>
      </c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45" x14ac:dyDescent="0.2">
      <c r="A18" s="2">
        <v>52</v>
      </c>
      <c r="B18" s="2">
        <f t="shared" ref="B18:G18" si="0">B522</f>
        <v>581</v>
      </c>
      <c r="C18" s="2">
        <f t="shared" si="0"/>
        <v>1</v>
      </c>
      <c r="D18" s="2">
        <f t="shared" si="0"/>
        <v>12</v>
      </c>
      <c r="E18" s="2">
        <f t="shared" si="0"/>
        <v>0</v>
      </c>
      <c r="F18" s="2" t="str">
        <f t="shared" si="0"/>
        <v>Новый объект</v>
      </c>
      <c r="G18" s="2" t="str">
        <f t="shared" si="0"/>
        <v>+Текущий ремонт спортзала №1 + раздевалки по адресу: г. Москва, ул. Митинская улица, д. 48, корп. 2</v>
      </c>
      <c r="H18" s="2"/>
      <c r="I18" s="2"/>
      <c r="J18" s="2"/>
      <c r="K18" s="2"/>
      <c r="L18" s="2"/>
      <c r="M18" s="2"/>
      <c r="N18" s="2"/>
      <c r="O18" s="2">
        <f t="shared" ref="O18:AT18" si="1">O522</f>
        <v>1626320.45</v>
      </c>
      <c r="P18" s="2">
        <f t="shared" si="1"/>
        <v>1011274.7</v>
      </c>
      <c r="Q18" s="2">
        <f t="shared" si="1"/>
        <v>23758.01</v>
      </c>
      <c r="R18" s="2">
        <f t="shared" si="1"/>
        <v>18629.830000000002</v>
      </c>
      <c r="S18" s="2">
        <f t="shared" si="1"/>
        <v>591287.74</v>
      </c>
      <c r="T18" s="2">
        <f t="shared" si="1"/>
        <v>0</v>
      </c>
      <c r="U18" s="2">
        <f t="shared" si="1"/>
        <v>1979.8973254000002</v>
      </c>
      <c r="V18" s="2">
        <f t="shared" si="1"/>
        <v>0</v>
      </c>
      <c r="W18" s="2">
        <f t="shared" si="1"/>
        <v>0</v>
      </c>
      <c r="X18" s="2">
        <f t="shared" si="1"/>
        <v>413901.44</v>
      </c>
      <c r="Y18" s="2">
        <f t="shared" si="1"/>
        <v>59128.79</v>
      </c>
      <c r="Z18" s="2">
        <f t="shared" si="1"/>
        <v>0</v>
      </c>
      <c r="AA18" s="2">
        <f t="shared" si="1"/>
        <v>0</v>
      </c>
      <c r="AB18" s="2">
        <f t="shared" si="1"/>
        <v>0</v>
      </c>
      <c r="AC18" s="2">
        <f t="shared" si="1"/>
        <v>0</v>
      </c>
      <c r="AD18" s="2">
        <f t="shared" si="1"/>
        <v>0</v>
      </c>
      <c r="AE18" s="2">
        <f t="shared" si="1"/>
        <v>0</v>
      </c>
      <c r="AF18" s="2">
        <f t="shared" si="1"/>
        <v>0</v>
      </c>
      <c r="AG18" s="2">
        <f t="shared" si="1"/>
        <v>0</v>
      </c>
      <c r="AH18" s="2">
        <f t="shared" si="1"/>
        <v>0</v>
      </c>
      <c r="AI18" s="2">
        <f t="shared" si="1"/>
        <v>0</v>
      </c>
      <c r="AJ18" s="2">
        <f t="shared" si="1"/>
        <v>0</v>
      </c>
      <c r="AK18" s="2">
        <f t="shared" si="1"/>
        <v>0</v>
      </c>
      <c r="AL18" s="2">
        <f t="shared" si="1"/>
        <v>0</v>
      </c>
      <c r="AM18" s="2">
        <f t="shared" si="1"/>
        <v>0</v>
      </c>
      <c r="AN18" s="2">
        <f t="shared" si="1"/>
        <v>0</v>
      </c>
      <c r="AO18" s="2">
        <f t="shared" si="1"/>
        <v>0</v>
      </c>
      <c r="AP18" s="2">
        <f t="shared" si="1"/>
        <v>0</v>
      </c>
      <c r="AQ18" s="2">
        <f t="shared" si="1"/>
        <v>0</v>
      </c>
      <c r="AR18" s="2">
        <f t="shared" si="1"/>
        <v>2116768.7999999998</v>
      </c>
      <c r="AS18" s="2">
        <f t="shared" si="1"/>
        <v>0</v>
      </c>
      <c r="AT18" s="2">
        <f t="shared" si="1"/>
        <v>0</v>
      </c>
      <c r="AU18" s="2">
        <f t="shared" ref="AU18:BZ18" si="2">AU522</f>
        <v>2116768.7999999998</v>
      </c>
      <c r="AV18" s="2">
        <f t="shared" si="2"/>
        <v>1011274.7</v>
      </c>
      <c r="AW18" s="2">
        <f t="shared" si="2"/>
        <v>1011274.7</v>
      </c>
      <c r="AX18" s="2">
        <f t="shared" si="2"/>
        <v>0</v>
      </c>
      <c r="AY18" s="2">
        <f t="shared" si="2"/>
        <v>1011274.7</v>
      </c>
      <c r="AZ18" s="2">
        <f t="shared" si="2"/>
        <v>0</v>
      </c>
      <c r="BA18" s="2">
        <f t="shared" si="2"/>
        <v>0</v>
      </c>
      <c r="BB18" s="2">
        <f t="shared" si="2"/>
        <v>0</v>
      </c>
      <c r="BC18" s="2">
        <f t="shared" si="2"/>
        <v>0</v>
      </c>
      <c r="BD18" s="2">
        <f t="shared" si="2"/>
        <v>0</v>
      </c>
      <c r="BE18" s="2">
        <f t="shared" si="2"/>
        <v>0</v>
      </c>
      <c r="BF18" s="2">
        <f t="shared" si="2"/>
        <v>0</v>
      </c>
      <c r="BG18" s="2">
        <f t="shared" si="2"/>
        <v>0</v>
      </c>
      <c r="BH18" s="2">
        <f t="shared" si="2"/>
        <v>0</v>
      </c>
      <c r="BI18" s="2">
        <f t="shared" si="2"/>
        <v>0</v>
      </c>
      <c r="BJ18" s="2">
        <f t="shared" si="2"/>
        <v>0</v>
      </c>
      <c r="BK18" s="2">
        <f t="shared" si="2"/>
        <v>0</v>
      </c>
      <c r="BL18" s="2">
        <f t="shared" si="2"/>
        <v>0</v>
      </c>
      <c r="BM18" s="2">
        <f t="shared" si="2"/>
        <v>0</v>
      </c>
      <c r="BN18" s="2">
        <f t="shared" si="2"/>
        <v>0</v>
      </c>
      <c r="BO18" s="2">
        <f t="shared" si="2"/>
        <v>0</v>
      </c>
      <c r="BP18" s="2">
        <f t="shared" si="2"/>
        <v>0</v>
      </c>
      <c r="BQ18" s="2">
        <f t="shared" si="2"/>
        <v>0</v>
      </c>
      <c r="BR18" s="2">
        <f t="shared" si="2"/>
        <v>0</v>
      </c>
      <c r="BS18" s="2">
        <f t="shared" si="2"/>
        <v>0</v>
      </c>
      <c r="BT18" s="2">
        <f t="shared" si="2"/>
        <v>0</v>
      </c>
      <c r="BU18" s="2">
        <f t="shared" si="2"/>
        <v>0</v>
      </c>
      <c r="BV18" s="2">
        <f t="shared" si="2"/>
        <v>0</v>
      </c>
      <c r="BW18" s="2">
        <f t="shared" si="2"/>
        <v>0</v>
      </c>
      <c r="BX18" s="2">
        <f t="shared" si="2"/>
        <v>0</v>
      </c>
      <c r="BY18" s="2">
        <f t="shared" si="2"/>
        <v>0</v>
      </c>
      <c r="BZ18" s="2">
        <f t="shared" si="2"/>
        <v>0</v>
      </c>
      <c r="CA18" s="2">
        <f t="shared" ref="CA18:DF18" si="3">CA522</f>
        <v>0</v>
      </c>
      <c r="CB18" s="2">
        <f t="shared" si="3"/>
        <v>0</v>
      </c>
      <c r="CC18" s="2">
        <f t="shared" si="3"/>
        <v>0</v>
      </c>
      <c r="CD18" s="2">
        <f t="shared" si="3"/>
        <v>0</v>
      </c>
      <c r="CE18" s="2">
        <f t="shared" si="3"/>
        <v>0</v>
      </c>
      <c r="CF18" s="2">
        <f t="shared" si="3"/>
        <v>0</v>
      </c>
      <c r="CG18" s="2">
        <f t="shared" si="3"/>
        <v>0</v>
      </c>
      <c r="CH18" s="2">
        <f t="shared" si="3"/>
        <v>0</v>
      </c>
      <c r="CI18" s="2">
        <f t="shared" si="3"/>
        <v>0</v>
      </c>
      <c r="CJ18" s="2">
        <f t="shared" si="3"/>
        <v>0</v>
      </c>
      <c r="CK18" s="2">
        <f t="shared" si="3"/>
        <v>0</v>
      </c>
      <c r="CL18" s="2">
        <f t="shared" si="3"/>
        <v>0</v>
      </c>
      <c r="CM18" s="2">
        <f t="shared" si="3"/>
        <v>0</v>
      </c>
      <c r="CN18" s="2">
        <f t="shared" si="3"/>
        <v>0</v>
      </c>
      <c r="CO18" s="2">
        <f t="shared" si="3"/>
        <v>0</v>
      </c>
      <c r="CP18" s="2">
        <f t="shared" si="3"/>
        <v>0</v>
      </c>
      <c r="CQ18" s="2">
        <f t="shared" si="3"/>
        <v>0</v>
      </c>
      <c r="CR18" s="2">
        <f t="shared" si="3"/>
        <v>0</v>
      </c>
      <c r="CS18" s="2">
        <f t="shared" si="3"/>
        <v>0</v>
      </c>
      <c r="CT18" s="2">
        <f t="shared" si="3"/>
        <v>0</v>
      </c>
      <c r="CU18" s="2">
        <f t="shared" si="3"/>
        <v>0</v>
      </c>
      <c r="CV18" s="2">
        <f t="shared" si="3"/>
        <v>0</v>
      </c>
      <c r="CW18" s="2">
        <f t="shared" si="3"/>
        <v>0</v>
      </c>
      <c r="CX18" s="2">
        <f t="shared" si="3"/>
        <v>0</v>
      </c>
      <c r="CY18" s="2">
        <f t="shared" si="3"/>
        <v>0</v>
      </c>
      <c r="CZ18" s="2">
        <f t="shared" si="3"/>
        <v>0</v>
      </c>
      <c r="DA18" s="2">
        <f t="shared" si="3"/>
        <v>0</v>
      </c>
      <c r="DB18" s="2">
        <f t="shared" si="3"/>
        <v>0</v>
      </c>
      <c r="DC18" s="2">
        <f t="shared" si="3"/>
        <v>0</v>
      </c>
      <c r="DD18" s="2">
        <f t="shared" si="3"/>
        <v>0</v>
      </c>
      <c r="DE18" s="2">
        <f t="shared" si="3"/>
        <v>0</v>
      </c>
      <c r="DF18" s="2">
        <f t="shared" si="3"/>
        <v>0</v>
      </c>
      <c r="DG18" s="3">
        <f t="shared" ref="DG18:EL18" si="4">DG522</f>
        <v>0</v>
      </c>
      <c r="DH18" s="3">
        <f t="shared" si="4"/>
        <v>0</v>
      </c>
      <c r="DI18" s="3">
        <f t="shared" si="4"/>
        <v>0</v>
      </c>
      <c r="DJ18" s="3">
        <f t="shared" si="4"/>
        <v>0</v>
      </c>
      <c r="DK18" s="3">
        <f t="shared" si="4"/>
        <v>0</v>
      </c>
      <c r="DL18" s="3">
        <f t="shared" si="4"/>
        <v>0</v>
      </c>
      <c r="DM18" s="3">
        <f t="shared" si="4"/>
        <v>0</v>
      </c>
      <c r="DN18" s="3">
        <f t="shared" si="4"/>
        <v>0</v>
      </c>
      <c r="DO18" s="3">
        <f t="shared" si="4"/>
        <v>0</v>
      </c>
      <c r="DP18" s="3">
        <f t="shared" si="4"/>
        <v>0</v>
      </c>
      <c r="DQ18" s="3">
        <f t="shared" si="4"/>
        <v>0</v>
      </c>
      <c r="DR18" s="3">
        <f t="shared" si="4"/>
        <v>0</v>
      </c>
      <c r="DS18" s="3">
        <f t="shared" si="4"/>
        <v>0</v>
      </c>
      <c r="DT18" s="3">
        <f t="shared" si="4"/>
        <v>0</v>
      </c>
      <c r="DU18" s="3">
        <f t="shared" si="4"/>
        <v>0</v>
      </c>
      <c r="DV18" s="3">
        <f t="shared" si="4"/>
        <v>0</v>
      </c>
      <c r="DW18" s="3">
        <f t="shared" si="4"/>
        <v>0</v>
      </c>
      <c r="DX18" s="3">
        <f t="shared" si="4"/>
        <v>0</v>
      </c>
      <c r="DY18" s="3">
        <f t="shared" si="4"/>
        <v>0</v>
      </c>
      <c r="DZ18" s="3">
        <f t="shared" si="4"/>
        <v>0</v>
      </c>
      <c r="EA18" s="3">
        <f t="shared" si="4"/>
        <v>0</v>
      </c>
      <c r="EB18" s="3">
        <f t="shared" si="4"/>
        <v>0</v>
      </c>
      <c r="EC18" s="3">
        <f t="shared" si="4"/>
        <v>0</v>
      </c>
      <c r="ED18" s="3">
        <f t="shared" si="4"/>
        <v>0</v>
      </c>
      <c r="EE18" s="3">
        <f t="shared" si="4"/>
        <v>0</v>
      </c>
      <c r="EF18" s="3">
        <f t="shared" si="4"/>
        <v>0</v>
      </c>
      <c r="EG18" s="3">
        <f t="shared" si="4"/>
        <v>0</v>
      </c>
      <c r="EH18" s="3">
        <f t="shared" si="4"/>
        <v>0</v>
      </c>
      <c r="EI18" s="3">
        <f t="shared" si="4"/>
        <v>0</v>
      </c>
      <c r="EJ18" s="3">
        <f t="shared" si="4"/>
        <v>0</v>
      </c>
      <c r="EK18" s="3">
        <f t="shared" si="4"/>
        <v>0</v>
      </c>
      <c r="EL18" s="3">
        <f t="shared" si="4"/>
        <v>0</v>
      </c>
      <c r="EM18" s="3">
        <f t="shared" ref="EM18:FR18" si="5">EM522</f>
        <v>0</v>
      </c>
      <c r="EN18" s="3">
        <f t="shared" si="5"/>
        <v>0</v>
      </c>
      <c r="EO18" s="3">
        <f t="shared" si="5"/>
        <v>0</v>
      </c>
      <c r="EP18" s="3">
        <f t="shared" si="5"/>
        <v>0</v>
      </c>
      <c r="EQ18" s="3">
        <f t="shared" si="5"/>
        <v>0</v>
      </c>
      <c r="ER18" s="3">
        <f t="shared" si="5"/>
        <v>0</v>
      </c>
      <c r="ES18" s="3">
        <f t="shared" si="5"/>
        <v>0</v>
      </c>
      <c r="ET18" s="3">
        <f t="shared" si="5"/>
        <v>0</v>
      </c>
      <c r="EU18" s="3">
        <f t="shared" si="5"/>
        <v>0</v>
      </c>
      <c r="EV18" s="3">
        <f t="shared" si="5"/>
        <v>0</v>
      </c>
      <c r="EW18" s="3">
        <f t="shared" si="5"/>
        <v>0</v>
      </c>
      <c r="EX18" s="3">
        <f t="shared" si="5"/>
        <v>0</v>
      </c>
      <c r="EY18" s="3">
        <f t="shared" si="5"/>
        <v>0</v>
      </c>
      <c r="EZ18" s="3">
        <f t="shared" si="5"/>
        <v>0</v>
      </c>
      <c r="FA18" s="3">
        <f t="shared" si="5"/>
        <v>0</v>
      </c>
      <c r="FB18" s="3">
        <f t="shared" si="5"/>
        <v>0</v>
      </c>
      <c r="FC18" s="3">
        <f t="shared" si="5"/>
        <v>0</v>
      </c>
      <c r="FD18" s="3">
        <f t="shared" si="5"/>
        <v>0</v>
      </c>
      <c r="FE18" s="3">
        <f t="shared" si="5"/>
        <v>0</v>
      </c>
      <c r="FF18" s="3">
        <f t="shared" si="5"/>
        <v>0</v>
      </c>
      <c r="FG18" s="3">
        <f t="shared" si="5"/>
        <v>0</v>
      </c>
      <c r="FH18" s="3">
        <f t="shared" si="5"/>
        <v>0</v>
      </c>
      <c r="FI18" s="3">
        <f t="shared" si="5"/>
        <v>0</v>
      </c>
      <c r="FJ18" s="3">
        <f t="shared" si="5"/>
        <v>0</v>
      </c>
      <c r="FK18" s="3">
        <f t="shared" si="5"/>
        <v>0</v>
      </c>
      <c r="FL18" s="3">
        <f t="shared" si="5"/>
        <v>0</v>
      </c>
      <c r="FM18" s="3">
        <f t="shared" si="5"/>
        <v>0</v>
      </c>
      <c r="FN18" s="3">
        <f t="shared" si="5"/>
        <v>0</v>
      </c>
      <c r="FO18" s="3">
        <f t="shared" si="5"/>
        <v>0</v>
      </c>
      <c r="FP18" s="3">
        <f t="shared" si="5"/>
        <v>0</v>
      </c>
      <c r="FQ18" s="3">
        <f t="shared" si="5"/>
        <v>0</v>
      </c>
      <c r="FR18" s="3">
        <f t="shared" si="5"/>
        <v>0</v>
      </c>
      <c r="FS18" s="3">
        <f t="shared" ref="FS18:GX18" si="6">FS522</f>
        <v>0</v>
      </c>
      <c r="FT18" s="3">
        <f t="shared" si="6"/>
        <v>0</v>
      </c>
      <c r="FU18" s="3">
        <f t="shared" si="6"/>
        <v>0</v>
      </c>
      <c r="FV18" s="3">
        <f t="shared" si="6"/>
        <v>0</v>
      </c>
      <c r="FW18" s="3">
        <f t="shared" si="6"/>
        <v>0</v>
      </c>
      <c r="FX18" s="3">
        <f t="shared" si="6"/>
        <v>0</v>
      </c>
      <c r="FY18" s="3">
        <f t="shared" si="6"/>
        <v>0</v>
      </c>
      <c r="FZ18" s="3">
        <f t="shared" si="6"/>
        <v>0</v>
      </c>
      <c r="GA18" s="3">
        <f t="shared" si="6"/>
        <v>0</v>
      </c>
      <c r="GB18" s="3">
        <f t="shared" si="6"/>
        <v>0</v>
      </c>
      <c r="GC18" s="3">
        <f t="shared" si="6"/>
        <v>0</v>
      </c>
      <c r="GD18" s="3">
        <f t="shared" si="6"/>
        <v>0</v>
      </c>
      <c r="GE18" s="3">
        <f t="shared" si="6"/>
        <v>0</v>
      </c>
      <c r="GF18" s="3">
        <f t="shared" si="6"/>
        <v>0</v>
      </c>
      <c r="GG18" s="3">
        <f t="shared" si="6"/>
        <v>0</v>
      </c>
      <c r="GH18" s="3">
        <f t="shared" si="6"/>
        <v>0</v>
      </c>
      <c r="GI18" s="3">
        <f t="shared" si="6"/>
        <v>0</v>
      </c>
      <c r="GJ18" s="3">
        <f t="shared" si="6"/>
        <v>0</v>
      </c>
      <c r="GK18" s="3">
        <f t="shared" si="6"/>
        <v>0</v>
      </c>
      <c r="GL18" s="3">
        <f t="shared" si="6"/>
        <v>0</v>
      </c>
      <c r="GM18" s="3">
        <f t="shared" si="6"/>
        <v>0</v>
      </c>
      <c r="GN18" s="3">
        <f t="shared" si="6"/>
        <v>0</v>
      </c>
      <c r="GO18" s="3">
        <f t="shared" si="6"/>
        <v>0</v>
      </c>
      <c r="GP18" s="3">
        <f t="shared" si="6"/>
        <v>0</v>
      </c>
      <c r="GQ18" s="3">
        <f t="shared" si="6"/>
        <v>0</v>
      </c>
      <c r="GR18" s="3">
        <f t="shared" si="6"/>
        <v>0</v>
      </c>
      <c r="GS18" s="3">
        <f t="shared" si="6"/>
        <v>0</v>
      </c>
      <c r="GT18" s="3">
        <f t="shared" si="6"/>
        <v>0</v>
      </c>
      <c r="GU18" s="3">
        <f t="shared" si="6"/>
        <v>0</v>
      </c>
      <c r="GV18" s="3">
        <f t="shared" si="6"/>
        <v>0</v>
      </c>
      <c r="GW18" s="3">
        <f t="shared" si="6"/>
        <v>0</v>
      </c>
      <c r="GX18" s="3">
        <f t="shared" si="6"/>
        <v>0</v>
      </c>
    </row>
    <row r="20" spans="1:245" x14ac:dyDescent="0.2">
      <c r="A20" s="1">
        <v>3</v>
      </c>
      <c r="B20" s="1">
        <v>1</v>
      </c>
      <c r="C20" s="1"/>
      <c r="D20" s="1">
        <f>ROW(A492)</f>
        <v>492</v>
      </c>
      <c r="E20" s="1"/>
      <c r="F20" s="1" t="s">
        <v>12</v>
      </c>
      <c r="G20" s="1" t="s">
        <v>12</v>
      </c>
      <c r="H20" s="1" t="s">
        <v>3</v>
      </c>
      <c r="I20" s="1">
        <v>0</v>
      </c>
      <c r="J20" s="1" t="s">
        <v>3</v>
      </c>
      <c r="K20" s="1">
        <v>0</v>
      </c>
      <c r="L20" s="1" t="s">
        <v>3</v>
      </c>
      <c r="M20" s="1" t="s">
        <v>3</v>
      </c>
      <c r="N20" s="1"/>
      <c r="O20" s="1"/>
      <c r="P20" s="1"/>
      <c r="Q20" s="1"/>
      <c r="R20" s="1"/>
      <c r="S20" s="1">
        <v>0</v>
      </c>
      <c r="T20" s="1"/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45" x14ac:dyDescent="0.2">
      <c r="A22" s="2">
        <v>52</v>
      </c>
      <c r="B22" s="2">
        <f t="shared" ref="B22:G22" si="7">B492</f>
        <v>1</v>
      </c>
      <c r="C22" s="2">
        <f t="shared" si="7"/>
        <v>3</v>
      </c>
      <c r="D22" s="2">
        <f t="shared" si="7"/>
        <v>20</v>
      </c>
      <c r="E22" s="2">
        <f t="shared" si="7"/>
        <v>0</v>
      </c>
      <c r="F22" s="2" t="str">
        <f t="shared" si="7"/>
        <v>Новая локальная смета</v>
      </c>
      <c r="G22" s="2" t="str">
        <f t="shared" si="7"/>
        <v>Новая локальная смета</v>
      </c>
      <c r="H22" s="2"/>
      <c r="I22" s="2"/>
      <c r="J22" s="2"/>
      <c r="K22" s="2"/>
      <c r="L22" s="2"/>
      <c r="M22" s="2"/>
      <c r="N22" s="2"/>
      <c r="O22" s="2">
        <f t="shared" ref="O22:AT22" si="8">O492</f>
        <v>1626320.45</v>
      </c>
      <c r="P22" s="2">
        <f t="shared" si="8"/>
        <v>1011274.7</v>
      </c>
      <c r="Q22" s="2">
        <f t="shared" si="8"/>
        <v>23758.01</v>
      </c>
      <c r="R22" s="2">
        <f t="shared" si="8"/>
        <v>18629.830000000002</v>
      </c>
      <c r="S22" s="2">
        <f t="shared" si="8"/>
        <v>591287.74</v>
      </c>
      <c r="T22" s="2">
        <f t="shared" si="8"/>
        <v>0</v>
      </c>
      <c r="U22" s="2">
        <f t="shared" si="8"/>
        <v>1979.8973254000002</v>
      </c>
      <c r="V22" s="2">
        <f t="shared" si="8"/>
        <v>0</v>
      </c>
      <c r="W22" s="2">
        <f t="shared" si="8"/>
        <v>0</v>
      </c>
      <c r="X22" s="2">
        <f t="shared" si="8"/>
        <v>413901.44</v>
      </c>
      <c r="Y22" s="2">
        <f t="shared" si="8"/>
        <v>59128.79</v>
      </c>
      <c r="Z22" s="2">
        <f t="shared" si="8"/>
        <v>0</v>
      </c>
      <c r="AA22" s="2">
        <f t="shared" si="8"/>
        <v>0</v>
      </c>
      <c r="AB22" s="2">
        <f t="shared" si="8"/>
        <v>0</v>
      </c>
      <c r="AC22" s="2">
        <f t="shared" si="8"/>
        <v>0</v>
      </c>
      <c r="AD22" s="2">
        <f t="shared" si="8"/>
        <v>0</v>
      </c>
      <c r="AE22" s="2">
        <f t="shared" si="8"/>
        <v>0</v>
      </c>
      <c r="AF22" s="2">
        <f t="shared" si="8"/>
        <v>0</v>
      </c>
      <c r="AG22" s="2">
        <f t="shared" si="8"/>
        <v>0</v>
      </c>
      <c r="AH22" s="2">
        <f t="shared" si="8"/>
        <v>0</v>
      </c>
      <c r="AI22" s="2">
        <f t="shared" si="8"/>
        <v>0</v>
      </c>
      <c r="AJ22" s="2">
        <f t="shared" si="8"/>
        <v>0</v>
      </c>
      <c r="AK22" s="2">
        <f t="shared" si="8"/>
        <v>0</v>
      </c>
      <c r="AL22" s="2">
        <f t="shared" si="8"/>
        <v>0</v>
      </c>
      <c r="AM22" s="2">
        <f t="shared" si="8"/>
        <v>0</v>
      </c>
      <c r="AN22" s="2">
        <f t="shared" si="8"/>
        <v>0</v>
      </c>
      <c r="AO22" s="2">
        <f t="shared" si="8"/>
        <v>0</v>
      </c>
      <c r="AP22" s="2">
        <f t="shared" si="8"/>
        <v>0</v>
      </c>
      <c r="AQ22" s="2">
        <f t="shared" si="8"/>
        <v>0</v>
      </c>
      <c r="AR22" s="2">
        <f t="shared" si="8"/>
        <v>2116768.7999999998</v>
      </c>
      <c r="AS22" s="2">
        <f t="shared" si="8"/>
        <v>0</v>
      </c>
      <c r="AT22" s="2">
        <f t="shared" si="8"/>
        <v>0</v>
      </c>
      <c r="AU22" s="2">
        <f t="shared" ref="AU22:BZ22" si="9">AU492</f>
        <v>2116768.7999999998</v>
      </c>
      <c r="AV22" s="2">
        <f t="shared" si="9"/>
        <v>1011274.7</v>
      </c>
      <c r="AW22" s="2">
        <f t="shared" si="9"/>
        <v>1011274.7</v>
      </c>
      <c r="AX22" s="2">
        <f t="shared" si="9"/>
        <v>0</v>
      </c>
      <c r="AY22" s="2">
        <f t="shared" si="9"/>
        <v>1011274.7</v>
      </c>
      <c r="AZ22" s="2">
        <f t="shared" si="9"/>
        <v>0</v>
      </c>
      <c r="BA22" s="2">
        <f t="shared" si="9"/>
        <v>0</v>
      </c>
      <c r="BB22" s="2">
        <f t="shared" si="9"/>
        <v>0</v>
      </c>
      <c r="BC22" s="2">
        <f t="shared" si="9"/>
        <v>0</v>
      </c>
      <c r="BD22" s="2">
        <f t="shared" si="9"/>
        <v>0</v>
      </c>
      <c r="BE22" s="2">
        <f t="shared" si="9"/>
        <v>0</v>
      </c>
      <c r="BF22" s="2">
        <f t="shared" si="9"/>
        <v>0</v>
      </c>
      <c r="BG22" s="2">
        <f t="shared" si="9"/>
        <v>0</v>
      </c>
      <c r="BH22" s="2">
        <f t="shared" si="9"/>
        <v>0</v>
      </c>
      <c r="BI22" s="2">
        <f t="shared" si="9"/>
        <v>0</v>
      </c>
      <c r="BJ22" s="2">
        <f t="shared" si="9"/>
        <v>0</v>
      </c>
      <c r="BK22" s="2">
        <f t="shared" si="9"/>
        <v>0</v>
      </c>
      <c r="BL22" s="2">
        <f t="shared" si="9"/>
        <v>0</v>
      </c>
      <c r="BM22" s="2">
        <f t="shared" si="9"/>
        <v>0</v>
      </c>
      <c r="BN22" s="2">
        <f t="shared" si="9"/>
        <v>0</v>
      </c>
      <c r="BO22" s="2">
        <f t="shared" si="9"/>
        <v>0</v>
      </c>
      <c r="BP22" s="2">
        <f t="shared" si="9"/>
        <v>0</v>
      </c>
      <c r="BQ22" s="2">
        <f t="shared" si="9"/>
        <v>0</v>
      </c>
      <c r="BR22" s="2">
        <f t="shared" si="9"/>
        <v>0</v>
      </c>
      <c r="BS22" s="2">
        <f t="shared" si="9"/>
        <v>0</v>
      </c>
      <c r="BT22" s="2">
        <f t="shared" si="9"/>
        <v>0</v>
      </c>
      <c r="BU22" s="2">
        <f t="shared" si="9"/>
        <v>0</v>
      </c>
      <c r="BV22" s="2">
        <f t="shared" si="9"/>
        <v>0</v>
      </c>
      <c r="BW22" s="2">
        <f t="shared" si="9"/>
        <v>0</v>
      </c>
      <c r="BX22" s="2">
        <f t="shared" si="9"/>
        <v>0</v>
      </c>
      <c r="BY22" s="2">
        <f t="shared" si="9"/>
        <v>0</v>
      </c>
      <c r="BZ22" s="2">
        <f t="shared" si="9"/>
        <v>0</v>
      </c>
      <c r="CA22" s="2">
        <f t="shared" ref="CA22:DF22" si="10">CA492</f>
        <v>0</v>
      </c>
      <c r="CB22" s="2">
        <f t="shared" si="10"/>
        <v>0</v>
      </c>
      <c r="CC22" s="2">
        <f t="shared" si="10"/>
        <v>0</v>
      </c>
      <c r="CD22" s="2">
        <f t="shared" si="10"/>
        <v>0</v>
      </c>
      <c r="CE22" s="2">
        <f t="shared" si="10"/>
        <v>0</v>
      </c>
      <c r="CF22" s="2">
        <f t="shared" si="10"/>
        <v>0</v>
      </c>
      <c r="CG22" s="2">
        <f t="shared" si="10"/>
        <v>0</v>
      </c>
      <c r="CH22" s="2">
        <f t="shared" si="10"/>
        <v>0</v>
      </c>
      <c r="CI22" s="2">
        <f t="shared" si="10"/>
        <v>0</v>
      </c>
      <c r="CJ22" s="2">
        <f t="shared" si="10"/>
        <v>0</v>
      </c>
      <c r="CK22" s="2">
        <f t="shared" si="10"/>
        <v>0</v>
      </c>
      <c r="CL22" s="2">
        <f t="shared" si="10"/>
        <v>0</v>
      </c>
      <c r="CM22" s="2">
        <f t="shared" si="10"/>
        <v>0</v>
      </c>
      <c r="CN22" s="2">
        <f t="shared" si="10"/>
        <v>0</v>
      </c>
      <c r="CO22" s="2">
        <f t="shared" si="10"/>
        <v>0</v>
      </c>
      <c r="CP22" s="2">
        <f t="shared" si="10"/>
        <v>0</v>
      </c>
      <c r="CQ22" s="2">
        <f t="shared" si="10"/>
        <v>0</v>
      </c>
      <c r="CR22" s="2">
        <f t="shared" si="10"/>
        <v>0</v>
      </c>
      <c r="CS22" s="2">
        <f t="shared" si="10"/>
        <v>0</v>
      </c>
      <c r="CT22" s="2">
        <f t="shared" si="10"/>
        <v>0</v>
      </c>
      <c r="CU22" s="2">
        <f t="shared" si="10"/>
        <v>0</v>
      </c>
      <c r="CV22" s="2">
        <f t="shared" si="10"/>
        <v>0</v>
      </c>
      <c r="CW22" s="2">
        <f t="shared" si="10"/>
        <v>0</v>
      </c>
      <c r="CX22" s="2">
        <f t="shared" si="10"/>
        <v>0</v>
      </c>
      <c r="CY22" s="2">
        <f t="shared" si="10"/>
        <v>0</v>
      </c>
      <c r="CZ22" s="2">
        <f t="shared" si="10"/>
        <v>0</v>
      </c>
      <c r="DA22" s="2">
        <f t="shared" si="10"/>
        <v>0</v>
      </c>
      <c r="DB22" s="2">
        <f t="shared" si="10"/>
        <v>0</v>
      </c>
      <c r="DC22" s="2">
        <f t="shared" si="10"/>
        <v>0</v>
      </c>
      <c r="DD22" s="2">
        <f t="shared" si="10"/>
        <v>0</v>
      </c>
      <c r="DE22" s="2">
        <f t="shared" si="10"/>
        <v>0</v>
      </c>
      <c r="DF22" s="2">
        <f t="shared" si="10"/>
        <v>0</v>
      </c>
      <c r="DG22" s="3">
        <f t="shared" ref="DG22:EL22" si="11">DG492</f>
        <v>0</v>
      </c>
      <c r="DH22" s="3">
        <f t="shared" si="11"/>
        <v>0</v>
      </c>
      <c r="DI22" s="3">
        <f t="shared" si="11"/>
        <v>0</v>
      </c>
      <c r="DJ22" s="3">
        <f t="shared" si="11"/>
        <v>0</v>
      </c>
      <c r="DK22" s="3">
        <f t="shared" si="11"/>
        <v>0</v>
      </c>
      <c r="DL22" s="3">
        <f t="shared" si="11"/>
        <v>0</v>
      </c>
      <c r="DM22" s="3">
        <f t="shared" si="11"/>
        <v>0</v>
      </c>
      <c r="DN22" s="3">
        <f t="shared" si="11"/>
        <v>0</v>
      </c>
      <c r="DO22" s="3">
        <f t="shared" si="11"/>
        <v>0</v>
      </c>
      <c r="DP22" s="3">
        <f t="shared" si="11"/>
        <v>0</v>
      </c>
      <c r="DQ22" s="3">
        <f t="shared" si="11"/>
        <v>0</v>
      </c>
      <c r="DR22" s="3">
        <f t="shared" si="11"/>
        <v>0</v>
      </c>
      <c r="DS22" s="3">
        <f t="shared" si="11"/>
        <v>0</v>
      </c>
      <c r="DT22" s="3">
        <f t="shared" si="11"/>
        <v>0</v>
      </c>
      <c r="DU22" s="3">
        <f t="shared" si="11"/>
        <v>0</v>
      </c>
      <c r="DV22" s="3">
        <f t="shared" si="11"/>
        <v>0</v>
      </c>
      <c r="DW22" s="3">
        <f t="shared" si="11"/>
        <v>0</v>
      </c>
      <c r="DX22" s="3">
        <f t="shared" si="11"/>
        <v>0</v>
      </c>
      <c r="DY22" s="3">
        <f t="shared" si="11"/>
        <v>0</v>
      </c>
      <c r="DZ22" s="3">
        <f t="shared" si="11"/>
        <v>0</v>
      </c>
      <c r="EA22" s="3">
        <f t="shared" si="11"/>
        <v>0</v>
      </c>
      <c r="EB22" s="3">
        <f t="shared" si="11"/>
        <v>0</v>
      </c>
      <c r="EC22" s="3">
        <f t="shared" si="11"/>
        <v>0</v>
      </c>
      <c r="ED22" s="3">
        <f t="shared" si="11"/>
        <v>0</v>
      </c>
      <c r="EE22" s="3">
        <f t="shared" si="11"/>
        <v>0</v>
      </c>
      <c r="EF22" s="3">
        <f t="shared" si="11"/>
        <v>0</v>
      </c>
      <c r="EG22" s="3">
        <f t="shared" si="11"/>
        <v>0</v>
      </c>
      <c r="EH22" s="3">
        <f t="shared" si="11"/>
        <v>0</v>
      </c>
      <c r="EI22" s="3">
        <f t="shared" si="11"/>
        <v>0</v>
      </c>
      <c r="EJ22" s="3">
        <f t="shared" si="11"/>
        <v>0</v>
      </c>
      <c r="EK22" s="3">
        <f t="shared" si="11"/>
        <v>0</v>
      </c>
      <c r="EL22" s="3">
        <f t="shared" si="11"/>
        <v>0</v>
      </c>
      <c r="EM22" s="3">
        <f t="shared" ref="EM22:FR22" si="12">EM492</f>
        <v>0</v>
      </c>
      <c r="EN22" s="3">
        <f t="shared" si="12"/>
        <v>0</v>
      </c>
      <c r="EO22" s="3">
        <f t="shared" si="12"/>
        <v>0</v>
      </c>
      <c r="EP22" s="3">
        <f t="shared" si="12"/>
        <v>0</v>
      </c>
      <c r="EQ22" s="3">
        <f t="shared" si="12"/>
        <v>0</v>
      </c>
      <c r="ER22" s="3">
        <f t="shared" si="12"/>
        <v>0</v>
      </c>
      <c r="ES22" s="3">
        <f t="shared" si="12"/>
        <v>0</v>
      </c>
      <c r="ET22" s="3">
        <f t="shared" si="12"/>
        <v>0</v>
      </c>
      <c r="EU22" s="3">
        <f t="shared" si="12"/>
        <v>0</v>
      </c>
      <c r="EV22" s="3">
        <f t="shared" si="12"/>
        <v>0</v>
      </c>
      <c r="EW22" s="3">
        <f t="shared" si="12"/>
        <v>0</v>
      </c>
      <c r="EX22" s="3">
        <f t="shared" si="12"/>
        <v>0</v>
      </c>
      <c r="EY22" s="3">
        <f t="shared" si="12"/>
        <v>0</v>
      </c>
      <c r="EZ22" s="3">
        <f t="shared" si="12"/>
        <v>0</v>
      </c>
      <c r="FA22" s="3">
        <f t="shared" si="12"/>
        <v>0</v>
      </c>
      <c r="FB22" s="3">
        <f t="shared" si="12"/>
        <v>0</v>
      </c>
      <c r="FC22" s="3">
        <f t="shared" si="12"/>
        <v>0</v>
      </c>
      <c r="FD22" s="3">
        <f t="shared" si="12"/>
        <v>0</v>
      </c>
      <c r="FE22" s="3">
        <f t="shared" si="12"/>
        <v>0</v>
      </c>
      <c r="FF22" s="3">
        <f t="shared" si="12"/>
        <v>0</v>
      </c>
      <c r="FG22" s="3">
        <f t="shared" si="12"/>
        <v>0</v>
      </c>
      <c r="FH22" s="3">
        <f t="shared" si="12"/>
        <v>0</v>
      </c>
      <c r="FI22" s="3">
        <f t="shared" si="12"/>
        <v>0</v>
      </c>
      <c r="FJ22" s="3">
        <f t="shared" si="12"/>
        <v>0</v>
      </c>
      <c r="FK22" s="3">
        <f t="shared" si="12"/>
        <v>0</v>
      </c>
      <c r="FL22" s="3">
        <f t="shared" si="12"/>
        <v>0</v>
      </c>
      <c r="FM22" s="3">
        <f t="shared" si="12"/>
        <v>0</v>
      </c>
      <c r="FN22" s="3">
        <f t="shared" si="12"/>
        <v>0</v>
      </c>
      <c r="FO22" s="3">
        <f t="shared" si="12"/>
        <v>0</v>
      </c>
      <c r="FP22" s="3">
        <f t="shared" si="12"/>
        <v>0</v>
      </c>
      <c r="FQ22" s="3">
        <f t="shared" si="12"/>
        <v>0</v>
      </c>
      <c r="FR22" s="3">
        <f t="shared" si="12"/>
        <v>0</v>
      </c>
      <c r="FS22" s="3">
        <f t="shared" ref="FS22:GX22" si="13">FS492</f>
        <v>0</v>
      </c>
      <c r="FT22" s="3">
        <f t="shared" si="13"/>
        <v>0</v>
      </c>
      <c r="FU22" s="3">
        <f t="shared" si="13"/>
        <v>0</v>
      </c>
      <c r="FV22" s="3">
        <f t="shared" si="13"/>
        <v>0</v>
      </c>
      <c r="FW22" s="3">
        <f t="shared" si="13"/>
        <v>0</v>
      </c>
      <c r="FX22" s="3">
        <f t="shared" si="13"/>
        <v>0</v>
      </c>
      <c r="FY22" s="3">
        <f t="shared" si="13"/>
        <v>0</v>
      </c>
      <c r="FZ22" s="3">
        <f t="shared" si="13"/>
        <v>0</v>
      </c>
      <c r="GA22" s="3">
        <f t="shared" si="13"/>
        <v>0</v>
      </c>
      <c r="GB22" s="3">
        <f t="shared" si="13"/>
        <v>0</v>
      </c>
      <c r="GC22" s="3">
        <f t="shared" si="13"/>
        <v>0</v>
      </c>
      <c r="GD22" s="3">
        <f t="shared" si="13"/>
        <v>0</v>
      </c>
      <c r="GE22" s="3">
        <f t="shared" si="13"/>
        <v>0</v>
      </c>
      <c r="GF22" s="3">
        <f t="shared" si="13"/>
        <v>0</v>
      </c>
      <c r="GG22" s="3">
        <f t="shared" si="13"/>
        <v>0</v>
      </c>
      <c r="GH22" s="3">
        <f t="shared" si="13"/>
        <v>0</v>
      </c>
      <c r="GI22" s="3">
        <f t="shared" si="13"/>
        <v>0</v>
      </c>
      <c r="GJ22" s="3">
        <f t="shared" si="13"/>
        <v>0</v>
      </c>
      <c r="GK22" s="3">
        <f t="shared" si="13"/>
        <v>0</v>
      </c>
      <c r="GL22" s="3">
        <f t="shared" si="13"/>
        <v>0</v>
      </c>
      <c r="GM22" s="3">
        <f t="shared" si="13"/>
        <v>0</v>
      </c>
      <c r="GN22" s="3">
        <f t="shared" si="13"/>
        <v>0</v>
      </c>
      <c r="GO22" s="3">
        <f t="shared" si="13"/>
        <v>0</v>
      </c>
      <c r="GP22" s="3">
        <f t="shared" si="13"/>
        <v>0</v>
      </c>
      <c r="GQ22" s="3">
        <f t="shared" si="13"/>
        <v>0</v>
      </c>
      <c r="GR22" s="3">
        <f t="shared" si="13"/>
        <v>0</v>
      </c>
      <c r="GS22" s="3">
        <f t="shared" si="13"/>
        <v>0</v>
      </c>
      <c r="GT22" s="3">
        <f t="shared" si="13"/>
        <v>0</v>
      </c>
      <c r="GU22" s="3">
        <f t="shared" si="13"/>
        <v>0</v>
      </c>
      <c r="GV22" s="3">
        <f t="shared" si="13"/>
        <v>0</v>
      </c>
      <c r="GW22" s="3">
        <f t="shared" si="13"/>
        <v>0</v>
      </c>
      <c r="GX22" s="3">
        <f t="shared" si="13"/>
        <v>0</v>
      </c>
    </row>
    <row r="24" spans="1:245" x14ac:dyDescent="0.2">
      <c r="A24" s="1">
        <v>4</v>
      </c>
      <c r="B24" s="1">
        <v>1</v>
      </c>
      <c r="C24" s="1"/>
      <c r="D24" s="1">
        <f>ROW(A217)</f>
        <v>217</v>
      </c>
      <c r="E24" s="1"/>
      <c r="F24" s="1" t="s">
        <v>13</v>
      </c>
      <c r="G24" s="1" t="s">
        <v>14</v>
      </c>
      <c r="H24" s="1" t="s">
        <v>3</v>
      </c>
      <c r="I24" s="1">
        <v>0</v>
      </c>
      <c r="J24" s="1"/>
      <c r="K24" s="1">
        <v>-1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/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45" x14ac:dyDescent="0.2">
      <c r="A26" s="2">
        <v>52</v>
      </c>
      <c r="B26" s="2">
        <f t="shared" ref="B26:G26" si="14">B217</f>
        <v>1</v>
      </c>
      <c r="C26" s="2">
        <f t="shared" si="14"/>
        <v>4</v>
      </c>
      <c r="D26" s="2">
        <f t="shared" si="14"/>
        <v>24</v>
      </c>
      <c r="E26" s="2">
        <f t="shared" si="14"/>
        <v>0</v>
      </c>
      <c r="F26" s="2" t="str">
        <f t="shared" si="14"/>
        <v>Новый раздел</v>
      </c>
      <c r="G26" s="2" t="str">
        <f t="shared" si="14"/>
        <v>1. Спортзал №1</v>
      </c>
      <c r="H26" s="2"/>
      <c r="I26" s="2"/>
      <c r="J26" s="2"/>
      <c r="K26" s="2"/>
      <c r="L26" s="2"/>
      <c r="M26" s="2"/>
      <c r="N26" s="2"/>
      <c r="O26" s="2">
        <f t="shared" ref="O26:AT26" si="15">O217</f>
        <v>1324696.28</v>
      </c>
      <c r="P26" s="2">
        <f t="shared" si="15"/>
        <v>823257.85</v>
      </c>
      <c r="Q26" s="2">
        <f t="shared" si="15"/>
        <v>18608.830000000002</v>
      </c>
      <c r="R26" s="2">
        <f t="shared" si="15"/>
        <v>15938.48</v>
      </c>
      <c r="S26" s="2">
        <f t="shared" si="15"/>
        <v>482829.6</v>
      </c>
      <c r="T26" s="2">
        <f t="shared" si="15"/>
        <v>0</v>
      </c>
      <c r="U26" s="2">
        <f t="shared" si="15"/>
        <v>1632.4503014000002</v>
      </c>
      <c r="V26" s="2">
        <f t="shared" si="15"/>
        <v>0</v>
      </c>
      <c r="W26" s="2">
        <f t="shared" si="15"/>
        <v>0</v>
      </c>
      <c r="X26" s="2">
        <f t="shared" si="15"/>
        <v>337980.74</v>
      </c>
      <c r="Y26" s="2">
        <f t="shared" si="15"/>
        <v>48282.97</v>
      </c>
      <c r="Z26" s="2">
        <f t="shared" si="15"/>
        <v>0</v>
      </c>
      <c r="AA26" s="2">
        <f t="shared" si="15"/>
        <v>0</v>
      </c>
      <c r="AB26" s="2">
        <f t="shared" si="15"/>
        <v>0</v>
      </c>
      <c r="AC26" s="2">
        <f t="shared" si="15"/>
        <v>0</v>
      </c>
      <c r="AD26" s="2">
        <f t="shared" si="15"/>
        <v>0</v>
      </c>
      <c r="AE26" s="2">
        <f t="shared" si="15"/>
        <v>0</v>
      </c>
      <c r="AF26" s="2">
        <f t="shared" si="15"/>
        <v>0</v>
      </c>
      <c r="AG26" s="2">
        <f t="shared" si="15"/>
        <v>0</v>
      </c>
      <c r="AH26" s="2">
        <f t="shared" si="15"/>
        <v>0</v>
      </c>
      <c r="AI26" s="2">
        <f t="shared" si="15"/>
        <v>0</v>
      </c>
      <c r="AJ26" s="2">
        <f t="shared" si="15"/>
        <v>0</v>
      </c>
      <c r="AK26" s="2">
        <f t="shared" si="15"/>
        <v>0</v>
      </c>
      <c r="AL26" s="2">
        <f t="shared" si="15"/>
        <v>0</v>
      </c>
      <c r="AM26" s="2">
        <f t="shared" si="15"/>
        <v>0</v>
      </c>
      <c r="AN26" s="2">
        <f t="shared" si="15"/>
        <v>0</v>
      </c>
      <c r="AO26" s="2">
        <f t="shared" si="15"/>
        <v>0</v>
      </c>
      <c r="AP26" s="2">
        <f t="shared" si="15"/>
        <v>0</v>
      </c>
      <c r="AQ26" s="2">
        <f t="shared" si="15"/>
        <v>0</v>
      </c>
      <c r="AR26" s="2">
        <f t="shared" si="15"/>
        <v>1728173.55</v>
      </c>
      <c r="AS26" s="2">
        <f t="shared" si="15"/>
        <v>0</v>
      </c>
      <c r="AT26" s="2">
        <f t="shared" si="15"/>
        <v>0</v>
      </c>
      <c r="AU26" s="2">
        <f t="shared" ref="AU26:BZ26" si="16">AU217</f>
        <v>1728173.55</v>
      </c>
      <c r="AV26" s="2">
        <f t="shared" si="16"/>
        <v>823257.85</v>
      </c>
      <c r="AW26" s="2">
        <f t="shared" si="16"/>
        <v>823257.85</v>
      </c>
      <c r="AX26" s="2">
        <f t="shared" si="16"/>
        <v>0</v>
      </c>
      <c r="AY26" s="2">
        <f t="shared" si="16"/>
        <v>823257.85</v>
      </c>
      <c r="AZ26" s="2">
        <f t="shared" si="16"/>
        <v>0</v>
      </c>
      <c r="BA26" s="2">
        <f t="shared" si="16"/>
        <v>0</v>
      </c>
      <c r="BB26" s="2">
        <f t="shared" si="16"/>
        <v>0</v>
      </c>
      <c r="BC26" s="2">
        <f t="shared" si="16"/>
        <v>0</v>
      </c>
      <c r="BD26" s="2">
        <f t="shared" si="16"/>
        <v>0</v>
      </c>
      <c r="BE26" s="2">
        <f t="shared" si="16"/>
        <v>0</v>
      </c>
      <c r="BF26" s="2">
        <f t="shared" si="16"/>
        <v>0</v>
      </c>
      <c r="BG26" s="2">
        <f t="shared" si="16"/>
        <v>0</v>
      </c>
      <c r="BH26" s="2">
        <f t="shared" si="16"/>
        <v>0</v>
      </c>
      <c r="BI26" s="2">
        <f t="shared" si="16"/>
        <v>0</v>
      </c>
      <c r="BJ26" s="2">
        <f t="shared" si="16"/>
        <v>0</v>
      </c>
      <c r="BK26" s="2">
        <f t="shared" si="16"/>
        <v>0</v>
      </c>
      <c r="BL26" s="2">
        <f t="shared" si="16"/>
        <v>0</v>
      </c>
      <c r="BM26" s="2">
        <f t="shared" si="16"/>
        <v>0</v>
      </c>
      <c r="BN26" s="2">
        <f t="shared" si="16"/>
        <v>0</v>
      </c>
      <c r="BO26" s="2">
        <f t="shared" si="16"/>
        <v>0</v>
      </c>
      <c r="BP26" s="2">
        <f t="shared" si="16"/>
        <v>0</v>
      </c>
      <c r="BQ26" s="2">
        <f t="shared" si="16"/>
        <v>0</v>
      </c>
      <c r="BR26" s="2">
        <f t="shared" si="16"/>
        <v>0</v>
      </c>
      <c r="BS26" s="2">
        <f t="shared" si="16"/>
        <v>0</v>
      </c>
      <c r="BT26" s="2">
        <f t="shared" si="16"/>
        <v>0</v>
      </c>
      <c r="BU26" s="2">
        <f t="shared" si="16"/>
        <v>0</v>
      </c>
      <c r="BV26" s="2">
        <f t="shared" si="16"/>
        <v>0</v>
      </c>
      <c r="BW26" s="2">
        <f t="shared" si="16"/>
        <v>0</v>
      </c>
      <c r="BX26" s="2">
        <f t="shared" si="16"/>
        <v>0</v>
      </c>
      <c r="BY26" s="2">
        <f t="shared" si="16"/>
        <v>0</v>
      </c>
      <c r="BZ26" s="2">
        <f t="shared" si="16"/>
        <v>0</v>
      </c>
      <c r="CA26" s="2">
        <f t="shared" ref="CA26:DF26" si="17">CA217</f>
        <v>0</v>
      </c>
      <c r="CB26" s="2">
        <f t="shared" si="17"/>
        <v>0</v>
      </c>
      <c r="CC26" s="2">
        <f t="shared" si="17"/>
        <v>0</v>
      </c>
      <c r="CD26" s="2">
        <f t="shared" si="17"/>
        <v>0</v>
      </c>
      <c r="CE26" s="2">
        <f t="shared" si="17"/>
        <v>0</v>
      </c>
      <c r="CF26" s="2">
        <f t="shared" si="17"/>
        <v>0</v>
      </c>
      <c r="CG26" s="2">
        <f t="shared" si="17"/>
        <v>0</v>
      </c>
      <c r="CH26" s="2">
        <f t="shared" si="17"/>
        <v>0</v>
      </c>
      <c r="CI26" s="2">
        <f t="shared" si="17"/>
        <v>0</v>
      </c>
      <c r="CJ26" s="2">
        <f t="shared" si="17"/>
        <v>0</v>
      </c>
      <c r="CK26" s="2">
        <f t="shared" si="17"/>
        <v>0</v>
      </c>
      <c r="CL26" s="2">
        <f t="shared" si="17"/>
        <v>0</v>
      </c>
      <c r="CM26" s="2">
        <f t="shared" si="17"/>
        <v>0</v>
      </c>
      <c r="CN26" s="2">
        <f t="shared" si="17"/>
        <v>0</v>
      </c>
      <c r="CO26" s="2">
        <f t="shared" si="17"/>
        <v>0</v>
      </c>
      <c r="CP26" s="2">
        <f t="shared" si="17"/>
        <v>0</v>
      </c>
      <c r="CQ26" s="2">
        <f t="shared" si="17"/>
        <v>0</v>
      </c>
      <c r="CR26" s="2">
        <f t="shared" si="17"/>
        <v>0</v>
      </c>
      <c r="CS26" s="2">
        <f t="shared" si="17"/>
        <v>0</v>
      </c>
      <c r="CT26" s="2">
        <f t="shared" si="17"/>
        <v>0</v>
      </c>
      <c r="CU26" s="2">
        <f t="shared" si="17"/>
        <v>0</v>
      </c>
      <c r="CV26" s="2">
        <f t="shared" si="17"/>
        <v>0</v>
      </c>
      <c r="CW26" s="2">
        <f t="shared" si="17"/>
        <v>0</v>
      </c>
      <c r="CX26" s="2">
        <f t="shared" si="17"/>
        <v>0</v>
      </c>
      <c r="CY26" s="2">
        <f t="shared" si="17"/>
        <v>0</v>
      </c>
      <c r="CZ26" s="2">
        <f t="shared" si="17"/>
        <v>0</v>
      </c>
      <c r="DA26" s="2">
        <f t="shared" si="17"/>
        <v>0</v>
      </c>
      <c r="DB26" s="2">
        <f t="shared" si="17"/>
        <v>0</v>
      </c>
      <c r="DC26" s="2">
        <f t="shared" si="17"/>
        <v>0</v>
      </c>
      <c r="DD26" s="2">
        <f t="shared" si="17"/>
        <v>0</v>
      </c>
      <c r="DE26" s="2">
        <f t="shared" si="17"/>
        <v>0</v>
      </c>
      <c r="DF26" s="2">
        <f t="shared" si="17"/>
        <v>0</v>
      </c>
      <c r="DG26" s="3">
        <f t="shared" ref="DG26:EL26" si="18">DG217</f>
        <v>0</v>
      </c>
      <c r="DH26" s="3">
        <f t="shared" si="18"/>
        <v>0</v>
      </c>
      <c r="DI26" s="3">
        <f t="shared" si="18"/>
        <v>0</v>
      </c>
      <c r="DJ26" s="3">
        <f t="shared" si="18"/>
        <v>0</v>
      </c>
      <c r="DK26" s="3">
        <f t="shared" si="18"/>
        <v>0</v>
      </c>
      <c r="DL26" s="3">
        <f t="shared" si="18"/>
        <v>0</v>
      </c>
      <c r="DM26" s="3">
        <f t="shared" si="18"/>
        <v>0</v>
      </c>
      <c r="DN26" s="3">
        <f t="shared" si="18"/>
        <v>0</v>
      </c>
      <c r="DO26" s="3">
        <f t="shared" si="18"/>
        <v>0</v>
      </c>
      <c r="DP26" s="3">
        <f t="shared" si="18"/>
        <v>0</v>
      </c>
      <c r="DQ26" s="3">
        <f t="shared" si="18"/>
        <v>0</v>
      </c>
      <c r="DR26" s="3">
        <f t="shared" si="18"/>
        <v>0</v>
      </c>
      <c r="DS26" s="3">
        <f t="shared" si="18"/>
        <v>0</v>
      </c>
      <c r="DT26" s="3">
        <f t="shared" si="18"/>
        <v>0</v>
      </c>
      <c r="DU26" s="3">
        <f t="shared" si="18"/>
        <v>0</v>
      </c>
      <c r="DV26" s="3">
        <f t="shared" si="18"/>
        <v>0</v>
      </c>
      <c r="DW26" s="3">
        <f t="shared" si="18"/>
        <v>0</v>
      </c>
      <c r="DX26" s="3">
        <f t="shared" si="18"/>
        <v>0</v>
      </c>
      <c r="DY26" s="3">
        <f t="shared" si="18"/>
        <v>0</v>
      </c>
      <c r="DZ26" s="3">
        <f t="shared" si="18"/>
        <v>0</v>
      </c>
      <c r="EA26" s="3">
        <f t="shared" si="18"/>
        <v>0</v>
      </c>
      <c r="EB26" s="3">
        <f t="shared" si="18"/>
        <v>0</v>
      </c>
      <c r="EC26" s="3">
        <f t="shared" si="18"/>
        <v>0</v>
      </c>
      <c r="ED26" s="3">
        <f t="shared" si="18"/>
        <v>0</v>
      </c>
      <c r="EE26" s="3">
        <f t="shared" si="18"/>
        <v>0</v>
      </c>
      <c r="EF26" s="3">
        <f t="shared" si="18"/>
        <v>0</v>
      </c>
      <c r="EG26" s="3">
        <f t="shared" si="18"/>
        <v>0</v>
      </c>
      <c r="EH26" s="3">
        <f t="shared" si="18"/>
        <v>0</v>
      </c>
      <c r="EI26" s="3">
        <f t="shared" si="18"/>
        <v>0</v>
      </c>
      <c r="EJ26" s="3">
        <f t="shared" si="18"/>
        <v>0</v>
      </c>
      <c r="EK26" s="3">
        <f t="shared" si="18"/>
        <v>0</v>
      </c>
      <c r="EL26" s="3">
        <f t="shared" si="18"/>
        <v>0</v>
      </c>
      <c r="EM26" s="3">
        <f t="shared" ref="EM26:FR26" si="19">EM217</f>
        <v>0</v>
      </c>
      <c r="EN26" s="3">
        <f t="shared" si="19"/>
        <v>0</v>
      </c>
      <c r="EO26" s="3">
        <f t="shared" si="19"/>
        <v>0</v>
      </c>
      <c r="EP26" s="3">
        <f t="shared" si="19"/>
        <v>0</v>
      </c>
      <c r="EQ26" s="3">
        <f t="shared" si="19"/>
        <v>0</v>
      </c>
      <c r="ER26" s="3">
        <f t="shared" si="19"/>
        <v>0</v>
      </c>
      <c r="ES26" s="3">
        <f t="shared" si="19"/>
        <v>0</v>
      </c>
      <c r="ET26" s="3">
        <f t="shared" si="19"/>
        <v>0</v>
      </c>
      <c r="EU26" s="3">
        <f t="shared" si="19"/>
        <v>0</v>
      </c>
      <c r="EV26" s="3">
        <f t="shared" si="19"/>
        <v>0</v>
      </c>
      <c r="EW26" s="3">
        <f t="shared" si="19"/>
        <v>0</v>
      </c>
      <c r="EX26" s="3">
        <f t="shared" si="19"/>
        <v>0</v>
      </c>
      <c r="EY26" s="3">
        <f t="shared" si="19"/>
        <v>0</v>
      </c>
      <c r="EZ26" s="3">
        <f t="shared" si="19"/>
        <v>0</v>
      </c>
      <c r="FA26" s="3">
        <f t="shared" si="19"/>
        <v>0</v>
      </c>
      <c r="FB26" s="3">
        <f t="shared" si="19"/>
        <v>0</v>
      </c>
      <c r="FC26" s="3">
        <f t="shared" si="19"/>
        <v>0</v>
      </c>
      <c r="FD26" s="3">
        <f t="shared" si="19"/>
        <v>0</v>
      </c>
      <c r="FE26" s="3">
        <f t="shared" si="19"/>
        <v>0</v>
      </c>
      <c r="FF26" s="3">
        <f t="shared" si="19"/>
        <v>0</v>
      </c>
      <c r="FG26" s="3">
        <f t="shared" si="19"/>
        <v>0</v>
      </c>
      <c r="FH26" s="3">
        <f t="shared" si="19"/>
        <v>0</v>
      </c>
      <c r="FI26" s="3">
        <f t="shared" si="19"/>
        <v>0</v>
      </c>
      <c r="FJ26" s="3">
        <f t="shared" si="19"/>
        <v>0</v>
      </c>
      <c r="FK26" s="3">
        <f t="shared" si="19"/>
        <v>0</v>
      </c>
      <c r="FL26" s="3">
        <f t="shared" si="19"/>
        <v>0</v>
      </c>
      <c r="FM26" s="3">
        <f t="shared" si="19"/>
        <v>0</v>
      </c>
      <c r="FN26" s="3">
        <f t="shared" si="19"/>
        <v>0</v>
      </c>
      <c r="FO26" s="3">
        <f t="shared" si="19"/>
        <v>0</v>
      </c>
      <c r="FP26" s="3">
        <f t="shared" si="19"/>
        <v>0</v>
      </c>
      <c r="FQ26" s="3">
        <f t="shared" si="19"/>
        <v>0</v>
      </c>
      <c r="FR26" s="3">
        <f t="shared" si="19"/>
        <v>0</v>
      </c>
      <c r="FS26" s="3">
        <f t="shared" ref="FS26:GX26" si="20">FS217</f>
        <v>0</v>
      </c>
      <c r="FT26" s="3">
        <f t="shared" si="20"/>
        <v>0</v>
      </c>
      <c r="FU26" s="3">
        <f t="shared" si="20"/>
        <v>0</v>
      </c>
      <c r="FV26" s="3">
        <f t="shared" si="20"/>
        <v>0</v>
      </c>
      <c r="FW26" s="3">
        <f t="shared" si="20"/>
        <v>0</v>
      </c>
      <c r="FX26" s="3">
        <f t="shared" si="20"/>
        <v>0</v>
      </c>
      <c r="FY26" s="3">
        <f t="shared" si="20"/>
        <v>0</v>
      </c>
      <c r="FZ26" s="3">
        <f t="shared" si="20"/>
        <v>0</v>
      </c>
      <c r="GA26" s="3">
        <f t="shared" si="20"/>
        <v>0</v>
      </c>
      <c r="GB26" s="3">
        <f t="shared" si="20"/>
        <v>0</v>
      </c>
      <c r="GC26" s="3">
        <f t="shared" si="20"/>
        <v>0</v>
      </c>
      <c r="GD26" s="3">
        <f t="shared" si="20"/>
        <v>0</v>
      </c>
      <c r="GE26" s="3">
        <f t="shared" si="20"/>
        <v>0</v>
      </c>
      <c r="GF26" s="3">
        <f t="shared" si="20"/>
        <v>0</v>
      </c>
      <c r="GG26" s="3">
        <f t="shared" si="20"/>
        <v>0</v>
      </c>
      <c r="GH26" s="3">
        <f t="shared" si="20"/>
        <v>0</v>
      </c>
      <c r="GI26" s="3">
        <f t="shared" si="20"/>
        <v>0</v>
      </c>
      <c r="GJ26" s="3">
        <f t="shared" si="20"/>
        <v>0</v>
      </c>
      <c r="GK26" s="3">
        <f t="shared" si="20"/>
        <v>0</v>
      </c>
      <c r="GL26" s="3">
        <f t="shared" si="20"/>
        <v>0</v>
      </c>
      <c r="GM26" s="3">
        <f t="shared" si="20"/>
        <v>0</v>
      </c>
      <c r="GN26" s="3">
        <f t="shared" si="20"/>
        <v>0</v>
      </c>
      <c r="GO26" s="3">
        <f t="shared" si="20"/>
        <v>0</v>
      </c>
      <c r="GP26" s="3">
        <f t="shared" si="20"/>
        <v>0</v>
      </c>
      <c r="GQ26" s="3">
        <f t="shared" si="20"/>
        <v>0</v>
      </c>
      <c r="GR26" s="3">
        <f t="shared" si="20"/>
        <v>0</v>
      </c>
      <c r="GS26" s="3">
        <f t="shared" si="20"/>
        <v>0</v>
      </c>
      <c r="GT26" s="3">
        <f t="shared" si="20"/>
        <v>0</v>
      </c>
      <c r="GU26" s="3">
        <f t="shared" si="20"/>
        <v>0</v>
      </c>
      <c r="GV26" s="3">
        <f t="shared" si="20"/>
        <v>0</v>
      </c>
      <c r="GW26" s="3">
        <f t="shared" si="20"/>
        <v>0</v>
      </c>
      <c r="GX26" s="3">
        <f t="shared" si="20"/>
        <v>0</v>
      </c>
    </row>
    <row r="28" spans="1:245" x14ac:dyDescent="0.2">
      <c r="A28" s="1">
        <v>5</v>
      </c>
      <c r="B28" s="1">
        <v>1</v>
      </c>
      <c r="C28" s="1"/>
      <c r="D28" s="1">
        <f>ROW(A43)</f>
        <v>43</v>
      </c>
      <c r="E28" s="1"/>
      <c r="F28" s="1" t="s">
        <v>15</v>
      </c>
      <c r="G28" s="1" t="s">
        <v>16</v>
      </c>
      <c r="H28" s="1" t="s">
        <v>3</v>
      </c>
      <c r="I28" s="1">
        <v>0</v>
      </c>
      <c r="J28" s="1"/>
      <c r="K28" s="1">
        <v>-1</v>
      </c>
      <c r="L28" s="1"/>
      <c r="M28" s="1" t="s">
        <v>3</v>
      </c>
      <c r="N28" s="1"/>
      <c r="O28" s="1"/>
      <c r="P28" s="1"/>
      <c r="Q28" s="1"/>
      <c r="R28" s="1"/>
      <c r="S28" s="1">
        <v>0</v>
      </c>
      <c r="T28" s="1"/>
      <c r="U28" s="1" t="s">
        <v>3</v>
      </c>
      <c r="V28" s="1">
        <v>0</v>
      </c>
      <c r="W28" s="1"/>
      <c r="X28" s="1"/>
      <c r="Y28" s="1"/>
      <c r="Z28" s="1"/>
      <c r="AA28" s="1"/>
      <c r="AB28" s="1" t="s">
        <v>3</v>
      </c>
      <c r="AC28" s="1" t="s">
        <v>3</v>
      </c>
      <c r="AD28" s="1" t="s">
        <v>3</v>
      </c>
      <c r="AE28" s="1" t="s">
        <v>3</v>
      </c>
      <c r="AF28" s="1" t="s">
        <v>3</v>
      </c>
      <c r="AG28" s="1" t="s">
        <v>3</v>
      </c>
      <c r="AH28" s="1"/>
      <c r="AI28" s="1"/>
      <c r="AJ28" s="1"/>
      <c r="AK28" s="1"/>
      <c r="AL28" s="1"/>
      <c r="AM28" s="1"/>
      <c r="AN28" s="1"/>
      <c r="AO28" s="1"/>
      <c r="AP28" s="1" t="s">
        <v>3</v>
      </c>
      <c r="AQ28" s="1" t="s">
        <v>3</v>
      </c>
      <c r="AR28" s="1" t="s">
        <v>3</v>
      </c>
      <c r="AS28" s="1"/>
      <c r="AT28" s="1"/>
      <c r="AU28" s="1"/>
      <c r="AV28" s="1"/>
      <c r="AW28" s="1"/>
      <c r="AX28" s="1"/>
      <c r="AY28" s="1"/>
      <c r="AZ28" s="1" t="s">
        <v>3</v>
      </c>
      <c r="BA28" s="1"/>
      <c r="BB28" s="1" t="s">
        <v>3</v>
      </c>
      <c r="BC28" s="1" t="s">
        <v>3</v>
      </c>
      <c r="BD28" s="1" t="s">
        <v>3</v>
      </c>
      <c r="BE28" s="1" t="s">
        <v>3</v>
      </c>
      <c r="BF28" s="1" t="s">
        <v>3</v>
      </c>
      <c r="BG28" s="1" t="s">
        <v>3</v>
      </c>
      <c r="BH28" s="1" t="s">
        <v>3</v>
      </c>
      <c r="BI28" s="1" t="s">
        <v>3</v>
      </c>
      <c r="BJ28" s="1" t="s">
        <v>3</v>
      </c>
      <c r="BK28" s="1" t="s">
        <v>3</v>
      </c>
      <c r="BL28" s="1" t="s">
        <v>3</v>
      </c>
      <c r="BM28" s="1" t="s">
        <v>3</v>
      </c>
      <c r="BN28" s="1" t="s">
        <v>3</v>
      </c>
      <c r="BO28" s="1" t="s">
        <v>3</v>
      </c>
      <c r="BP28" s="1" t="s">
        <v>3</v>
      </c>
      <c r="BQ28" s="1"/>
      <c r="BR28" s="1"/>
      <c r="BS28" s="1"/>
      <c r="BT28" s="1"/>
      <c r="BU28" s="1"/>
      <c r="BV28" s="1"/>
      <c r="BW28" s="1"/>
      <c r="BX28" s="1">
        <v>0</v>
      </c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>
        <v>0</v>
      </c>
    </row>
    <row r="30" spans="1:245" x14ac:dyDescent="0.2">
      <c r="A30" s="2">
        <v>52</v>
      </c>
      <c r="B30" s="2">
        <f t="shared" ref="B30:G30" si="21">B43</f>
        <v>1</v>
      </c>
      <c r="C30" s="2">
        <f t="shared" si="21"/>
        <v>5</v>
      </c>
      <c r="D30" s="2">
        <f t="shared" si="21"/>
        <v>28</v>
      </c>
      <c r="E30" s="2">
        <f t="shared" si="21"/>
        <v>0</v>
      </c>
      <c r="F30" s="2" t="str">
        <f t="shared" si="21"/>
        <v>Новый подраздел</v>
      </c>
      <c r="G30" s="2" t="str">
        <f t="shared" si="21"/>
        <v>1.1 Демонтажные работы</v>
      </c>
      <c r="H30" s="2"/>
      <c r="I30" s="2"/>
      <c r="J30" s="2"/>
      <c r="K30" s="2"/>
      <c r="L30" s="2"/>
      <c r="M30" s="2"/>
      <c r="N30" s="2"/>
      <c r="O30" s="2">
        <f t="shared" ref="O30:AT30" si="22">O43</f>
        <v>84927.54</v>
      </c>
      <c r="P30" s="2">
        <f t="shared" si="22"/>
        <v>1294.22</v>
      </c>
      <c r="Q30" s="2">
        <f t="shared" si="22"/>
        <v>2276.91</v>
      </c>
      <c r="R30" s="2">
        <f t="shared" si="22"/>
        <v>1683.29</v>
      </c>
      <c r="S30" s="2">
        <f t="shared" si="22"/>
        <v>81356.41</v>
      </c>
      <c r="T30" s="2">
        <f t="shared" si="22"/>
        <v>0</v>
      </c>
      <c r="U30" s="2">
        <f t="shared" si="22"/>
        <v>318.20593120000001</v>
      </c>
      <c r="V30" s="2">
        <f t="shared" si="22"/>
        <v>0</v>
      </c>
      <c r="W30" s="2">
        <f t="shared" si="22"/>
        <v>0</v>
      </c>
      <c r="X30" s="2">
        <f t="shared" si="22"/>
        <v>56949.5</v>
      </c>
      <c r="Y30" s="2">
        <f t="shared" si="22"/>
        <v>8135.65</v>
      </c>
      <c r="Z30" s="2">
        <f t="shared" si="22"/>
        <v>0</v>
      </c>
      <c r="AA30" s="2">
        <f t="shared" si="22"/>
        <v>0</v>
      </c>
      <c r="AB30" s="2">
        <f t="shared" si="22"/>
        <v>84927.54</v>
      </c>
      <c r="AC30" s="2">
        <f t="shared" si="22"/>
        <v>1294.22</v>
      </c>
      <c r="AD30" s="2">
        <f t="shared" si="22"/>
        <v>2276.91</v>
      </c>
      <c r="AE30" s="2">
        <f t="shared" si="22"/>
        <v>1683.29</v>
      </c>
      <c r="AF30" s="2">
        <f t="shared" si="22"/>
        <v>81356.41</v>
      </c>
      <c r="AG30" s="2">
        <f t="shared" si="22"/>
        <v>0</v>
      </c>
      <c r="AH30" s="2">
        <f t="shared" si="22"/>
        <v>318.20593120000001</v>
      </c>
      <c r="AI30" s="2">
        <f t="shared" si="22"/>
        <v>0</v>
      </c>
      <c r="AJ30" s="2">
        <f t="shared" si="22"/>
        <v>0</v>
      </c>
      <c r="AK30" s="2">
        <f t="shared" si="22"/>
        <v>56949.5</v>
      </c>
      <c r="AL30" s="2">
        <f t="shared" si="22"/>
        <v>8135.65</v>
      </c>
      <c r="AM30" s="2">
        <f t="shared" si="22"/>
        <v>0</v>
      </c>
      <c r="AN30" s="2">
        <f t="shared" si="22"/>
        <v>0</v>
      </c>
      <c r="AO30" s="2">
        <f t="shared" si="22"/>
        <v>0</v>
      </c>
      <c r="AP30" s="2">
        <f t="shared" si="22"/>
        <v>0</v>
      </c>
      <c r="AQ30" s="2">
        <f t="shared" si="22"/>
        <v>0</v>
      </c>
      <c r="AR30" s="2">
        <f t="shared" si="22"/>
        <v>151830.65</v>
      </c>
      <c r="AS30" s="2">
        <f t="shared" si="22"/>
        <v>0</v>
      </c>
      <c r="AT30" s="2">
        <f t="shared" si="22"/>
        <v>0</v>
      </c>
      <c r="AU30" s="2">
        <f t="shared" ref="AU30:BZ30" si="23">AU43</f>
        <v>151830.65</v>
      </c>
      <c r="AV30" s="2">
        <f t="shared" si="23"/>
        <v>1294.22</v>
      </c>
      <c r="AW30" s="2">
        <f t="shared" si="23"/>
        <v>1294.22</v>
      </c>
      <c r="AX30" s="2">
        <f t="shared" si="23"/>
        <v>0</v>
      </c>
      <c r="AY30" s="2">
        <f t="shared" si="23"/>
        <v>1294.22</v>
      </c>
      <c r="AZ30" s="2">
        <f t="shared" si="23"/>
        <v>0</v>
      </c>
      <c r="BA30" s="2">
        <f t="shared" si="23"/>
        <v>0</v>
      </c>
      <c r="BB30" s="2">
        <f t="shared" si="23"/>
        <v>0</v>
      </c>
      <c r="BC30" s="2">
        <f t="shared" si="23"/>
        <v>0</v>
      </c>
      <c r="BD30" s="2">
        <f t="shared" si="23"/>
        <v>0</v>
      </c>
      <c r="BE30" s="2">
        <f t="shared" si="23"/>
        <v>0</v>
      </c>
      <c r="BF30" s="2">
        <f t="shared" si="23"/>
        <v>0</v>
      </c>
      <c r="BG30" s="2">
        <f t="shared" si="23"/>
        <v>0</v>
      </c>
      <c r="BH30" s="2">
        <f t="shared" si="23"/>
        <v>0</v>
      </c>
      <c r="BI30" s="2">
        <f t="shared" si="23"/>
        <v>0</v>
      </c>
      <c r="BJ30" s="2">
        <f t="shared" si="23"/>
        <v>0</v>
      </c>
      <c r="BK30" s="2">
        <f t="shared" si="23"/>
        <v>0</v>
      </c>
      <c r="BL30" s="2">
        <f t="shared" si="23"/>
        <v>0</v>
      </c>
      <c r="BM30" s="2">
        <f t="shared" si="23"/>
        <v>0</v>
      </c>
      <c r="BN30" s="2">
        <f t="shared" si="23"/>
        <v>0</v>
      </c>
      <c r="BO30" s="2">
        <f t="shared" si="23"/>
        <v>0</v>
      </c>
      <c r="BP30" s="2">
        <f t="shared" si="23"/>
        <v>0</v>
      </c>
      <c r="BQ30" s="2">
        <f t="shared" si="23"/>
        <v>0</v>
      </c>
      <c r="BR30" s="2">
        <f t="shared" si="23"/>
        <v>0</v>
      </c>
      <c r="BS30" s="2">
        <f t="shared" si="23"/>
        <v>0</v>
      </c>
      <c r="BT30" s="2">
        <f t="shared" si="23"/>
        <v>0</v>
      </c>
      <c r="BU30" s="2">
        <f t="shared" si="23"/>
        <v>0</v>
      </c>
      <c r="BV30" s="2">
        <f t="shared" si="23"/>
        <v>0</v>
      </c>
      <c r="BW30" s="2">
        <f t="shared" si="23"/>
        <v>0</v>
      </c>
      <c r="BX30" s="2">
        <f t="shared" si="23"/>
        <v>0</v>
      </c>
      <c r="BY30" s="2">
        <f t="shared" si="23"/>
        <v>0</v>
      </c>
      <c r="BZ30" s="2">
        <f t="shared" si="23"/>
        <v>0</v>
      </c>
      <c r="CA30" s="2">
        <f t="shared" ref="CA30:DF30" si="24">CA43</f>
        <v>151830.65</v>
      </c>
      <c r="CB30" s="2">
        <f t="shared" si="24"/>
        <v>0</v>
      </c>
      <c r="CC30" s="2">
        <f t="shared" si="24"/>
        <v>0</v>
      </c>
      <c r="CD30" s="2">
        <f t="shared" si="24"/>
        <v>151830.65</v>
      </c>
      <c r="CE30" s="2">
        <f t="shared" si="24"/>
        <v>1294.22</v>
      </c>
      <c r="CF30" s="2">
        <f t="shared" si="24"/>
        <v>1294.22</v>
      </c>
      <c r="CG30" s="2">
        <f t="shared" si="24"/>
        <v>0</v>
      </c>
      <c r="CH30" s="2">
        <f t="shared" si="24"/>
        <v>1294.22</v>
      </c>
      <c r="CI30" s="2">
        <f t="shared" si="24"/>
        <v>0</v>
      </c>
      <c r="CJ30" s="2">
        <f t="shared" si="24"/>
        <v>0</v>
      </c>
      <c r="CK30" s="2">
        <f t="shared" si="24"/>
        <v>0</v>
      </c>
      <c r="CL30" s="2">
        <f t="shared" si="24"/>
        <v>0</v>
      </c>
      <c r="CM30" s="2">
        <f t="shared" si="24"/>
        <v>0</v>
      </c>
      <c r="CN30" s="2">
        <f t="shared" si="24"/>
        <v>0</v>
      </c>
      <c r="CO30" s="2">
        <f t="shared" si="24"/>
        <v>0</v>
      </c>
      <c r="CP30" s="2">
        <f t="shared" si="24"/>
        <v>0</v>
      </c>
      <c r="CQ30" s="2">
        <f t="shared" si="24"/>
        <v>0</v>
      </c>
      <c r="CR30" s="2">
        <f t="shared" si="24"/>
        <v>0</v>
      </c>
      <c r="CS30" s="2">
        <f t="shared" si="24"/>
        <v>0</v>
      </c>
      <c r="CT30" s="2">
        <f t="shared" si="24"/>
        <v>0</v>
      </c>
      <c r="CU30" s="2">
        <f t="shared" si="24"/>
        <v>0</v>
      </c>
      <c r="CV30" s="2">
        <f t="shared" si="24"/>
        <v>0</v>
      </c>
      <c r="CW30" s="2">
        <f t="shared" si="24"/>
        <v>0</v>
      </c>
      <c r="CX30" s="2">
        <f t="shared" si="24"/>
        <v>0</v>
      </c>
      <c r="CY30" s="2">
        <f t="shared" si="24"/>
        <v>0</v>
      </c>
      <c r="CZ30" s="2">
        <f t="shared" si="24"/>
        <v>0</v>
      </c>
      <c r="DA30" s="2">
        <f t="shared" si="24"/>
        <v>0</v>
      </c>
      <c r="DB30" s="2">
        <f t="shared" si="24"/>
        <v>0</v>
      </c>
      <c r="DC30" s="2">
        <f t="shared" si="24"/>
        <v>0</v>
      </c>
      <c r="DD30" s="2">
        <f t="shared" si="24"/>
        <v>0</v>
      </c>
      <c r="DE30" s="2">
        <f t="shared" si="24"/>
        <v>0</v>
      </c>
      <c r="DF30" s="2">
        <f t="shared" si="24"/>
        <v>0</v>
      </c>
      <c r="DG30" s="3">
        <f t="shared" ref="DG30:EL30" si="25">DG43</f>
        <v>0</v>
      </c>
      <c r="DH30" s="3">
        <f t="shared" si="25"/>
        <v>0</v>
      </c>
      <c r="DI30" s="3">
        <f t="shared" si="25"/>
        <v>0</v>
      </c>
      <c r="DJ30" s="3">
        <f t="shared" si="25"/>
        <v>0</v>
      </c>
      <c r="DK30" s="3">
        <f t="shared" si="25"/>
        <v>0</v>
      </c>
      <c r="DL30" s="3">
        <f t="shared" si="25"/>
        <v>0</v>
      </c>
      <c r="DM30" s="3">
        <f t="shared" si="25"/>
        <v>0</v>
      </c>
      <c r="DN30" s="3">
        <f t="shared" si="25"/>
        <v>0</v>
      </c>
      <c r="DO30" s="3">
        <f t="shared" si="25"/>
        <v>0</v>
      </c>
      <c r="DP30" s="3">
        <f t="shared" si="25"/>
        <v>0</v>
      </c>
      <c r="DQ30" s="3">
        <f t="shared" si="25"/>
        <v>0</v>
      </c>
      <c r="DR30" s="3">
        <f t="shared" si="25"/>
        <v>0</v>
      </c>
      <c r="DS30" s="3">
        <f t="shared" si="25"/>
        <v>0</v>
      </c>
      <c r="DT30" s="3">
        <f t="shared" si="25"/>
        <v>0</v>
      </c>
      <c r="DU30" s="3">
        <f t="shared" si="25"/>
        <v>0</v>
      </c>
      <c r="DV30" s="3">
        <f t="shared" si="25"/>
        <v>0</v>
      </c>
      <c r="DW30" s="3">
        <f t="shared" si="25"/>
        <v>0</v>
      </c>
      <c r="DX30" s="3">
        <f t="shared" si="25"/>
        <v>0</v>
      </c>
      <c r="DY30" s="3">
        <f t="shared" si="25"/>
        <v>0</v>
      </c>
      <c r="DZ30" s="3">
        <f t="shared" si="25"/>
        <v>0</v>
      </c>
      <c r="EA30" s="3">
        <f t="shared" si="25"/>
        <v>0</v>
      </c>
      <c r="EB30" s="3">
        <f t="shared" si="25"/>
        <v>0</v>
      </c>
      <c r="EC30" s="3">
        <f t="shared" si="25"/>
        <v>0</v>
      </c>
      <c r="ED30" s="3">
        <f t="shared" si="25"/>
        <v>0</v>
      </c>
      <c r="EE30" s="3">
        <f t="shared" si="25"/>
        <v>0</v>
      </c>
      <c r="EF30" s="3">
        <f t="shared" si="25"/>
        <v>0</v>
      </c>
      <c r="EG30" s="3">
        <f t="shared" si="25"/>
        <v>0</v>
      </c>
      <c r="EH30" s="3">
        <f t="shared" si="25"/>
        <v>0</v>
      </c>
      <c r="EI30" s="3">
        <f t="shared" si="25"/>
        <v>0</v>
      </c>
      <c r="EJ30" s="3">
        <f t="shared" si="25"/>
        <v>0</v>
      </c>
      <c r="EK30" s="3">
        <f t="shared" si="25"/>
        <v>0</v>
      </c>
      <c r="EL30" s="3">
        <f t="shared" si="25"/>
        <v>0</v>
      </c>
      <c r="EM30" s="3">
        <f t="shared" ref="EM30:FR30" si="26">EM43</f>
        <v>0</v>
      </c>
      <c r="EN30" s="3">
        <f t="shared" si="26"/>
        <v>0</v>
      </c>
      <c r="EO30" s="3">
        <f t="shared" si="26"/>
        <v>0</v>
      </c>
      <c r="EP30" s="3">
        <f t="shared" si="26"/>
        <v>0</v>
      </c>
      <c r="EQ30" s="3">
        <f t="shared" si="26"/>
        <v>0</v>
      </c>
      <c r="ER30" s="3">
        <f t="shared" si="26"/>
        <v>0</v>
      </c>
      <c r="ES30" s="3">
        <f t="shared" si="26"/>
        <v>0</v>
      </c>
      <c r="ET30" s="3">
        <f t="shared" si="26"/>
        <v>0</v>
      </c>
      <c r="EU30" s="3">
        <f t="shared" si="26"/>
        <v>0</v>
      </c>
      <c r="EV30" s="3">
        <f t="shared" si="26"/>
        <v>0</v>
      </c>
      <c r="EW30" s="3">
        <f t="shared" si="26"/>
        <v>0</v>
      </c>
      <c r="EX30" s="3">
        <f t="shared" si="26"/>
        <v>0</v>
      </c>
      <c r="EY30" s="3">
        <f t="shared" si="26"/>
        <v>0</v>
      </c>
      <c r="EZ30" s="3">
        <f t="shared" si="26"/>
        <v>0</v>
      </c>
      <c r="FA30" s="3">
        <f t="shared" si="26"/>
        <v>0</v>
      </c>
      <c r="FB30" s="3">
        <f t="shared" si="26"/>
        <v>0</v>
      </c>
      <c r="FC30" s="3">
        <f t="shared" si="26"/>
        <v>0</v>
      </c>
      <c r="FD30" s="3">
        <f t="shared" si="26"/>
        <v>0</v>
      </c>
      <c r="FE30" s="3">
        <f t="shared" si="26"/>
        <v>0</v>
      </c>
      <c r="FF30" s="3">
        <f t="shared" si="26"/>
        <v>0</v>
      </c>
      <c r="FG30" s="3">
        <f t="shared" si="26"/>
        <v>0</v>
      </c>
      <c r="FH30" s="3">
        <f t="shared" si="26"/>
        <v>0</v>
      </c>
      <c r="FI30" s="3">
        <f t="shared" si="26"/>
        <v>0</v>
      </c>
      <c r="FJ30" s="3">
        <f t="shared" si="26"/>
        <v>0</v>
      </c>
      <c r="FK30" s="3">
        <f t="shared" si="26"/>
        <v>0</v>
      </c>
      <c r="FL30" s="3">
        <f t="shared" si="26"/>
        <v>0</v>
      </c>
      <c r="FM30" s="3">
        <f t="shared" si="26"/>
        <v>0</v>
      </c>
      <c r="FN30" s="3">
        <f t="shared" si="26"/>
        <v>0</v>
      </c>
      <c r="FO30" s="3">
        <f t="shared" si="26"/>
        <v>0</v>
      </c>
      <c r="FP30" s="3">
        <f t="shared" si="26"/>
        <v>0</v>
      </c>
      <c r="FQ30" s="3">
        <f t="shared" si="26"/>
        <v>0</v>
      </c>
      <c r="FR30" s="3">
        <f t="shared" si="26"/>
        <v>0</v>
      </c>
      <c r="FS30" s="3">
        <f t="shared" ref="FS30:GX30" si="27">FS43</f>
        <v>0</v>
      </c>
      <c r="FT30" s="3">
        <f t="shared" si="27"/>
        <v>0</v>
      </c>
      <c r="FU30" s="3">
        <f t="shared" si="27"/>
        <v>0</v>
      </c>
      <c r="FV30" s="3">
        <f t="shared" si="27"/>
        <v>0</v>
      </c>
      <c r="FW30" s="3">
        <f t="shared" si="27"/>
        <v>0</v>
      </c>
      <c r="FX30" s="3">
        <f t="shared" si="27"/>
        <v>0</v>
      </c>
      <c r="FY30" s="3">
        <f t="shared" si="27"/>
        <v>0</v>
      </c>
      <c r="FZ30" s="3">
        <f t="shared" si="27"/>
        <v>0</v>
      </c>
      <c r="GA30" s="3">
        <f t="shared" si="27"/>
        <v>0</v>
      </c>
      <c r="GB30" s="3">
        <f t="shared" si="27"/>
        <v>0</v>
      </c>
      <c r="GC30" s="3">
        <f t="shared" si="27"/>
        <v>0</v>
      </c>
      <c r="GD30" s="3">
        <f t="shared" si="27"/>
        <v>0</v>
      </c>
      <c r="GE30" s="3">
        <f t="shared" si="27"/>
        <v>0</v>
      </c>
      <c r="GF30" s="3">
        <f t="shared" si="27"/>
        <v>0</v>
      </c>
      <c r="GG30" s="3">
        <f t="shared" si="27"/>
        <v>0</v>
      </c>
      <c r="GH30" s="3">
        <f t="shared" si="27"/>
        <v>0</v>
      </c>
      <c r="GI30" s="3">
        <f t="shared" si="27"/>
        <v>0</v>
      </c>
      <c r="GJ30" s="3">
        <f t="shared" si="27"/>
        <v>0</v>
      </c>
      <c r="GK30" s="3">
        <f t="shared" si="27"/>
        <v>0</v>
      </c>
      <c r="GL30" s="3">
        <f t="shared" si="27"/>
        <v>0</v>
      </c>
      <c r="GM30" s="3">
        <f t="shared" si="27"/>
        <v>0</v>
      </c>
      <c r="GN30" s="3">
        <f t="shared" si="27"/>
        <v>0</v>
      </c>
      <c r="GO30" s="3">
        <f t="shared" si="27"/>
        <v>0</v>
      </c>
      <c r="GP30" s="3">
        <f t="shared" si="27"/>
        <v>0</v>
      </c>
      <c r="GQ30" s="3">
        <f t="shared" si="27"/>
        <v>0</v>
      </c>
      <c r="GR30" s="3">
        <f t="shared" si="27"/>
        <v>0</v>
      </c>
      <c r="GS30" s="3">
        <f t="shared" si="27"/>
        <v>0</v>
      </c>
      <c r="GT30" s="3">
        <f t="shared" si="27"/>
        <v>0</v>
      </c>
      <c r="GU30" s="3">
        <f t="shared" si="27"/>
        <v>0</v>
      </c>
      <c r="GV30" s="3">
        <f t="shared" si="27"/>
        <v>0</v>
      </c>
      <c r="GW30" s="3">
        <f t="shared" si="27"/>
        <v>0</v>
      </c>
      <c r="GX30" s="3">
        <f t="shared" si="27"/>
        <v>0</v>
      </c>
    </row>
    <row r="32" spans="1:245" x14ac:dyDescent="0.2">
      <c r="A32">
        <v>17</v>
      </c>
      <c r="B32">
        <v>1</v>
      </c>
      <c r="D32">
        <f>ROW(EtalonRes!A2)</f>
        <v>2</v>
      </c>
      <c r="E32" t="s">
        <v>17</v>
      </c>
      <c r="F32" t="s">
        <v>787</v>
      </c>
      <c r="G32" t="s">
        <v>19</v>
      </c>
      <c r="H32" t="s">
        <v>20</v>
      </c>
      <c r="I32">
        <v>0.65039999999999998</v>
      </c>
      <c r="J32">
        <v>0</v>
      </c>
      <c r="K32">
        <v>0.65039999999999998</v>
      </c>
      <c r="O32">
        <f t="shared" ref="O32:O41" si="28">ROUND(CP32,2)</f>
        <v>456.13</v>
      </c>
      <c r="P32">
        <f t="shared" ref="P32:P41" si="29">ROUND(CQ32*I32,2)</f>
        <v>0</v>
      </c>
      <c r="Q32">
        <f t="shared" ref="Q32:Q41" si="30">ROUND(CR32*I32,2)</f>
        <v>1.1599999999999999</v>
      </c>
      <c r="R32">
        <f t="shared" ref="R32:R41" si="31">ROUND(CS32*I32,2)</f>
        <v>0</v>
      </c>
      <c r="S32">
        <f t="shared" ref="S32:S41" si="32">ROUND(CT32*I32,2)</f>
        <v>454.97</v>
      </c>
      <c r="T32">
        <f t="shared" ref="T32:T41" si="33">ROUND(CU32*I32,2)</f>
        <v>0</v>
      </c>
      <c r="U32">
        <f t="shared" ref="U32:U41" si="34">CV32*I32</f>
        <v>1.8081119999999997</v>
      </c>
      <c r="V32">
        <f t="shared" ref="V32:V41" si="35">CW32*I32</f>
        <v>0</v>
      </c>
      <c r="W32">
        <f t="shared" ref="W32:W41" si="36">ROUND(CX32*I32,2)</f>
        <v>0</v>
      </c>
      <c r="X32">
        <f t="shared" ref="X32:X41" si="37">ROUND(CY32,2)</f>
        <v>318.48</v>
      </c>
      <c r="Y32">
        <f t="shared" ref="Y32:Y41" si="38">ROUND(CZ32,2)</f>
        <v>45.5</v>
      </c>
      <c r="AA32">
        <v>72192302</v>
      </c>
      <c r="AB32">
        <f t="shared" ref="AB32:AB41" si="39">ROUND((AC32+AD32+AF32),6)</f>
        <v>701.32</v>
      </c>
      <c r="AC32">
        <f t="shared" ref="AC32:AC39" si="40">ROUND((ES32),6)</f>
        <v>0</v>
      </c>
      <c r="AD32">
        <f t="shared" ref="AD32:AD39" si="41">ROUND((((ET32)-(EU32))+AE32),6)</f>
        <v>1.79</v>
      </c>
      <c r="AE32">
        <f t="shared" ref="AE32:AF39" si="42">ROUND((EU32),6)</f>
        <v>0</v>
      </c>
      <c r="AF32">
        <f t="shared" si="42"/>
        <v>699.53</v>
      </c>
      <c r="AG32">
        <f t="shared" ref="AG32:AG41" si="43">ROUND((AP32),6)</f>
        <v>0</v>
      </c>
      <c r="AH32">
        <f t="shared" ref="AH32:AI39" si="44">(EW32)</f>
        <v>2.78</v>
      </c>
      <c r="AI32">
        <f t="shared" si="44"/>
        <v>0</v>
      </c>
      <c r="AJ32">
        <f t="shared" ref="AJ32:AJ41" si="45">(AS32)</f>
        <v>0</v>
      </c>
      <c r="AK32">
        <v>701.32</v>
      </c>
      <c r="AL32">
        <v>0</v>
      </c>
      <c r="AM32">
        <v>1.79</v>
      </c>
      <c r="AN32">
        <v>0</v>
      </c>
      <c r="AO32">
        <v>699.53</v>
      </c>
      <c r="AP32">
        <v>0</v>
      </c>
      <c r="AQ32">
        <v>2.78</v>
      </c>
      <c r="AR32">
        <v>0</v>
      </c>
      <c r="AS32">
        <v>0</v>
      </c>
      <c r="AT32">
        <v>70</v>
      </c>
      <c r="AU32">
        <v>10</v>
      </c>
      <c r="AV32">
        <v>1</v>
      </c>
      <c r="AW32">
        <v>1</v>
      </c>
      <c r="AZ32">
        <v>1</v>
      </c>
      <c r="BA32">
        <v>1</v>
      </c>
      <c r="BB32">
        <v>1</v>
      </c>
      <c r="BC32">
        <v>1</v>
      </c>
      <c r="BD32" t="s">
        <v>3</v>
      </c>
      <c r="BE32" t="s">
        <v>3</v>
      </c>
      <c r="BF32" t="s">
        <v>3</v>
      </c>
      <c r="BG32" t="s">
        <v>3</v>
      </c>
      <c r="BH32">
        <v>0</v>
      </c>
      <c r="BI32">
        <v>4</v>
      </c>
      <c r="BJ32" t="s">
        <v>21</v>
      </c>
      <c r="BM32">
        <v>0</v>
      </c>
      <c r="BN32">
        <v>0</v>
      </c>
      <c r="BO32" t="s">
        <v>3</v>
      </c>
      <c r="BP32">
        <v>0</v>
      </c>
      <c r="BQ32">
        <v>1</v>
      </c>
      <c r="BR32">
        <v>0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 t="s">
        <v>3</v>
      </c>
      <c r="BZ32">
        <v>70</v>
      </c>
      <c r="CA32">
        <v>10</v>
      </c>
      <c r="CB32" t="s">
        <v>3</v>
      </c>
      <c r="CE32">
        <v>0</v>
      </c>
      <c r="CF32">
        <v>0</v>
      </c>
      <c r="CG32">
        <v>0</v>
      </c>
      <c r="CM32">
        <v>0</v>
      </c>
      <c r="CN32" t="s">
        <v>3</v>
      </c>
      <c r="CO32">
        <v>0</v>
      </c>
      <c r="CP32">
        <f t="shared" ref="CP32:CP41" si="46">(P32+Q32+S32)</f>
        <v>456.13000000000005</v>
      </c>
      <c r="CQ32">
        <f t="shared" ref="CQ32:CQ41" si="47">(AC32*BC32*AW32)</f>
        <v>0</v>
      </c>
      <c r="CR32">
        <f t="shared" ref="CR32:CR39" si="48">((((ET32)*BB32-(EU32)*BS32)+AE32*BS32)*AV32)</f>
        <v>1.79</v>
      </c>
      <c r="CS32">
        <f t="shared" ref="CS32:CS41" si="49">(AE32*BS32*AV32)</f>
        <v>0</v>
      </c>
      <c r="CT32">
        <f t="shared" ref="CT32:CT41" si="50">(AF32*BA32*AV32)</f>
        <v>699.53</v>
      </c>
      <c r="CU32">
        <f t="shared" ref="CU32:CU41" si="51">AG32</f>
        <v>0</v>
      </c>
      <c r="CV32">
        <f t="shared" ref="CV32:CV41" si="52">(AH32*AV32)</f>
        <v>2.78</v>
      </c>
      <c r="CW32">
        <f t="shared" ref="CW32:CW41" si="53">AI32</f>
        <v>0</v>
      </c>
      <c r="CX32">
        <f t="shared" ref="CX32:CX41" si="54">AJ32</f>
        <v>0</v>
      </c>
      <c r="CY32">
        <f t="shared" ref="CY32:CY41" si="55">((S32*BZ32)/100)</f>
        <v>318.47900000000004</v>
      </c>
      <c r="CZ32">
        <f t="shared" ref="CZ32:CZ41" si="56">((S32*CA32)/100)</f>
        <v>45.497000000000007</v>
      </c>
      <c r="DC32" t="s">
        <v>3</v>
      </c>
      <c r="DD32" t="s">
        <v>3</v>
      </c>
      <c r="DE32" t="s">
        <v>3</v>
      </c>
      <c r="DF32" t="s">
        <v>3</v>
      </c>
      <c r="DG32" t="s">
        <v>3</v>
      </c>
      <c r="DH32" t="s">
        <v>3</v>
      </c>
      <c r="DI32" t="s">
        <v>3</v>
      </c>
      <c r="DJ32" t="s">
        <v>3</v>
      </c>
      <c r="DK32" t="s">
        <v>3</v>
      </c>
      <c r="DL32" t="s">
        <v>3</v>
      </c>
      <c r="DM32" t="s">
        <v>3</v>
      </c>
      <c r="DN32">
        <v>0</v>
      </c>
      <c r="DO32">
        <v>0</v>
      </c>
      <c r="DP32">
        <v>1</v>
      </c>
      <c r="DQ32">
        <v>1</v>
      </c>
      <c r="DU32">
        <v>1003</v>
      </c>
      <c r="DV32" t="s">
        <v>20</v>
      </c>
      <c r="DW32" t="s">
        <v>20</v>
      </c>
      <c r="DX32">
        <v>100</v>
      </c>
      <c r="DZ32" t="s">
        <v>3</v>
      </c>
      <c r="EA32" t="s">
        <v>3</v>
      </c>
      <c r="EB32" t="s">
        <v>3</v>
      </c>
      <c r="EC32" t="s">
        <v>3</v>
      </c>
      <c r="EE32">
        <v>71753531</v>
      </c>
      <c r="EF32">
        <v>1</v>
      </c>
      <c r="EG32" t="s">
        <v>22</v>
      </c>
      <c r="EH32">
        <v>0</v>
      </c>
      <c r="EI32" t="s">
        <v>3</v>
      </c>
      <c r="EJ32">
        <v>4</v>
      </c>
      <c r="EK32">
        <v>0</v>
      </c>
      <c r="EL32" t="s">
        <v>23</v>
      </c>
      <c r="EM32" t="s">
        <v>24</v>
      </c>
      <c r="EO32" t="s">
        <v>3</v>
      </c>
      <c r="EQ32">
        <v>0</v>
      </c>
      <c r="ER32">
        <v>701.32</v>
      </c>
      <c r="ES32">
        <v>0</v>
      </c>
      <c r="ET32">
        <v>1.79</v>
      </c>
      <c r="EU32">
        <v>0</v>
      </c>
      <c r="EV32">
        <v>699.53</v>
      </c>
      <c r="EW32">
        <v>2.78</v>
      </c>
      <c r="EX32">
        <v>0</v>
      </c>
      <c r="EY32">
        <v>0</v>
      </c>
      <c r="FQ32">
        <v>0</v>
      </c>
      <c r="FR32">
        <f t="shared" ref="FR32:FR41" si="57">ROUND(IF(BI32=3,GM32,0),2)</f>
        <v>0</v>
      </c>
      <c r="FS32">
        <v>0</v>
      </c>
      <c r="FX32">
        <v>70</v>
      </c>
      <c r="FY32">
        <v>10</v>
      </c>
      <c r="GA32" t="s">
        <v>3</v>
      </c>
      <c r="GD32">
        <v>0</v>
      </c>
      <c r="GF32">
        <v>-1249124778</v>
      </c>
      <c r="GG32">
        <v>2</v>
      </c>
      <c r="GH32">
        <v>1</v>
      </c>
      <c r="GI32">
        <v>-2</v>
      </c>
      <c r="GJ32">
        <v>0</v>
      </c>
      <c r="GK32">
        <f>ROUND(R32*(R12)/100,2)</f>
        <v>0</v>
      </c>
      <c r="GL32">
        <f t="shared" ref="GL32:GL41" si="58">ROUND(IF(AND(BH32=3,BI32=3,FS32&lt;&gt;0),P32,0),2)</f>
        <v>0</v>
      </c>
      <c r="GM32">
        <f t="shared" ref="GM32:GM41" si="59">ROUND(O32+X32+Y32+GK32,2)+GX32</f>
        <v>820.11</v>
      </c>
      <c r="GN32">
        <f t="shared" ref="GN32:GN41" si="60">IF(OR(BI32=0,BI32=1),GM32,0)</f>
        <v>0</v>
      </c>
      <c r="GO32">
        <f t="shared" ref="GO32:GO41" si="61">IF(BI32=2,GM32,0)</f>
        <v>0</v>
      </c>
      <c r="GP32">
        <f t="shared" ref="GP32:GP41" si="62">IF(BI32=4,GM32+GX32,0)</f>
        <v>820.11</v>
      </c>
      <c r="GR32">
        <v>0</v>
      </c>
      <c r="GS32">
        <v>3</v>
      </c>
      <c r="GT32">
        <v>0</v>
      </c>
      <c r="GU32" t="s">
        <v>3</v>
      </c>
      <c r="GV32">
        <f t="shared" ref="GV32:GV41" si="63">ROUND((GT32),6)</f>
        <v>0</v>
      </c>
      <c r="GW32">
        <v>1</v>
      </c>
      <c r="GX32">
        <f t="shared" ref="GX32:GX41" si="64">ROUND(HC32*I32,2)</f>
        <v>0</v>
      </c>
      <c r="HA32">
        <v>0</v>
      </c>
      <c r="HB32">
        <v>0</v>
      </c>
      <c r="HC32">
        <f t="shared" ref="HC32:HC41" si="65">GV32*GW32</f>
        <v>0</v>
      </c>
      <c r="HE32" t="s">
        <v>3</v>
      </c>
      <c r="HF32" t="s">
        <v>3</v>
      </c>
      <c r="HM32" t="s">
        <v>3</v>
      </c>
      <c r="HN32" t="s">
        <v>3</v>
      </c>
      <c r="HO32" t="s">
        <v>3</v>
      </c>
      <c r="HP32" t="s">
        <v>3</v>
      </c>
      <c r="HQ32" t="s">
        <v>3</v>
      </c>
      <c r="IK32">
        <v>0</v>
      </c>
    </row>
    <row r="33" spans="1:245" x14ac:dyDescent="0.2">
      <c r="A33">
        <v>17</v>
      </c>
      <c r="B33">
        <v>1</v>
      </c>
      <c r="D33">
        <f>ROW(EtalonRes!A3)</f>
        <v>3</v>
      </c>
      <c r="E33" t="s">
        <v>25</v>
      </c>
      <c r="F33" t="s">
        <v>786</v>
      </c>
      <c r="G33" t="s">
        <v>27</v>
      </c>
      <c r="H33" t="s">
        <v>28</v>
      </c>
      <c r="I33">
        <f>ROUND(283.2+118.77,9)</f>
        <v>401.97</v>
      </c>
      <c r="J33">
        <v>0</v>
      </c>
      <c r="K33">
        <f>ROUND(283.2+118.77,9)</f>
        <v>401.97</v>
      </c>
      <c r="O33">
        <f t="shared" si="28"/>
        <v>59797.06</v>
      </c>
      <c r="P33">
        <f t="shared" si="29"/>
        <v>0</v>
      </c>
      <c r="Q33">
        <f t="shared" si="30"/>
        <v>0</v>
      </c>
      <c r="R33">
        <f t="shared" si="31"/>
        <v>0</v>
      </c>
      <c r="S33">
        <f t="shared" si="32"/>
        <v>59797.06</v>
      </c>
      <c r="T33">
        <f t="shared" si="33"/>
        <v>0</v>
      </c>
      <c r="U33">
        <f t="shared" si="34"/>
        <v>241.18200000000002</v>
      </c>
      <c r="V33">
        <f t="shared" si="35"/>
        <v>0</v>
      </c>
      <c r="W33">
        <f t="shared" si="36"/>
        <v>0</v>
      </c>
      <c r="X33">
        <f t="shared" si="37"/>
        <v>41857.94</v>
      </c>
      <c r="Y33">
        <f t="shared" si="38"/>
        <v>5979.71</v>
      </c>
      <c r="AA33">
        <v>72192302</v>
      </c>
      <c r="AB33">
        <f t="shared" si="39"/>
        <v>148.76</v>
      </c>
      <c r="AC33">
        <f t="shared" si="40"/>
        <v>0</v>
      </c>
      <c r="AD33">
        <f t="shared" si="41"/>
        <v>0</v>
      </c>
      <c r="AE33">
        <f t="shared" si="42"/>
        <v>0</v>
      </c>
      <c r="AF33">
        <f t="shared" si="42"/>
        <v>148.76</v>
      </c>
      <c r="AG33">
        <f t="shared" si="43"/>
        <v>0</v>
      </c>
      <c r="AH33">
        <f t="shared" si="44"/>
        <v>0.6</v>
      </c>
      <c r="AI33">
        <f t="shared" si="44"/>
        <v>0</v>
      </c>
      <c r="AJ33">
        <f t="shared" si="45"/>
        <v>0</v>
      </c>
      <c r="AK33">
        <v>148.76</v>
      </c>
      <c r="AL33">
        <v>0</v>
      </c>
      <c r="AM33">
        <v>0</v>
      </c>
      <c r="AN33">
        <v>0</v>
      </c>
      <c r="AO33">
        <v>148.76</v>
      </c>
      <c r="AP33">
        <v>0</v>
      </c>
      <c r="AQ33">
        <v>0.6</v>
      </c>
      <c r="AR33">
        <v>0</v>
      </c>
      <c r="AS33">
        <v>0</v>
      </c>
      <c r="AT33">
        <v>70</v>
      </c>
      <c r="AU33">
        <v>10</v>
      </c>
      <c r="AV33">
        <v>1</v>
      </c>
      <c r="AW33">
        <v>1</v>
      </c>
      <c r="AZ33">
        <v>1</v>
      </c>
      <c r="BA33">
        <v>1</v>
      </c>
      <c r="BB33">
        <v>1</v>
      </c>
      <c r="BC33">
        <v>1</v>
      </c>
      <c r="BD33" t="s">
        <v>3</v>
      </c>
      <c r="BE33" t="s">
        <v>3</v>
      </c>
      <c r="BF33" t="s">
        <v>3</v>
      </c>
      <c r="BG33" t="s">
        <v>3</v>
      </c>
      <c r="BH33">
        <v>0</v>
      </c>
      <c r="BI33">
        <v>4</v>
      </c>
      <c r="BJ33" t="s">
        <v>29</v>
      </c>
      <c r="BM33">
        <v>0</v>
      </c>
      <c r="BN33">
        <v>0</v>
      </c>
      <c r="BO33" t="s">
        <v>3</v>
      </c>
      <c r="BP33">
        <v>0</v>
      </c>
      <c r="BQ33">
        <v>1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70</v>
      </c>
      <c r="CA33">
        <v>10</v>
      </c>
      <c r="CB33" t="s">
        <v>3</v>
      </c>
      <c r="CE33">
        <v>0</v>
      </c>
      <c r="CF33">
        <v>0</v>
      </c>
      <c r="CG33">
        <v>0</v>
      </c>
      <c r="CM33">
        <v>0</v>
      </c>
      <c r="CN33" t="s">
        <v>3</v>
      </c>
      <c r="CO33">
        <v>0</v>
      </c>
      <c r="CP33">
        <f t="shared" si="46"/>
        <v>59797.06</v>
      </c>
      <c r="CQ33">
        <f t="shared" si="47"/>
        <v>0</v>
      </c>
      <c r="CR33">
        <f t="shared" si="48"/>
        <v>0</v>
      </c>
      <c r="CS33">
        <f t="shared" si="49"/>
        <v>0</v>
      </c>
      <c r="CT33">
        <f t="shared" si="50"/>
        <v>148.76</v>
      </c>
      <c r="CU33">
        <f t="shared" si="51"/>
        <v>0</v>
      </c>
      <c r="CV33">
        <f t="shared" si="52"/>
        <v>0.6</v>
      </c>
      <c r="CW33">
        <f t="shared" si="53"/>
        <v>0</v>
      </c>
      <c r="CX33">
        <f t="shared" si="54"/>
        <v>0</v>
      </c>
      <c r="CY33">
        <f t="shared" si="55"/>
        <v>41857.941999999995</v>
      </c>
      <c r="CZ33">
        <f t="shared" si="56"/>
        <v>5979.7060000000001</v>
      </c>
      <c r="DC33" t="s">
        <v>3</v>
      </c>
      <c r="DD33" t="s">
        <v>3</v>
      </c>
      <c r="DE33" t="s">
        <v>3</v>
      </c>
      <c r="DF33" t="s">
        <v>3</v>
      </c>
      <c r="DG33" t="s">
        <v>3</v>
      </c>
      <c r="DH33" t="s">
        <v>3</v>
      </c>
      <c r="DI33" t="s">
        <v>3</v>
      </c>
      <c r="DJ33" t="s">
        <v>3</v>
      </c>
      <c r="DK33" t="s">
        <v>3</v>
      </c>
      <c r="DL33" t="s">
        <v>3</v>
      </c>
      <c r="DM33" t="s">
        <v>3</v>
      </c>
      <c r="DN33">
        <v>0</v>
      </c>
      <c r="DO33">
        <v>0</v>
      </c>
      <c r="DP33">
        <v>1</v>
      </c>
      <c r="DQ33">
        <v>1</v>
      </c>
      <c r="DU33">
        <v>1005</v>
      </c>
      <c r="DV33" t="s">
        <v>28</v>
      </c>
      <c r="DW33" t="s">
        <v>28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71753531</v>
      </c>
      <c r="EF33">
        <v>1</v>
      </c>
      <c r="EG33" t="s">
        <v>22</v>
      </c>
      <c r="EH33">
        <v>0</v>
      </c>
      <c r="EI33" t="s">
        <v>3</v>
      </c>
      <c r="EJ33">
        <v>4</v>
      </c>
      <c r="EK33">
        <v>0</v>
      </c>
      <c r="EL33" t="s">
        <v>23</v>
      </c>
      <c r="EM33" t="s">
        <v>24</v>
      </c>
      <c r="EO33" t="s">
        <v>3</v>
      </c>
      <c r="EQ33">
        <v>0</v>
      </c>
      <c r="ER33">
        <v>148.76</v>
      </c>
      <c r="ES33">
        <v>0</v>
      </c>
      <c r="ET33">
        <v>0</v>
      </c>
      <c r="EU33">
        <v>0</v>
      </c>
      <c r="EV33">
        <v>148.76</v>
      </c>
      <c r="EW33">
        <v>0.6</v>
      </c>
      <c r="EX33">
        <v>0</v>
      </c>
      <c r="EY33">
        <v>0</v>
      </c>
      <c r="FQ33">
        <v>0</v>
      </c>
      <c r="FR33">
        <f t="shared" si="57"/>
        <v>0</v>
      </c>
      <c r="FS33">
        <v>0</v>
      </c>
      <c r="FX33">
        <v>70</v>
      </c>
      <c r="FY33">
        <v>10</v>
      </c>
      <c r="GA33" t="s">
        <v>3</v>
      </c>
      <c r="GD33">
        <v>0</v>
      </c>
      <c r="GF33">
        <v>-1536673318</v>
      </c>
      <c r="GG33">
        <v>2</v>
      </c>
      <c r="GH33">
        <v>1</v>
      </c>
      <c r="GI33">
        <v>-2</v>
      </c>
      <c r="GJ33">
        <v>0</v>
      </c>
      <c r="GK33">
        <f>ROUND(R33*(R12)/100,2)</f>
        <v>0</v>
      </c>
      <c r="GL33">
        <f t="shared" si="58"/>
        <v>0</v>
      </c>
      <c r="GM33">
        <f t="shared" si="59"/>
        <v>107634.71</v>
      </c>
      <c r="GN33">
        <f t="shared" si="60"/>
        <v>0</v>
      </c>
      <c r="GO33">
        <f t="shared" si="61"/>
        <v>0</v>
      </c>
      <c r="GP33">
        <f t="shared" si="62"/>
        <v>107634.71</v>
      </c>
      <c r="GR33">
        <v>0</v>
      </c>
      <c r="GS33">
        <v>3</v>
      </c>
      <c r="GT33">
        <v>0</v>
      </c>
      <c r="GU33" t="s">
        <v>3</v>
      </c>
      <c r="GV33">
        <f t="shared" si="63"/>
        <v>0</v>
      </c>
      <c r="GW33">
        <v>1</v>
      </c>
      <c r="GX33">
        <f t="shared" si="64"/>
        <v>0</v>
      </c>
      <c r="HA33">
        <v>0</v>
      </c>
      <c r="HB33">
        <v>0</v>
      </c>
      <c r="HC33">
        <f t="shared" si="65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IK33">
        <v>0</v>
      </c>
    </row>
    <row r="34" spans="1:245" x14ac:dyDescent="0.2">
      <c r="A34">
        <v>17</v>
      </c>
      <c r="B34">
        <v>1</v>
      </c>
      <c r="D34">
        <f>ROW(EtalonRes!A5)</f>
        <v>5</v>
      </c>
      <c r="E34" t="s">
        <v>30</v>
      </c>
      <c r="F34" t="s">
        <v>785</v>
      </c>
      <c r="G34" t="s">
        <v>32</v>
      </c>
      <c r="H34" t="s">
        <v>33</v>
      </c>
      <c r="I34">
        <v>0.26</v>
      </c>
      <c r="J34">
        <v>0</v>
      </c>
      <c r="K34">
        <v>0.26</v>
      </c>
      <c r="O34">
        <f t="shared" si="28"/>
        <v>8234.34</v>
      </c>
      <c r="P34">
        <f t="shared" si="29"/>
        <v>0</v>
      </c>
      <c r="Q34">
        <f t="shared" si="30"/>
        <v>0</v>
      </c>
      <c r="R34">
        <f t="shared" si="31"/>
        <v>0</v>
      </c>
      <c r="S34">
        <f t="shared" si="32"/>
        <v>8234.34</v>
      </c>
      <c r="T34">
        <f t="shared" si="33"/>
        <v>0</v>
      </c>
      <c r="U34">
        <f t="shared" si="34"/>
        <v>31.353400000000001</v>
      </c>
      <c r="V34">
        <f t="shared" si="35"/>
        <v>0</v>
      </c>
      <c r="W34">
        <f t="shared" si="36"/>
        <v>0</v>
      </c>
      <c r="X34">
        <f t="shared" si="37"/>
        <v>5764.04</v>
      </c>
      <c r="Y34">
        <f t="shared" si="38"/>
        <v>823.43</v>
      </c>
      <c r="AA34">
        <v>72192302</v>
      </c>
      <c r="AB34">
        <f t="shared" si="39"/>
        <v>31670.55</v>
      </c>
      <c r="AC34">
        <f t="shared" si="40"/>
        <v>0</v>
      </c>
      <c r="AD34">
        <f t="shared" si="41"/>
        <v>0</v>
      </c>
      <c r="AE34">
        <f t="shared" si="42"/>
        <v>0</v>
      </c>
      <c r="AF34">
        <f t="shared" si="42"/>
        <v>31670.55</v>
      </c>
      <c r="AG34">
        <f t="shared" si="43"/>
        <v>0</v>
      </c>
      <c r="AH34">
        <f t="shared" si="44"/>
        <v>120.59</v>
      </c>
      <c r="AI34">
        <f t="shared" si="44"/>
        <v>0</v>
      </c>
      <c r="AJ34">
        <f t="shared" si="45"/>
        <v>0</v>
      </c>
      <c r="AK34">
        <v>31670.55</v>
      </c>
      <c r="AL34">
        <v>0</v>
      </c>
      <c r="AM34">
        <v>0</v>
      </c>
      <c r="AN34">
        <v>0</v>
      </c>
      <c r="AO34">
        <v>31670.55</v>
      </c>
      <c r="AP34">
        <v>0</v>
      </c>
      <c r="AQ34">
        <v>120.59</v>
      </c>
      <c r="AR34">
        <v>0</v>
      </c>
      <c r="AS34">
        <v>0</v>
      </c>
      <c r="AT34">
        <v>70</v>
      </c>
      <c r="AU34">
        <v>10</v>
      </c>
      <c r="AV34">
        <v>1</v>
      </c>
      <c r="AW34">
        <v>1</v>
      </c>
      <c r="AZ34">
        <v>1</v>
      </c>
      <c r="BA34">
        <v>1</v>
      </c>
      <c r="BB34">
        <v>1</v>
      </c>
      <c r="BC34">
        <v>1</v>
      </c>
      <c r="BD34" t="s">
        <v>3</v>
      </c>
      <c r="BE34" t="s">
        <v>3</v>
      </c>
      <c r="BF34" t="s">
        <v>3</v>
      </c>
      <c r="BG34" t="s">
        <v>3</v>
      </c>
      <c r="BH34">
        <v>0</v>
      </c>
      <c r="BI34">
        <v>4</v>
      </c>
      <c r="BJ34" t="s">
        <v>34</v>
      </c>
      <c r="BM34">
        <v>0</v>
      </c>
      <c r="BN34">
        <v>0</v>
      </c>
      <c r="BO34" t="s">
        <v>3</v>
      </c>
      <c r="BP34">
        <v>0</v>
      </c>
      <c r="BQ34">
        <v>1</v>
      </c>
      <c r="BR34">
        <v>0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 t="s">
        <v>3</v>
      </c>
      <c r="BZ34">
        <v>70</v>
      </c>
      <c r="CA34">
        <v>10</v>
      </c>
      <c r="CB34" t="s">
        <v>3</v>
      </c>
      <c r="CE34">
        <v>0</v>
      </c>
      <c r="CF34">
        <v>0</v>
      </c>
      <c r="CG34">
        <v>0</v>
      </c>
      <c r="CM34">
        <v>0</v>
      </c>
      <c r="CN34" t="s">
        <v>3</v>
      </c>
      <c r="CO34">
        <v>0</v>
      </c>
      <c r="CP34">
        <f t="shared" si="46"/>
        <v>8234.34</v>
      </c>
      <c r="CQ34">
        <f t="shared" si="47"/>
        <v>0</v>
      </c>
      <c r="CR34">
        <f t="shared" si="48"/>
        <v>0</v>
      </c>
      <c r="CS34">
        <f t="shared" si="49"/>
        <v>0</v>
      </c>
      <c r="CT34">
        <f t="shared" si="50"/>
        <v>31670.55</v>
      </c>
      <c r="CU34">
        <f t="shared" si="51"/>
        <v>0</v>
      </c>
      <c r="CV34">
        <f t="shared" si="52"/>
        <v>120.59</v>
      </c>
      <c r="CW34">
        <f t="shared" si="53"/>
        <v>0</v>
      </c>
      <c r="CX34">
        <f t="shared" si="54"/>
        <v>0</v>
      </c>
      <c r="CY34">
        <f t="shared" si="55"/>
        <v>5764.0380000000005</v>
      </c>
      <c r="CZ34">
        <f t="shared" si="56"/>
        <v>823.43399999999997</v>
      </c>
      <c r="DC34" t="s">
        <v>3</v>
      </c>
      <c r="DD34" t="s">
        <v>3</v>
      </c>
      <c r="DE34" t="s">
        <v>3</v>
      </c>
      <c r="DF34" t="s">
        <v>3</v>
      </c>
      <c r="DG34" t="s">
        <v>3</v>
      </c>
      <c r="DH34" t="s">
        <v>3</v>
      </c>
      <c r="DI34" t="s">
        <v>3</v>
      </c>
      <c r="DJ34" t="s">
        <v>3</v>
      </c>
      <c r="DK34" t="s">
        <v>3</v>
      </c>
      <c r="DL34" t="s">
        <v>3</v>
      </c>
      <c r="DM34" t="s">
        <v>3</v>
      </c>
      <c r="DN34">
        <v>0</v>
      </c>
      <c r="DO34">
        <v>0</v>
      </c>
      <c r="DP34">
        <v>1</v>
      </c>
      <c r="DQ34">
        <v>1</v>
      </c>
      <c r="DU34">
        <v>1010</v>
      </c>
      <c r="DV34" t="s">
        <v>33</v>
      </c>
      <c r="DW34" t="s">
        <v>33</v>
      </c>
      <c r="DX34">
        <v>100</v>
      </c>
      <c r="DZ34" t="s">
        <v>3</v>
      </c>
      <c r="EA34" t="s">
        <v>3</v>
      </c>
      <c r="EB34" t="s">
        <v>3</v>
      </c>
      <c r="EC34" t="s">
        <v>3</v>
      </c>
      <c r="EE34">
        <v>71753531</v>
      </c>
      <c r="EF34">
        <v>1</v>
      </c>
      <c r="EG34" t="s">
        <v>22</v>
      </c>
      <c r="EH34">
        <v>0</v>
      </c>
      <c r="EI34" t="s">
        <v>3</v>
      </c>
      <c r="EJ34">
        <v>4</v>
      </c>
      <c r="EK34">
        <v>0</v>
      </c>
      <c r="EL34" t="s">
        <v>23</v>
      </c>
      <c r="EM34" t="s">
        <v>24</v>
      </c>
      <c r="EO34" t="s">
        <v>3</v>
      </c>
      <c r="EQ34">
        <v>0</v>
      </c>
      <c r="ER34">
        <v>31670.55</v>
      </c>
      <c r="ES34">
        <v>0</v>
      </c>
      <c r="ET34">
        <v>0</v>
      </c>
      <c r="EU34">
        <v>0</v>
      </c>
      <c r="EV34">
        <v>31670.55</v>
      </c>
      <c r="EW34">
        <v>120.59</v>
      </c>
      <c r="EX34">
        <v>0</v>
      </c>
      <c r="EY34">
        <v>0</v>
      </c>
      <c r="FQ34">
        <v>0</v>
      </c>
      <c r="FR34">
        <f t="shared" si="57"/>
        <v>0</v>
      </c>
      <c r="FS34">
        <v>0</v>
      </c>
      <c r="FX34">
        <v>70</v>
      </c>
      <c r="FY34">
        <v>10</v>
      </c>
      <c r="GA34" t="s">
        <v>3</v>
      </c>
      <c r="GD34">
        <v>0</v>
      </c>
      <c r="GF34">
        <v>1879916655</v>
      </c>
      <c r="GG34">
        <v>2</v>
      </c>
      <c r="GH34">
        <v>1</v>
      </c>
      <c r="GI34">
        <v>-2</v>
      </c>
      <c r="GJ34">
        <v>0</v>
      </c>
      <c r="GK34">
        <f>ROUND(R34*(R12)/100,2)</f>
        <v>0</v>
      </c>
      <c r="GL34">
        <f t="shared" si="58"/>
        <v>0</v>
      </c>
      <c r="GM34">
        <f t="shared" si="59"/>
        <v>14821.81</v>
      </c>
      <c r="GN34">
        <f t="shared" si="60"/>
        <v>0</v>
      </c>
      <c r="GO34">
        <f t="shared" si="61"/>
        <v>0</v>
      </c>
      <c r="GP34">
        <f t="shared" si="62"/>
        <v>14821.81</v>
      </c>
      <c r="GR34">
        <v>0</v>
      </c>
      <c r="GS34">
        <v>3</v>
      </c>
      <c r="GT34">
        <v>0</v>
      </c>
      <c r="GU34" t="s">
        <v>3</v>
      </c>
      <c r="GV34">
        <f t="shared" si="63"/>
        <v>0</v>
      </c>
      <c r="GW34">
        <v>1</v>
      </c>
      <c r="GX34">
        <f t="shared" si="64"/>
        <v>0</v>
      </c>
      <c r="HA34">
        <v>0</v>
      </c>
      <c r="HB34">
        <v>0</v>
      </c>
      <c r="HC34">
        <f t="shared" si="65"/>
        <v>0</v>
      </c>
      <c r="HE34" t="s">
        <v>3</v>
      </c>
      <c r="HF34" t="s">
        <v>3</v>
      </c>
      <c r="HM34" t="s">
        <v>3</v>
      </c>
      <c r="HN34" t="s">
        <v>3</v>
      </c>
      <c r="HO34" t="s">
        <v>3</v>
      </c>
      <c r="HP34" t="s">
        <v>3</v>
      </c>
      <c r="HQ34" t="s">
        <v>3</v>
      </c>
      <c r="IK34">
        <v>0</v>
      </c>
    </row>
    <row r="35" spans="1:245" x14ac:dyDescent="0.2">
      <c r="A35">
        <v>18</v>
      </c>
      <c r="B35">
        <v>1</v>
      </c>
      <c r="E35" t="s">
        <v>35</v>
      </c>
      <c r="F35" t="s">
        <v>36</v>
      </c>
      <c r="G35" t="s">
        <v>37</v>
      </c>
      <c r="H35" t="s">
        <v>38</v>
      </c>
      <c r="I35">
        <f>I34*J35</f>
        <v>-2.08</v>
      </c>
      <c r="J35">
        <v>-8</v>
      </c>
      <c r="K35">
        <v>-8</v>
      </c>
      <c r="O35">
        <f t="shared" si="28"/>
        <v>0</v>
      </c>
      <c r="P35">
        <f t="shared" si="29"/>
        <v>0</v>
      </c>
      <c r="Q35">
        <f t="shared" si="30"/>
        <v>0</v>
      </c>
      <c r="R35">
        <f t="shared" si="31"/>
        <v>0</v>
      </c>
      <c r="S35">
        <f t="shared" si="32"/>
        <v>0</v>
      </c>
      <c r="T35">
        <f t="shared" si="33"/>
        <v>0</v>
      </c>
      <c r="U35">
        <f t="shared" si="34"/>
        <v>0</v>
      </c>
      <c r="V35">
        <f t="shared" si="35"/>
        <v>0</v>
      </c>
      <c r="W35">
        <f t="shared" si="36"/>
        <v>0</v>
      </c>
      <c r="X35">
        <f t="shared" si="37"/>
        <v>0</v>
      </c>
      <c r="Y35">
        <f t="shared" si="38"/>
        <v>0</v>
      </c>
      <c r="AA35">
        <v>72192302</v>
      </c>
      <c r="AB35">
        <f t="shared" si="39"/>
        <v>0</v>
      </c>
      <c r="AC35">
        <f t="shared" si="40"/>
        <v>0</v>
      </c>
      <c r="AD35">
        <f t="shared" si="41"/>
        <v>0</v>
      </c>
      <c r="AE35">
        <f t="shared" si="42"/>
        <v>0</v>
      </c>
      <c r="AF35">
        <f t="shared" si="42"/>
        <v>0</v>
      </c>
      <c r="AG35">
        <f t="shared" si="43"/>
        <v>0</v>
      </c>
      <c r="AH35">
        <f t="shared" si="44"/>
        <v>0</v>
      </c>
      <c r="AI35">
        <f t="shared" si="44"/>
        <v>0</v>
      </c>
      <c r="AJ35">
        <f t="shared" si="45"/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70</v>
      </c>
      <c r="AU35">
        <v>10</v>
      </c>
      <c r="AV35">
        <v>1</v>
      </c>
      <c r="AW35">
        <v>1</v>
      </c>
      <c r="AZ35">
        <v>1</v>
      </c>
      <c r="BA35">
        <v>1</v>
      </c>
      <c r="BB35">
        <v>1</v>
      </c>
      <c r="BC35">
        <v>1</v>
      </c>
      <c r="BD35" t="s">
        <v>3</v>
      </c>
      <c r="BE35" t="s">
        <v>3</v>
      </c>
      <c r="BF35" t="s">
        <v>3</v>
      </c>
      <c r="BG35" t="s">
        <v>3</v>
      </c>
      <c r="BH35">
        <v>3</v>
      </c>
      <c r="BI35">
        <v>4</v>
      </c>
      <c r="BJ35" t="s">
        <v>3</v>
      </c>
      <c r="BM35">
        <v>0</v>
      </c>
      <c r="BN35">
        <v>0</v>
      </c>
      <c r="BO35" t="s">
        <v>3</v>
      </c>
      <c r="BP35">
        <v>0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70</v>
      </c>
      <c r="CA35">
        <v>10</v>
      </c>
      <c r="CB35" t="s">
        <v>3</v>
      </c>
      <c r="CE35">
        <v>0</v>
      </c>
      <c r="CF35">
        <v>0</v>
      </c>
      <c r="CG35">
        <v>0</v>
      </c>
      <c r="CM35">
        <v>0</v>
      </c>
      <c r="CN35" t="s">
        <v>3</v>
      </c>
      <c r="CO35">
        <v>0</v>
      </c>
      <c r="CP35">
        <f t="shared" si="46"/>
        <v>0</v>
      </c>
      <c r="CQ35">
        <f t="shared" si="47"/>
        <v>0</v>
      </c>
      <c r="CR35">
        <f t="shared" si="48"/>
        <v>0</v>
      </c>
      <c r="CS35">
        <f t="shared" si="49"/>
        <v>0</v>
      </c>
      <c r="CT35">
        <f t="shared" si="50"/>
        <v>0</v>
      </c>
      <c r="CU35">
        <f t="shared" si="51"/>
        <v>0</v>
      </c>
      <c r="CV35">
        <f t="shared" si="52"/>
        <v>0</v>
      </c>
      <c r="CW35">
        <f t="shared" si="53"/>
        <v>0</v>
      </c>
      <c r="CX35">
        <f t="shared" si="54"/>
        <v>0</v>
      </c>
      <c r="CY35">
        <f t="shared" si="55"/>
        <v>0</v>
      </c>
      <c r="CZ35">
        <f t="shared" si="56"/>
        <v>0</v>
      </c>
      <c r="DC35" t="s">
        <v>3</v>
      </c>
      <c r="DD35" t="s">
        <v>3</v>
      </c>
      <c r="DE35" t="s">
        <v>3</v>
      </c>
      <c r="DF35" t="s">
        <v>3</v>
      </c>
      <c r="DG35" t="s">
        <v>3</v>
      </c>
      <c r="DH35" t="s">
        <v>3</v>
      </c>
      <c r="DI35" t="s">
        <v>3</v>
      </c>
      <c r="DJ35" t="s">
        <v>3</v>
      </c>
      <c r="DK35" t="s">
        <v>3</v>
      </c>
      <c r="DL35" t="s">
        <v>3</v>
      </c>
      <c r="DM35" t="s">
        <v>3</v>
      </c>
      <c r="DN35">
        <v>0</v>
      </c>
      <c r="DO35">
        <v>0</v>
      </c>
      <c r="DP35">
        <v>1</v>
      </c>
      <c r="DQ35">
        <v>1</v>
      </c>
      <c r="DU35">
        <v>1009</v>
      </c>
      <c r="DV35" t="s">
        <v>38</v>
      </c>
      <c r="DW35" t="s">
        <v>38</v>
      </c>
      <c r="DX35">
        <v>1000</v>
      </c>
      <c r="DZ35" t="s">
        <v>3</v>
      </c>
      <c r="EA35" t="s">
        <v>3</v>
      </c>
      <c r="EB35" t="s">
        <v>3</v>
      </c>
      <c r="EC35" t="s">
        <v>3</v>
      </c>
      <c r="EE35">
        <v>71753531</v>
      </c>
      <c r="EF35">
        <v>1</v>
      </c>
      <c r="EG35" t="s">
        <v>22</v>
      </c>
      <c r="EH35">
        <v>0</v>
      </c>
      <c r="EI35" t="s">
        <v>3</v>
      </c>
      <c r="EJ35">
        <v>4</v>
      </c>
      <c r="EK35">
        <v>0</v>
      </c>
      <c r="EL35" t="s">
        <v>23</v>
      </c>
      <c r="EM35" t="s">
        <v>24</v>
      </c>
      <c r="EO35" t="s">
        <v>3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FQ35">
        <v>0</v>
      </c>
      <c r="FR35">
        <f t="shared" si="57"/>
        <v>0</v>
      </c>
      <c r="FS35">
        <v>0</v>
      </c>
      <c r="FX35">
        <v>70</v>
      </c>
      <c r="FY35">
        <v>10</v>
      </c>
      <c r="GA35" t="s">
        <v>3</v>
      </c>
      <c r="GD35">
        <v>0</v>
      </c>
      <c r="GF35">
        <v>1489638031</v>
      </c>
      <c r="GG35">
        <v>2</v>
      </c>
      <c r="GH35">
        <v>1</v>
      </c>
      <c r="GI35">
        <v>-2</v>
      </c>
      <c r="GJ35">
        <v>0</v>
      </c>
      <c r="GK35">
        <f>ROUND(R35*(R12)/100,2)</f>
        <v>0</v>
      </c>
      <c r="GL35">
        <f t="shared" si="58"/>
        <v>0</v>
      </c>
      <c r="GM35">
        <f t="shared" si="59"/>
        <v>0</v>
      </c>
      <c r="GN35">
        <f t="shared" si="60"/>
        <v>0</v>
      </c>
      <c r="GO35">
        <f t="shared" si="61"/>
        <v>0</v>
      </c>
      <c r="GP35">
        <f t="shared" si="62"/>
        <v>0</v>
      </c>
      <c r="GR35">
        <v>0</v>
      </c>
      <c r="GS35">
        <v>3</v>
      </c>
      <c r="GT35">
        <v>0</v>
      </c>
      <c r="GU35" t="s">
        <v>3</v>
      </c>
      <c r="GV35">
        <f t="shared" si="63"/>
        <v>0</v>
      </c>
      <c r="GW35">
        <v>1</v>
      </c>
      <c r="GX35">
        <f t="shared" si="64"/>
        <v>0</v>
      </c>
      <c r="HA35">
        <v>0</v>
      </c>
      <c r="HB35">
        <v>0</v>
      </c>
      <c r="HC35">
        <f t="shared" si="65"/>
        <v>0</v>
      </c>
      <c r="HE35" t="s">
        <v>3</v>
      </c>
      <c r="HF35" t="s">
        <v>3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IK35">
        <v>0</v>
      </c>
    </row>
    <row r="36" spans="1:245" x14ac:dyDescent="0.2">
      <c r="A36">
        <v>17</v>
      </c>
      <c r="B36">
        <v>1</v>
      </c>
      <c r="D36">
        <f>ROW(EtalonRes!A8)</f>
        <v>8</v>
      </c>
      <c r="E36" t="s">
        <v>39</v>
      </c>
      <c r="F36" t="s">
        <v>40</v>
      </c>
      <c r="G36" t="s">
        <v>41</v>
      </c>
      <c r="H36" t="s">
        <v>42</v>
      </c>
      <c r="I36">
        <v>0.77600000000000002</v>
      </c>
      <c r="J36">
        <v>0</v>
      </c>
      <c r="K36">
        <v>0.77600000000000002</v>
      </c>
      <c r="O36">
        <f t="shared" si="28"/>
        <v>4128.6099999999997</v>
      </c>
      <c r="P36">
        <f t="shared" si="29"/>
        <v>1078.43</v>
      </c>
      <c r="Q36">
        <f t="shared" si="30"/>
        <v>0</v>
      </c>
      <c r="R36">
        <f t="shared" si="31"/>
        <v>0</v>
      </c>
      <c r="S36">
        <f t="shared" si="32"/>
        <v>3050.18</v>
      </c>
      <c r="T36">
        <f t="shared" si="33"/>
        <v>0</v>
      </c>
      <c r="U36">
        <f t="shared" si="34"/>
        <v>9.9095200000000006</v>
      </c>
      <c r="V36">
        <f t="shared" si="35"/>
        <v>0</v>
      </c>
      <c r="W36">
        <f t="shared" si="36"/>
        <v>0</v>
      </c>
      <c r="X36">
        <f t="shared" si="37"/>
        <v>2135.13</v>
      </c>
      <c r="Y36">
        <f t="shared" si="38"/>
        <v>305.02</v>
      </c>
      <c r="AA36">
        <v>72192302</v>
      </c>
      <c r="AB36">
        <f t="shared" si="39"/>
        <v>5320.38</v>
      </c>
      <c r="AC36">
        <f t="shared" si="40"/>
        <v>1389.73</v>
      </c>
      <c r="AD36">
        <f t="shared" si="41"/>
        <v>0</v>
      </c>
      <c r="AE36">
        <f t="shared" si="42"/>
        <v>0</v>
      </c>
      <c r="AF36">
        <f t="shared" si="42"/>
        <v>3930.65</v>
      </c>
      <c r="AG36">
        <f t="shared" si="43"/>
        <v>0</v>
      </c>
      <c r="AH36">
        <f t="shared" si="44"/>
        <v>12.77</v>
      </c>
      <c r="AI36">
        <f t="shared" si="44"/>
        <v>0</v>
      </c>
      <c r="AJ36">
        <f t="shared" si="45"/>
        <v>0</v>
      </c>
      <c r="AK36">
        <v>5320.38</v>
      </c>
      <c r="AL36">
        <v>1389.73</v>
      </c>
      <c r="AM36">
        <v>0</v>
      </c>
      <c r="AN36">
        <v>0</v>
      </c>
      <c r="AO36">
        <v>3930.65</v>
      </c>
      <c r="AP36">
        <v>0</v>
      </c>
      <c r="AQ36">
        <v>12.77</v>
      </c>
      <c r="AR36">
        <v>0</v>
      </c>
      <c r="AS36">
        <v>0</v>
      </c>
      <c r="AT36">
        <v>70</v>
      </c>
      <c r="AU36">
        <v>10</v>
      </c>
      <c r="AV36">
        <v>1</v>
      </c>
      <c r="AW36">
        <v>1</v>
      </c>
      <c r="AZ36">
        <v>1</v>
      </c>
      <c r="BA36">
        <v>1</v>
      </c>
      <c r="BB36">
        <v>1</v>
      </c>
      <c r="BC36">
        <v>1</v>
      </c>
      <c r="BD36" t="s">
        <v>3</v>
      </c>
      <c r="BE36" t="s">
        <v>3</v>
      </c>
      <c r="BF36" t="s">
        <v>3</v>
      </c>
      <c r="BG36" t="s">
        <v>3</v>
      </c>
      <c r="BH36">
        <v>0</v>
      </c>
      <c r="BI36">
        <v>4</v>
      </c>
      <c r="BJ36" t="s">
        <v>43</v>
      </c>
      <c r="BM36">
        <v>0</v>
      </c>
      <c r="BN36">
        <v>0</v>
      </c>
      <c r="BO36" t="s">
        <v>3</v>
      </c>
      <c r="BP36">
        <v>0</v>
      </c>
      <c r="BQ36">
        <v>1</v>
      </c>
      <c r="BR36">
        <v>0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 t="s">
        <v>3</v>
      </c>
      <c r="BZ36">
        <v>70</v>
      </c>
      <c r="CA36">
        <v>10</v>
      </c>
      <c r="CB36" t="s">
        <v>3</v>
      </c>
      <c r="CE36">
        <v>0</v>
      </c>
      <c r="CF36">
        <v>0</v>
      </c>
      <c r="CG36">
        <v>0</v>
      </c>
      <c r="CM36">
        <v>0</v>
      </c>
      <c r="CN36" t="s">
        <v>3</v>
      </c>
      <c r="CO36">
        <v>0</v>
      </c>
      <c r="CP36">
        <f t="shared" si="46"/>
        <v>4128.6099999999997</v>
      </c>
      <c r="CQ36">
        <f t="shared" si="47"/>
        <v>1389.73</v>
      </c>
      <c r="CR36">
        <f t="shared" si="48"/>
        <v>0</v>
      </c>
      <c r="CS36">
        <f t="shared" si="49"/>
        <v>0</v>
      </c>
      <c r="CT36">
        <f t="shared" si="50"/>
        <v>3930.65</v>
      </c>
      <c r="CU36">
        <f t="shared" si="51"/>
        <v>0</v>
      </c>
      <c r="CV36">
        <f t="shared" si="52"/>
        <v>12.77</v>
      </c>
      <c r="CW36">
        <f t="shared" si="53"/>
        <v>0</v>
      </c>
      <c r="CX36">
        <f t="shared" si="54"/>
        <v>0</v>
      </c>
      <c r="CY36">
        <f t="shared" si="55"/>
        <v>2135.1259999999997</v>
      </c>
      <c r="CZ36">
        <f t="shared" si="56"/>
        <v>305.01799999999997</v>
      </c>
      <c r="DC36" t="s">
        <v>3</v>
      </c>
      <c r="DD36" t="s">
        <v>3</v>
      </c>
      <c r="DE36" t="s">
        <v>3</v>
      </c>
      <c r="DF36" t="s">
        <v>3</v>
      </c>
      <c r="DG36" t="s">
        <v>3</v>
      </c>
      <c r="DH36" t="s">
        <v>3</v>
      </c>
      <c r="DI36" t="s">
        <v>3</v>
      </c>
      <c r="DJ36" t="s">
        <v>3</v>
      </c>
      <c r="DK36" t="s">
        <v>3</v>
      </c>
      <c r="DL36" t="s">
        <v>3</v>
      </c>
      <c r="DM36" t="s">
        <v>3</v>
      </c>
      <c r="DN36">
        <v>0</v>
      </c>
      <c r="DO36">
        <v>0</v>
      </c>
      <c r="DP36">
        <v>1</v>
      </c>
      <c r="DQ36">
        <v>1</v>
      </c>
      <c r="DU36">
        <v>1005</v>
      </c>
      <c r="DV36" t="s">
        <v>42</v>
      </c>
      <c r="DW36" t="s">
        <v>42</v>
      </c>
      <c r="DX36">
        <v>100</v>
      </c>
      <c r="DZ36" t="s">
        <v>3</v>
      </c>
      <c r="EA36" t="s">
        <v>3</v>
      </c>
      <c r="EB36" t="s">
        <v>3</v>
      </c>
      <c r="EC36" t="s">
        <v>3</v>
      </c>
      <c r="EE36">
        <v>71753531</v>
      </c>
      <c r="EF36">
        <v>1</v>
      </c>
      <c r="EG36" t="s">
        <v>22</v>
      </c>
      <c r="EH36">
        <v>0</v>
      </c>
      <c r="EI36" t="s">
        <v>3</v>
      </c>
      <c r="EJ36">
        <v>4</v>
      </c>
      <c r="EK36">
        <v>0</v>
      </c>
      <c r="EL36" t="s">
        <v>23</v>
      </c>
      <c r="EM36" t="s">
        <v>24</v>
      </c>
      <c r="EO36" t="s">
        <v>3</v>
      </c>
      <c r="EQ36">
        <v>0</v>
      </c>
      <c r="ER36">
        <v>5320.38</v>
      </c>
      <c r="ES36">
        <v>1389.73</v>
      </c>
      <c r="ET36">
        <v>0</v>
      </c>
      <c r="EU36">
        <v>0</v>
      </c>
      <c r="EV36">
        <v>3930.65</v>
      </c>
      <c r="EW36">
        <v>12.77</v>
      </c>
      <c r="EX36">
        <v>0</v>
      </c>
      <c r="EY36">
        <v>0</v>
      </c>
      <c r="FQ36">
        <v>0</v>
      </c>
      <c r="FR36">
        <f t="shared" si="57"/>
        <v>0</v>
      </c>
      <c r="FS36">
        <v>0</v>
      </c>
      <c r="FX36">
        <v>70</v>
      </c>
      <c r="FY36">
        <v>10</v>
      </c>
      <c r="GA36" t="s">
        <v>3</v>
      </c>
      <c r="GD36">
        <v>0</v>
      </c>
      <c r="GF36">
        <v>550753279</v>
      </c>
      <c r="GG36">
        <v>2</v>
      </c>
      <c r="GH36">
        <v>1</v>
      </c>
      <c r="GI36">
        <v>-2</v>
      </c>
      <c r="GJ36">
        <v>0</v>
      </c>
      <c r="GK36">
        <f>ROUND(R36*(R12)/100,2)</f>
        <v>0</v>
      </c>
      <c r="GL36">
        <f t="shared" si="58"/>
        <v>0</v>
      </c>
      <c r="GM36">
        <f t="shared" si="59"/>
        <v>6568.76</v>
      </c>
      <c r="GN36">
        <f t="shared" si="60"/>
        <v>0</v>
      </c>
      <c r="GO36">
        <f t="shared" si="61"/>
        <v>0</v>
      </c>
      <c r="GP36">
        <f t="shared" si="62"/>
        <v>6568.76</v>
      </c>
      <c r="GR36">
        <v>0</v>
      </c>
      <c r="GS36">
        <v>3</v>
      </c>
      <c r="GT36">
        <v>0</v>
      </c>
      <c r="GU36" t="s">
        <v>3</v>
      </c>
      <c r="GV36">
        <f t="shared" si="63"/>
        <v>0</v>
      </c>
      <c r="GW36">
        <v>1</v>
      </c>
      <c r="GX36">
        <f t="shared" si="64"/>
        <v>0</v>
      </c>
      <c r="HA36">
        <v>0</v>
      </c>
      <c r="HB36">
        <v>0</v>
      </c>
      <c r="HC36">
        <f t="shared" si="65"/>
        <v>0</v>
      </c>
      <c r="HE36" t="s">
        <v>3</v>
      </c>
      <c r="HF36" t="s">
        <v>3</v>
      </c>
      <c r="HM36" t="s">
        <v>3</v>
      </c>
      <c r="HN36" t="s">
        <v>3</v>
      </c>
      <c r="HO36" t="s">
        <v>3</v>
      </c>
      <c r="HP36" t="s">
        <v>3</v>
      </c>
      <c r="HQ36" t="s">
        <v>3</v>
      </c>
      <c r="IK36">
        <v>0</v>
      </c>
    </row>
    <row r="37" spans="1:245" x14ac:dyDescent="0.2">
      <c r="A37">
        <v>17</v>
      </c>
      <c r="B37">
        <v>1</v>
      </c>
      <c r="D37">
        <f>ROW(EtalonRes!A13)</f>
        <v>13</v>
      </c>
      <c r="E37" t="s">
        <v>44</v>
      </c>
      <c r="F37" t="s">
        <v>784</v>
      </c>
      <c r="G37" t="s">
        <v>46</v>
      </c>
      <c r="H37" t="s">
        <v>20</v>
      </c>
      <c r="I37">
        <v>0.4</v>
      </c>
      <c r="J37">
        <v>0</v>
      </c>
      <c r="K37">
        <v>0.4</v>
      </c>
      <c r="O37">
        <f t="shared" si="28"/>
        <v>5584.83</v>
      </c>
      <c r="P37">
        <f t="shared" si="29"/>
        <v>215.79</v>
      </c>
      <c r="Q37">
        <f t="shared" si="30"/>
        <v>11.9</v>
      </c>
      <c r="R37">
        <f t="shared" si="31"/>
        <v>0.34</v>
      </c>
      <c r="S37">
        <f t="shared" si="32"/>
        <v>5357.14</v>
      </c>
      <c r="T37">
        <f t="shared" si="33"/>
        <v>0</v>
      </c>
      <c r="U37">
        <f t="shared" si="34"/>
        <v>19.736000000000004</v>
      </c>
      <c r="V37">
        <f t="shared" si="35"/>
        <v>0</v>
      </c>
      <c r="W37">
        <f t="shared" si="36"/>
        <v>0</v>
      </c>
      <c r="X37">
        <f t="shared" si="37"/>
        <v>3750</v>
      </c>
      <c r="Y37">
        <f t="shared" si="38"/>
        <v>535.71</v>
      </c>
      <c r="AA37">
        <v>72192302</v>
      </c>
      <c r="AB37">
        <f t="shared" si="39"/>
        <v>13962.07</v>
      </c>
      <c r="AC37">
        <f t="shared" si="40"/>
        <v>539.47</v>
      </c>
      <c r="AD37">
        <f t="shared" si="41"/>
        <v>29.75</v>
      </c>
      <c r="AE37">
        <f t="shared" si="42"/>
        <v>0.85</v>
      </c>
      <c r="AF37">
        <f t="shared" si="42"/>
        <v>13392.85</v>
      </c>
      <c r="AG37">
        <f t="shared" si="43"/>
        <v>0</v>
      </c>
      <c r="AH37">
        <f t="shared" si="44"/>
        <v>49.34</v>
      </c>
      <c r="AI37">
        <f t="shared" si="44"/>
        <v>0</v>
      </c>
      <c r="AJ37">
        <f t="shared" si="45"/>
        <v>0</v>
      </c>
      <c r="AK37">
        <v>13962.07</v>
      </c>
      <c r="AL37">
        <v>539.47</v>
      </c>
      <c r="AM37">
        <v>29.75</v>
      </c>
      <c r="AN37">
        <v>0.85</v>
      </c>
      <c r="AO37">
        <v>13392.85</v>
      </c>
      <c r="AP37">
        <v>0</v>
      </c>
      <c r="AQ37">
        <v>49.34</v>
      </c>
      <c r="AR37">
        <v>0</v>
      </c>
      <c r="AS37">
        <v>0</v>
      </c>
      <c r="AT37">
        <v>70</v>
      </c>
      <c r="AU37">
        <v>10</v>
      </c>
      <c r="AV37">
        <v>1</v>
      </c>
      <c r="AW37">
        <v>1</v>
      </c>
      <c r="AZ37">
        <v>1</v>
      </c>
      <c r="BA37">
        <v>1</v>
      </c>
      <c r="BB37">
        <v>1</v>
      </c>
      <c r="BC37">
        <v>1</v>
      </c>
      <c r="BD37" t="s">
        <v>3</v>
      </c>
      <c r="BE37" t="s">
        <v>3</v>
      </c>
      <c r="BF37" t="s">
        <v>3</v>
      </c>
      <c r="BG37" t="s">
        <v>3</v>
      </c>
      <c r="BH37">
        <v>0</v>
      </c>
      <c r="BI37">
        <v>4</v>
      </c>
      <c r="BJ37" t="s">
        <v>47</v>
      </c>
      <c r="BM37">
        <v>0</v>
      </c>
      <c r="BN37">
        <v>0</v>
      </c>
      <c r="BO37" t="s">
        <v>3</v>
      </c>
      <c r="BP37">
        <v>0</v>
      </c>
      <c r="BQ37">
        <v>1</v>
      </c>
      <c r="BR37">
        <v>0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70</v>
      </c>
      <c r="CA37">
        <v>10</v>
      </c>
      <c r="CB37" t="s">
        <v>3</v>
      </c>
      <c r="CE37">
        <v>0</v>
      </c>
      <c r="CF37">
        <v>0</v>
      </c>
      <c r="CG37">
        <v>0</v>
      </c>
      <c r="CM37">
        <v>0</v>
      </c>
      <c r="CN37" t="s">
        <v>3</v>
      </c>
      <c r="CO37">
        <v>0</v>
      </c>
      <c r="CP37">
        <f t="shared" si="46"/>
        <v>5584.83</v>
      </c>
      <c r="CQ37">
        <f t="shared" si="47"/>
        <v>539.47</v>
      </c>
      <c r="CR37">
        <f t="shared" si="48"/>
        <v>29.75</v>
      </c>
      <c r="CS37">
        <f t="shared" si="49"/>
        <v>0.85</v>
      </c>
      <c r="CT37">
        <f t="shared" si="50"/>
        <v>13392.85</v>
      </c>
      <c r="CU37">
        <f t="shared" si="51"/>
        <v>0</v>
      </c>
      <c r="CV37">
        <f t="shared" si="52"/>
        <v>49.34</v>
      </c>
      <c r="CW37">
        <f t="shared" si="53"/>
        <v>0</v>
      </c>
      <c r="CX37">
        <f t="shared" si="54"/>
        <v>0</v>
      </c>
      <c r="CY37">
        <f t="shared" si="55"/>
        <v>3749.9980000000005</v>
      </c>
      <c r="CZ37">
        <f t="shared" si="56"/>
        <v>535.71400000000006</v>
      </c>
      <c r="DC37" t="s">
        <v>3</v>
      </c>
      <c r="DD37" t="s">
        <v>3</v>
      </c>
      <c r="DE37" t="s">
        <v>3</v>
      </c>
      <c r="DF37" t="s">
        <v>3</v>
      </c>
      <c r="DG37" t="s">
        <v>3</v>
      </c>
      <c r="DH37" t="s">
        <v>3</v>
      </c>
      <c r="DI37" t="s">
        <v>3</v>
      </c>
      <c r="DJ37" t="s">
        <v>3</v>
      </c>
      <c r="DK37" t="s">
        <v>3</v>
      </c>
      <c r="DL37" t="s">
        <v>3</v>
      </c>
      <c r="DM37" t="s">
        <v>3</v>
      </c>
      <c r="DN37">
        <v>0</v>
      </c>
      <c r="DO37">
        <v>0</v>
      </c>
      <c r="DP37">
        <v>1</v>
      </c>
      <c r="DQ37">
        <v>1</v>
      </c>
      <c r="DU37">
        <v>1003</v>
      </c>
      <c r="DV37" t="s">
        <v>20</v>
      </c>
      <c r="DW37" t="s">
        <v>20</v>
      </c>
      <c r="DX37">
        <v>100</v>
      </c>
      <c r="DZ37" t="s">
        <v>3</v>
      </c>
      <c r="EA37" t="s">
        <v>3</v>
      </c>
      <c r="EB37" t="s">
        <v>3</v>
      </c>
      <c r="EC37" t="s">
        <v>3</v>
      </c>
      <c r="EE37">
        <v>71753531</v>
      </c>
      <c r="EF37">
        <v>1</v>
      </c>
      <c r="EG37" t="s">
        <v>22</v>
      </c>
      <c r="EH37">
        <v>0</v>
      </c>
      <c r="EI37" t="s">
        <v>3</v>
      </c>
      <c r="EJ37">
        <v>4</v>
      </c>
      <c r="EK37">
        <v>0</v>
      </c>
      <c r="EL37" t="s">
        <v>23</v>
      </c>
      <c r="EM37" t="s">
        <v>24</v>
      </c>
      <c r="EO37" t="s">
        <v>3</v>
      </c>
      <c r="EQ37">
        <v>0</v>
      </c>
      <c r="ER37">
        <v>13962.07</v>
      </c>
      <c r="ES37">
        <v>539.47</v>
      </c>
      <c r="ET37">
        <v>29.75</v>
      </c>
      <c r="EU37">
        <v>0.85</v>
      </c>
      <c r="EV37">
        <v>13392.85</v>
      </c>
      <c r="EW37">
        <v>49.34</v>
      </c>
      <c r="EX37">
        <v>0</v>
      </c>
      <c r="EY37">
        <v>0</v>
      </c>
      <c r="FQ37">
        <v>0</v>
      </c>
      <c r="FR37">
        <f t="shared" si="57"/>
        <v>0</v>
      </c>
      <c r="FS37">
        <v>0</v>
      </c>
      <c r="FX37">
        <v>70</v>
      </c>
      <c r="FY37">
        <v>10</v>
      </c>
      <c r="GA37" t="s">
        <v>3</v>
      </c>
      <c r="GD37">
        <v>0</v>
      </c>
      <c r="GF37">
        <v>393771794</v>
      </c>
      <c r="GG37">
        <v>2</v>
      </c>
      <c r="GH37">
        <v>1</v>
      </c>
      <c r="GI37">
        <v>-2</v>
      </c>
      <c r="GJ37">
        <v>0</v>
      </c>
      <c r="GK37">
        <f>ROUND(R37*(R12)/100,2)</f>
        <v>0.37</v>
      </c>
      <c r="GL37">
        <f t="shared" si="58"/>
        <v>0</v>
      </c>
      <c r="GM37">
        <f t="shared" si="59"/>
        <v>9870.91</v>
      </c>
      <c r="GN37">
        <f t="shared" si="60"/>
        <v>0</v>
      </c>
      <c r="GO37">
        <f t="shared" si="61"/>
        <v>0</v>
      </c>
      <c r="GP37">
        <f t="shared" si="62"/>
        <v>9870.91</v>
      </c>
      <c r="GR37">
        <v>0</v>
      </c>
      <c r="GS37">
        <v>3</v>
      </c>
      <c r="GT37">
        <v>0</v>
      </c>
      <c r="GU37" t="s">
        <v>3</v>
      </c>
      <c r="GV37">
        <f t="shared" si="63"/>
        <v>0</v>
      </c>
      <c r="GW37">
        <v>1</v>
      </c>
      <c r="GX37">
        <f t="shared" si="64"/>
        <v>0</v>
      </c>
      <c r="HA37">
        <v>0</v>
      </c>
      <c r="HB37">
        <v>0</v>
      </c>
      <c r="HC37">
        <f t="shared" si="65"/>
        <v>0</v>
      </c>
      <c r="HE37" t="s">
        <v>3</v>
      </c>
      <c r="HF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IK37">
        <v>0</v>
      </c>
    </row>
    <row r="38" spans="1:245" x14ac:dyDescent="0.2">
      <c r="A38">
        <v>18</v>
      </c>
      <c r="B38">
        <v>1</v>
      </c>
      <c r="E38" t="s">
        <v>48</v>
      </c>
      <c r="F38" t="s">
        <v>36</v>
      </c>
      <c r="G38" t="s">
        <v>37</v>
      </c>
      <c r="H38" t="s">
        <v>38</v>
      </c>
      <c r="I38">
        <f>I37*J38</f>
        <v>-0.18160000000000001</v>
      </c>
      <c r="J38">
        <v>-0.45400000000000001</v>
      </c>
      <c r="K38">
        <v>-0.45400000000000001</v>
      </c>
      <c r="O38">
        <f t="shared" si="28"/>
        <v>0</v>
      </c>
      <c r="P38">
        <f t="shared" si="29"/>
        <v>0</v>
      </c>
      <c r="Q38">
        <f t="shared" si="30"/>
        <v>0</v>
      </c>
      <c r="R38">
        <f t="shared" si="31"/>
        <v>0</v>
      </c>
      <c r="S38">
        <f t="shared" si="32"/>
        <v>0</v>
      </c>
      <c r="T38">
        <f t="shared" si="33"/>
        <v>0</v>
      </c>
      <c r="U38">
        <f t="shared" si="34"/>
        <v>0</v>
      </c>
      <c r="V38">
        <f t="shared" si="35"/>
        <v>0</v>
      </c>
      <c r="W38">
        <f t="shared" si="36"/>
        <v>0</v>
      </c>
      <c r="X38">
        <f t="shared" si="37"/>
        <v>0</v>
      </c>
      <c r="Y38">
        <f t="shared" si="38"/>
        <v>0</v>
      </c>
      <c r="AA38">
        <v>72192302</v>
      </c>
      <c r="AB38">
        <f t="shared" si="39"/>
        <v>0</v>
      </c>
      <c r="AC38">
        <f t="shared" si="40"/>
        <v>0</v>
      </c>
      <c r="AD38">
        <f t="shared" si="41"/>
        <v>0</v>
      </c>
      <c r="AE38">
        <f t="shared" si="42"/>
        <v>0</v>
      </c>
      <c r="AF38">
        <f t="shared" si="42"/>
        <v>0</v>
      </c>
      <c r="AG38">
        <f t="shared" si="43"/>
        <v>0</v>
      </c>
      <c r="AH38">
        <f t="shared" si="44"/>
        <v>0</v>
      </c>
      <c r="AI38">
        <f t="shared" si="44"/>
        <v>0</v>
      </c>
      <c r="AJ38">
        <f t="shared" si="45"/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70</v>
      </c>
      <c r="AU38">
        <v>10</v>
      </c>
      <c r="AV38">
        <v>1</v>
      </c>
      <c r="AW38">
        <v>1</v>
      </c>
      <c r="AZ38">
        <v>1</v>
      </c>
      <c r="BA38">
        <v>1</v>
      </c>
      <c r="BB38">
        <v>1</v>
      </c>
      <c r="BC38">
        <v>1</v>
      </c>
      <c r="BD38" t="s">
        <v>3</v>
      </c>
      <c r="BE38" t="s">
        <v>3</v>
      </c>
      <c r="BF38" t="s">
        <v>3</v>
      </c>
      <c r="BG38" t="s">
        <v>3</v>
      </c>
      <c r="BH38">
        <v>3</v>
      </c>
      <c r="BI38">
        <v>4</v>
      </c>
      <c r="BJ38" t="s">
        <v>3</v>
      </c>
      <c r="BM38">
        <v>0</v>
      </c>
      <c r="BN38">
        <v>0</v>
      </c>
      <c r="BO38" t="s">
        <v>3</v>
      </c>
      <c r="BP38">
        <v>0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 t="s">
        <v>3</v>
      </c>
      <c r="BZ38">
        <v>70</v>
      </c>
      <c r="CA38">
        <v>10</v>
      </c>
      <c r="CB38" t="s">
        <v>3</v>
      </c>
      <c r="CE38">
        <v>0</v>
      </c>
      <c r="CF38">
        <v>0</v>
      </c>
      <c r="CG38">
        <v>0</v>
      </c>
      <c r="CM38">
        <v>0</v>
      </c>
      <c r="CN38" t="s">
        <v>3</v>
      </c>
      <c r="CO38">
        <v>0</v>
      </c>
      <c r="CP38">
        <f t="shared" si="46"/>
        <v>0</v>
      </c>
      <c r="CQ38">
        <f t="shared" si="47"/>
        <v>0</v>
      </c>
      <c r="CR38">
        <f t="shared" si="48"/>
        <v>0</v>
      </c>
      <c r="CS38">
        <f t="shared" si="49"/>
        <v>0</v>
      </c>
      <c r="CT38">
        <f t="shared" si="50"/>
        <v>0</v>
      </c>
      <c r="CU38">
        <f t="shared" si="51"/>
        <v>0</v>
      </c>
      <c r="CV38">
        <f t="shared" si="52"/>
        <v>0</v>
      </c>
      <c r="CW38">
        <f t="shared" si="53"/>
        <v>0</v>
      </c>
      <c r="CX38">
        <f t="shared" si="54"/>
        <v>0</v>
      </c>
      <c r="CY38">
        <f t="shared" si="55"/>
        <v>0</v>
      </c>
      <c r="CZ38">
        <f t="shared" si="56"/>
        <v>0</v>
      </c>
      <c r="DC38" t="s">
        <v>3</v>
      </c>
      <c r="DD38" t="s">
        <v>3</v>
      </c>
      <c r="DE38" t="s">
        <v>3</v>
      </c>
      <c r="DF38" t="s">
        <v>3</v>
      </c>
      <c r="DG38" t="s">
        <v>3</v>
      </c>
      <c r="DH38" t="s">
        <v>3</v>
      </c>
      <c r="DI38" t="s">
        <v>3</v>
      </c>
      <c r="DJ38" t="s">
        <v>3</v>
      </c>
      <c r="DK38" t="s">
        <v>3</v>
      </c>
      <c r="DL38" t="s">
        <v>3</v>
      </c>
      <c r="DM38" t="s">
        <v>3</v>
      </c>
      <c r="DN38">
        <v>0</v>
      </c>
      <c r="DO38">
        <v>0</v>
      </c>
      <c r="DP38">
        <v>1</v>
      </c>
      <c r="DQ38">
        <v>1</v>
      </c>
      <c r="DU38">
        <v>1009</v>
      </c>
      <c r="DV38" t="s">
        <v>38</v>
      </c>
      <c r="DW38" t="s">
        <v>38</v>
      </c>
      <c r="DX38">
        <v>1000</v>
      </c>
      <c r="DZ38" t="s">
        <v>3</v>
      </c>
      <c r="EA38" t="s">
        <v>3</v>
      </c>
      <c r="EB38" t="s">
        <v>3</v>
      </c>
      <c r="EC38" t="s">
        <v>3</v>
      </c>
      <c r="EE38">
        <v>71753531</v>
      </c>
      <c r="EF38">
        <v>1</v>
      </c>
      <c r="EG38" t="s">
        <v>22</v>
      </c>
      <c r="EH38">
        <v>0</v>
      </c>
      <c r="EI38" t="s">
        <v>3</v>
      </c>
      <c r="EJ38">
        <v>4</v>
      </c>
      <c r="EK38">
        <v>0</v>
      </c>
      <c r="EL38" t="s">
        <v>23</v>
      </c>
      <c r="EM38" t="s">
        <v>24</v>
      </c>
      <c r="EO38" t="s">
        <v>3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FQ38">
        <v>0</v>
      </c>
      <c r="FR38">
        <f t="shared" si="57"/>
        <v>0</v>
      </c>
      <c r="FS38">
        <v>0</v>
      </c>
      <c r="FX38">
        <v>70</v>
      </c>
      <c r="FY38">
        <v>10</v>
      </c>
      <c r="GA38" t="s">
        <v>3</v>
      </c>
      <c r="GD38">
        <v>0</v>
      </c>
      <c r="GF38">
        <v>1489638031</v>
      </c>
      <c r="GG38">
        <v>2</v>
      </c>
      <c r="GH38">
        <v>1</v>
      </c>
      <c r="GI38">
        <v>-2</v>
      </c>
      <c r="GJ38">
        <v>0</v>
      </c>
      <c r="GK38">
        <f>ROUND(R38*(R12)/100,2)</f>
        <v>0</v>
      </c>
      <c r="GL38">
        <f t="shared" si="58"/>
        <v>0</v>
      </c>
      <c r="GM38">
        <f t="shared" si="59"/>
        <v>0</v>
      </c>
      <c r="GN38">
        <f t="shared" si="60"/>
        <v>0</v>
      </c>
      <c r="GO38">
        <f t="shared" si="61"/>
        <v>0</v>
      </c>
      <c r="GP38">
        <f t="shared" si="62"/>
        <v>0</v>
      </c>
      <c r="GR38">
        <v>0</v>
      </c>
      <c r="GS38">
        <v>3</v>
      </c>
      <c r="GT38">
        <v>0</v>
      </c>
      <c r="GU38" t="s">
        <v>3</v>
      </c>
      <c r="GV38">
        <f t="shared" si="63"/>
        <v>0</v>
      </c>
      <c r="GW38">
        <v>1</v>
      </c>
      <c r="GX38">
        <f t="shared" si="64"/>
        <v>0</v>
      </c>
      <c r="HA38">
        <v>0</v>
      </c>
      <c r="HB38">
        <v>0</v>
      </c>
      <c r="HC38">
        <f t="shared" si="65"/>
        <v>0</v>
      </c>
      <c r="HE38" t="s">
        <v>3</v>
      </c>
      <c r="HF38" t="s">
        <v>3</v>
      </c>
      <c r="HM38" t="s">
        <v>3</v>
      </c>
      <c r="HN38" t="s">
        <v>3</v>
      </c>
      <c r="HO38" t="s">
        <v>3</v>
      </c>
      <c r="HP38" t="s">
        <v>3</v>
      </c>
      <c r="HQ38" t="s">
        <v>3</v>
      </c>
      <c r="IK38">
        <v>0</v>
      </c>
    </row>
    <row r="39" spans="1:245" x14ac:dyDescent="0.2">
      <c r="A39">
        <v>17</v>
      </c>
      <c r="B39">
        <v>1</v>
      </c>
      <c r="D39">
        <f>ROW(EtalonRes!A14)</f>
        <v>14</v>
      </c>
      <c r="E39" t="s">
        <v>49</v>
      </c>
      <c r="F39" t="s">
        <v>783</v>
      </c>
      <c r="G39" t="s">
        <v>50</v>
      </c>
      <c r="H39" t="s">
        <v>51</v>
      </c>
      <c r="I39">
        <v>15</v>
      </c>
      <c r="J39">
        <v>0</v>
      </c>
      <c r="K39">
        <v>15</v>
      </c>
      <c r="O39">
        <f t="shared" si="28"/>
        <v>706.65</v>
      </c>
      <c r="P39">
        <f t="shared" si="29"/>
        <v>0</v>
      </c>
      <c r="Q39">
        <f t="shared" si="30"/>
        <v>0</v>
      </c>
      <c r="R39">
        <f t="shared" si="31"/>
        <v>0</v>
      </c>
      <c r="S39">
        <f t="shared" si="32"/>
        <v>706.65</v>
      </c>
      <c r="T39">
        <f t="shared" si="33"/>
        <v>0</v>
      </c>
      <c r="U39">
        <f t="shared" si="34"/>
        <v>2.85</v>
      </c>
      <c r="V39">
        <f t="shared" si="35"/>
        <v>0</v>
      </c>
      <c r="W39">
        <f t="shared" si="36"/>
        <v>0</v>
      </c>
      <c r="X39">
        <f t="shared" si="37"/>
        <v>494.66</v>
      </c>
      <c r="Y39">
        <f t="shared" si="38"/>
        <v>70.67</v>
      </c>
      <c r="AA39">
        <v>72192302</v>
      </c>
      <c r="AB39">
        <f t="shared" si="39"/>
        <v>47.11</v>
      </c>
      <c r="AC39">
        <f t="shared" si="40"/>
        <v>0</v>
      </c>
      <c r="AD39">
        <f t="shared" si="41"/>
        <v>0</v>
      </c>
      <c r="AE39">
        <f t="shared" si="42"/>
        <v>0</v>
      </c>
      <c r="AF39">
        <f t="shared" si="42"/>
        <v>47.11</v>
      </c>
      <c r="AG39">
        <f t="shared" si="43"/>
        <v>0</v>
      </c>
      <c r="AH39">
        <f t="shared" si="44"/>
        <v>0.19</v>
      </c>
      <c r="AI39">
        <f t="shared" si="44"/>
        <v>0</v>
      </c>
      <c r="AJ39">
        <f t="shared" si="45"/>
        <v>0</v>
      </c>
      <c r="AK39">
        <v>47.11</v>
      </c>
      <c r="AL39">
        <v>0</v>
      </c>
      <c r="AM39">
        <v>0</v>
      </c>
      <c r="AN39">
        <v>0</v>
      </c>
      <c r="AO39">
        <v>47.11</v>
      </c>
      <c r="AP39">
        <v>0</v>
      </c>
      <c r="AQ39">
        <v>0.19</v>
      </c>
      <c r="AR39">
        <v>0</v>
      </c>
      <c r="AS39">
        <v>0</v>
      </c>
      <c r="AT39">
        <v>70</v>
      </c>
      <c r="AU39">
        <v>10</v>
      </c>
      <c r="AV39">
        <v>1</v>
      </c>
      <c r="AW39">
        <v>1</v>
      </c>
      <c r="AZ39">
        <v>1</v>
      </c>
      <c r="BA39">
        <v>1</v>
      </c>
      <c r="BB39">
        <v>1</v>
      </c>
      <c r="BC39">
        <v>1</v>
      </c>
      <c r="BD39" t="s">
        <v>3</v>
      </c>
      <c r="BE39" t="s">
        <v>3</v>
      </c>
      <c r="BF39" t="s">
        <v>3</v>
      </c>
      <c r="BG39" t="s">
        <v>3</v>
      </c>
      <c r="BH39">
        <v>0</v>
      </c>
      <c r="BI39">
        <v>4</v>
      </c>
      <c r="BJ39" t="s">
        <v>52</v>
      </c>
      <c r="BM39">
        <v>0</v>
      </c>
      <c r="BN39">
        <v>0</v>
      </c>
      <c r="BO39" t="s">
        <v>3</v>
      </c>
      <c r="BP39">
        <v>0</v>
      </c>
      <c r="BQ39">
        <v>1</v>
      </c>
      <c r="BR39">
        <v>0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 t="s">
        <v>3</v>
      </c>
      <c r="BZ39">
        <v>70</v>
      </c>
      <c r="CA39">
        <v>10</v>
      </c>
      <c r="CB39" t="s">
        <v>3</v>
      </c>
      <c r="CE39">
        <v>0</v>
      </c>
      <c r="CF39">
        <v>0</v>
      </c>
      <c r="CG39">
        <v>0</v>
      </c>
      <c r="CM39">
        <v>0</v>
      </c>
      <c r="CN39" t="s">
        <v>3</v>
      </c>
      <c r="CO39">
        <v>0</v>
      </c>
      <c r="CP39">
        <f t="shared" si="46"/>
        <v>706.65</v>
      </c>
      <c r="CQ39">
        <f t="shared" si="47"/>
        <v>0</v>
      </c>
      <c r="CR39">
        <f t="shared" si="48"/>
        <v>0</v>
      </c>
      <c r="CS39">
        <f t="shared" si="49"/>
        <v>0</v>
      </c>
      <c r="CT39">
        <f t="shared" si="50"/>
        <v>47.11</v>
      </c>
      <c r="CU39">
        <f t="shared" si="51"/>
        <v>0</v>
      </c>
      <c r="CV39">
        <f t="shared" si="52"/>
        <v>0.19</v>
      </c>
      <c r="CW39">
        <f t="shared" si="53"/>
        <v>0</v>
      </c>
      <c r="CX39">
        <f t="shared" si="54"/>
        <v>0</v>
      </c>
      <c r="CY39">
        <f t="shared" si="55"/>
        <v>494.65499999999997</v>
      </c>
      <c r="CZ39">
        <f t="shared" si="56"/>
        <v>70.665000000000006</v>
      </c>
      <c r="DC39" t="s">
        <v>3</v>
      </c>
      <c r="DD39" t="s">
        <v>3</v>
      </c>
      <c r="DE39" t="s">
        <v>3</v>
      </c>
      <c r="DF39" t="s">
        <v>3</v>
      </c>
      <c r="DG39" t="s">
        <v>3</v>
      </c>
      <c r="DH39" t="s">
        <v>3</v>
      </c>
      <c r="DI39" t="s">
        <v>3</v>
      </c>
      <c r="DJ39" t="s">
        <v>3</v>
      </c>
      <c r="DK39" t="s">
        <v>3</v>
      </c>
      <c r="DL39" t="s">
        <v>3</v>
      </c>
      <c r="DM39" t="s">
        <v>3</v>
      </c>
      <c r="DN39">
        <v>0</v>
      </c>
      <c r="DO39">
        <v>0</v>
      </c>
      <c r="DP39">
        <v>1</v>
      </c>
      <c r="DQ39">
        <v>1</v>
      </c>
      <c r="DU39">
        <v>1010</v>
      </c>
      <c r="DV39" t="s">
        <v>51</v>
      </c>
      <c r="DW39" t="s">
        <v>51</v>
      </c>
      <c r="DX39">
        <v>1</v>
      </c>
      <c r="DZ39" t="s">
        <v>3</v>
      </c>
      <c r="EA39" t="s">
        <v>3</v>
      </c>
      <c r="EB39" t="s">
        <v>3</v>
      </c>
      <c r="EC39" t="s">
        <v>3</v>
      </c>
      <c r="EE39">
        <v>71753531</v>
      </c>
      <c r="EF39">
        <v>1</v>
      </c>
      <c r="EG39" t="s">
        <v>22</v>
      </c>
      <c r="EH39">
        <v>0</v>
      </c>
      <c r="EI39" t="s">
        <v>3</v>
      </c>
      <c r="EJ39">
        <v>4</v>
      </c>
      <c r="EK39">
        <v>0</v>
      </c>
      <c r="EL39" t="s">
        <v>23</v>
      </c>
      <c r="EM39" t="s">
        <v>24</v>
      </c>
      <c r="EO39" t="s">
        <v>3</v>
      </c>
      <c r="EQ39">
        <v>0</v>
      </c>
      <c r="ER39">
        <v>47.11</v>
      </c>
      <c r="ES39">
        <v>0</v>
      </c>
      <c r="ET39">
        <v>0</v>
      </c>
      <c r="EU39">
        <v>0</v>
      </c>
      <c r="EV39">
        <v>47.11</v>
      </c>
      <c r="EW39">
        <v>0.19</v>
      </c>
      <c r="EX39">
        <v>0</v>
      </c>
      <c r="EY39">
        <v>0</v>
      </c>
      <c r="FQ39">
        <v>0</v>
      </c>
      <c r="FR39">
        <f t="shared" si="57"/>
        <v>0</v>
      </c>
      <c r="FS39">
        <v>0</v>
      </c>
      <c r="FX39">
        <v>70</v>
      </c>
      <c r="FY39">
        <v>10</v>
      </c>
      <c r="GA39" t="s">
        <v>3</v>
      </c>
      <c r="GD39">
        <v>0</v>
      </c>
      <c r="GF39">
        <v>-873001244</v>
      </c>
      <c r="GG39">
        <v>2</v>
      </c>
      <c r="GH39">
        <v>1</v>
      </c>
      <c r="GI39">
        <v>-2</v>
      </c>
      <c r="GJ39">
        <v>0</v>
      </c>
      <c r="GK39">
        <f>ROUND(R39*(R12)/100,2)</f>
        <v>0</v>
      </c>
      <c r="GL39">
        <f t="shared" si="58"/>
        <v>0</v>
      </c>
      <c r="GM39">
        <f t="shared" si="59"/>
        <v>1271.98</v>
      </c>
      <c r="GN39">
        <f t="shared" si="60"/>
        <v>0</v>
      </c>
      <c r="GO39">
        <f t="shared" si="61"/>
        <v>0</v>
      </c>
      <c r="GP39">
        <f t="shared" si="62"/>
        <v>1271.98</v>
      </c>
      <c r="GR39">
        <v>0</v>
      </c>
      <c r="GS39">
        <v>3</v>
      </c>
      <c r="GT39">
        <v>0</v>
      </c>
      <c r="GU39" t="s">
        <v>3</v>
      </c>
      <c r="GV39">
        <f t="shared" si="63"/>
        <v>0</v>
      </c>
      <c r="GW39">
        <v>1</v>
      </c>
      <c r="GX39">
        <f t="shared" si="64"/>
        <v>0</v>
      </c>
      <c r="HA39">
        <v>0</v>
      </c>
      <c r="HB39">
        <v>0</v>
      </c>
      <c r="HC39">
        <f t="shared" si="65"/>
        <v>0</v>
      </c>
      <c r="HE39" t="s">
        <v>3</v>
      </c>
      <c r="HF39" t="s">
        <v>3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IK39">
        <v>0</v>
      </c>
    </row>
    <row r="40" spans="1:245" x14ac:dyDescent="0.2">
      <c r="A40">
        <v>17</v>
      </c>
      <c r="B40">
        <v>1</v>
      </c>
      <c r="D40">
        <f>ROW(EtalonRes!A19)</f>
        <v>19</v>
      </c>
      <c r="E40" t="s">
        <v>53</v>
      </c>
      <c r="F40" t="s">
        <v>54</v>
      </c>
      <c r="G40" t="s">
        <v>55</v>
      </c>
      <c r="H40" t="s">
        <v>38</v>
      </c>
      <c r="I40">
        <v>0.13744000000000001</v>
      </c>
      <c r="J40">
        <v>0</v>
      </c>
      <c r="K40">
        <v>0.13744000000000001</v>
      </c>
      <c r="O40">
        <f t="shared" si="28"/>
        <v>1320.57</v>
      </c>
      <c r="P40">
        <f t="shared" si="29"/>
        <v>0</v>
      </c>
      <c r="Q40">
        <f t="shared" si="30"/>
        <v>26.19</v>
      </c>
      <c r="R40">
        <f t="shared" si="31"/>
        <v>1.34</v>
      </c>
      <c r="S40">
        <f t="shared" si="32"/>
        <v>1294.3800000000001</v>
      </c>
      <c r="T40">
        <f t="shared" si="33"/>
        <v>0</v>
      </c>
      <c r="U40">
        <f t="shared" si="34"/>
        <v>3.6668992000000005</v>
      </c>
      <c r="V40">
        <f t="shared" si="35"/>
        <v>0</v>
      </c>
      <c r="W40">
        <f t="shared" si="36"/>
        <v>0</v>
      </c>
      <c r="X40">
        <f t="shared" si="37"/>
        <v>906.07</v>
      </c>
      <c r="Y40">
        <f t="shared" si="38"/>
        <v>129.44</v>
      </c>
      <c r="AA40">
        <v>72192302</v>
      </c>
      <c r="AB40">
        <f t="shared" si="39"/>
        <v>9608.36</v>
      </c>
      <c r="AC40">
        <f>ROUND(((ES40*0)),6)</f>
        <v>0</v>
      </c>
      <c r="AD40">
        <f>ROUND(((((ET40*0.2))-((EU40*0.2)))+AE40),6)</f>
        <v>190.58799999999999</v>
      </c>
      <c r="AE40">
        <f>ROUND(((EU40*0.2)),6)</f>
        <v>9.7439999999999998</v>
      </c>
      <c r="AF40">
        <f>ROUND(((EV40*0.2)),6)</f>
        <v>9417.7720000000008</v>
      </c>
      <c r="AG40">
        <f t="shared" si="43"/>
        <v>0</v>
      </c>
      <c r="AH40">
        <f>((EW40*0.2))</f>
        <v>26.680000000000003</v>
      </c>
      <c r="AI40">
        <f>((EX40*0.2))</f>
        <v>0</v>
      </c>
      <c r="AJ40">
        <f t="shared" si="45"/>
        <v>0</v>
      </c>
      <c r="AK40">
        <v>188846.85</v>
      </c>
      <c r="AL40">
        <v>140805.04999999999</v>
      </c>
      <c r="AM40">
        <v>952.94</v>
      </c>
      <c r="AN40">
        <v>48.72</v>
      </c>
      <c r="AO40">
        <v>47088.86</v>
      </c>
      <c r="AP40">
        <v>0</v>
      </c>
      <c r="AQ40">
        <v>133.4</v>
      </c>
      <c r="AR40">
        <v>0</v>
      </c>
      <c r="AS40">
        <v>0</v>
      </c>
      <c r="AT40">
        <v>70</v>
      </c>
      <c r="AU40">
        <v>10</v>
      </c>
      <c r="AV40">
        <v>1</v>
      </c>
      <c r="AW40">
        <v>1</v>
      </c>
      <c r="AZ40">
        <v>1</v>
      </c>
      <c r="BA40">
        <v>1</v>
      </c>
      <c r="BB40">
        <v>1</v>
      </c>
      <c r="BC40">
        <v>1</v>
      </c>
      <c r="BD40" t="s">
        <v>3</v>
      </c>
      <c r="BE40" t="s">
        <v>3</v>
      </c>
      <c r="BF40" t="s">
        <v>3</v>
      </c>
      <c r="BG40" t="s">
        <v>3</v>
      </c>
      <c r="BH40">
        <v>0</v>
      </c>
      <c r="BI40">
        <v>4</v>
      </c>
      <c r="BJ40" t="s">
        <v>56</v>
      </c>
      <c r="BM40">
        <v>0</v>
      </c>
      <c r="BN40">
        <v>0</v>
      </c>
      <c r="BO40" t="s">
        <v>3</v>
      </c>
      <c r="BP40">
        <v>0</v>
      </c>
      <c r="BQ40">
        <v>1</v>
      </c>
      <c r="BR40">
        <v>0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 t="s">
        <v>3</v>
      </c>
      <c r="BZ40">
        <v>70</v>
      </c>
      <c r="CA40">
        <v>10</v>
      </c>
      <c r="CB40" t="s">
        <v>3</v>
      </c>
      <c r="CE40">
        <v>0</v>
      </c>
      <c r="CF40">
        <v>0</v>
      </c>
      <c r="CG40">
        <v>0</v>
      </c>
      <c r="CM40">
        <v>0</v>
      </c>
      <c r="CN40" t="s">
        <v>669</v>
      </c>
      <c r="CO40">
        <v>0</v>
      </c>
      <c r="CP40">
        <f t="shared" si="46"/>
        <v>1320.5700000000002</v>
      </c>
      <c r="CQ40">
        <f t="shared" si="47"/>
        <v>0</v>
      </c>
      <c r="CR40">
        <f>(((((ET40*0.2))*BB40-((EU40*0.2))*BS40)+AE40*BS40)*AV40)</f>
        <v>190.58800000000002</v>
      </c>
      <c r="CS40">
        <f t="shared" si="49"/>
        <v>9.7439999999999998</v>
      </c>
      <c r="CT40">
        <f t="shared" si="50"/>
        <v>9417.7720000000008</v>
      </c>
      <c r="CU40">
        <f t="shared" si="51"/>
        <v>0</v>
      </c>
      <c r="CV40">
        <f t="shared" si="52"/>
        <v>26.680000000000003</v>
      </c>
      <c r="CW40">
        <f t="shared" si="53"/>
        <v>0</v>
      </c>
      <c r="CX40">
        <f t="shared" si="54"/>
        <v>0</v>
      </c>
      <c r="CY40">
        <f t="shared" si="55"/>
        <v>906.06600000000003</v>
      </c>
      <c r="CZ40">
        <f t="shared" si="56"/>
        <v>129.43800000000002</v>
      </c>
      <c r="DC40" t="s">
        <v>3</v>
      </c>
      <c r="DD40" t="s">
        <v>57</v>
      </c>
      <c r="DE40" t="s">
        <v>58</v>
      </c>
      <c r="DF40" t="s">
        <v>58</v>
      </c>
      <c r="DG40" t="s">
        <v>58</v>
      </c>
      <c r="DH40" t="s">
        <v>3</v>
      </c>
      <c r="DI40" t="s">
        <v>58</v>
      </c>
      <c r="DJ40" t="s">
        <v>58</v>
      </c>
      <c r="DK40" t="s">
        <v>3</v>
      </c>
      <c r="DL40" t="s">
        <v>3</v>
      </c>
      <c r="DM40" t="s">
        <v>3</v>
      </c>
      <c r="DN40">
        <v>0</v>
      </c>
      <c r="DO40">
        <v>0</v>
      </c>
      <c r="DP40">
        <v>1</v>
      </c>
      <c r="DQ40">
        <v>1</v>
      </c>
      <c r="DU40">
        <v>1009</v>
      </c>
      <c r="DV40" t="s">
        <v>38</v>
      </c>
      <c r="DW40" t="s">
        <v>38</v>
      </c>
      <c r="DX40">
        <v>1000</v>
      </c>
      <c r="DZ40" t="s">
        <v>3</v>
      </c>
      <c r="EA40" t="s">
        <v>3</v>
      </c>
      <c r="EB40" t="s">
        <v>3</v>
      </c>
      <c r="EC40" t="s">
        <v>3</v>
      </c>
      <c r="EE40">
        <v>71753531</v>
      </c>
      <c r="EF40">
        <v>1</v>
      </c>
      <c r="EG40" t="s">
        <v>22</v>
      </c>
      <c r="EH40">
        <v>0</v>
      </c>
      <c r="EI40" t="s">
        <v>3</v>
      </c>
      <c r="EJ40">
        <v>4</v>
      </c>
      <c r="EK40">
        <v>0</v>
      </c>
      <c r="EL40" t="s">
        <v>23</v>
      </c>
      <c r="EM40" t="s">
        <v>24</v>
      </c>
      <c r="EO40" t="s">
        <v>59</v>
      </c>
      <c r="EQ40">
        <v>0</v>
      </c>
      <c r="ER40">
        <v>188846.85</v>
      </c>
      <c r="ES40">
        <v>140805.04999999999</v>
      </c>
      <c r="ET40">
        <v>952.94</v>
      </c>
      <c r="EU40">
        <v>48.72</v>
      </c>
      <c r="EV40">
        <v>47088.86</v>
      </c>
      <c r="EW40">
        <v>133.4</v>
      </c>
      <c r="EX40">
        <v>0</v>
      </c>
      <c r="EY40">
        <v>0</v>
      </c>
      <c r="FQ40">
        <v>0</v>
      </c>
      <c r="FR40">
        <f t="shared" si="57"/>
        <v>0</v>
      </c>
      <c r="FS40">
        <v>0</v>
      </c>
      <c r="FX40">
        <v>70</v>
      </c>
      <c r="FY40">
        <v>10</v>
      </c>
      <c r="GA40" t="s">
        <v>3</v>
      </c>
      <c r="GD40">
        <v>0</v>
      </c>
      <c r="GF40">
        <v>606636601</v>
      </c>
      <c r="GG40">
        <v>2</v>
      </c>
      <c r="GH40">
        <v>1</v>
      </c>
      <c r="GI40">
        <v>-2</v>
      </c>
      <c r="GJ40">
        <v>0</v>
      </c>
      <c r="GK40">
        <f>ROUND(R40*(R12)/100,2)</f>
        <v>1.45</v>
      </c>
      <c r="GL40">
        <f t="shared" si="58"/>
        <v>0</v>
      </c>
      <c r="GM40">
        <f t="shared" si="59"/>
        <v>2357.5300000000002</v>
      </c>
      <c r="GN40">
        <f t="shared" si="60"/>
        <v>0</v>
      </c>
      <c r="GO40">
        <f t="shared" si="61"/>
        <v>0</v>
      </c>
      <c r="GP40">
        <f t="shared" si="62"/>
        <v>2357.5300000000002</v>
      </c>
      <c r="GR40">
        <v>0</v>
      </c>
      <c r="GS40">
        <v>3</v>
      </c>
      <c r="GT40">
        <v>0</v>
      </c>
      <c r="GU40" t="s">
        <v>3</v>
      </c>
      <c r="GV40">
        <f t="shared" si="63"/>
        <v>0</v>
      </c>
      <c r="GW40">
        <v>1</v>
      </c>
      <c r="GX40">
        <f t="shared" si="64"/>
        <v>0</v>
      </c>
      <c r="HA40">
        <v>0</v>
      </c>
      <c r="HB40">
        <v>0</v>
      </c>
      <c r="HC40">
        <f t="shared" si="65"/>
        <v>0</v>
      </c>
      <c r="HE40" t="s">
        <v>3</v>
      </c>
      <c r="HF40" t="s">
        <v>3</v>
      </c>
      <c r="HM40" t="s">
        <v>3</v>
      </c>
      <c r="HN40" t="s">
        <v>3</v>
      </c>
      <c r="HO40" t="s">
        <v>3</v>
      </c>
      <c r="HP40" t="s">
        <v>3</v>
      </c>
      <c r="HQ40" t="s">
        <v>3</v>
      </c>
      <c r="IK40">
        <v>0</v>
      </c>
    </row>
    <row r="41" spans="1:245" x14ac:dyDescent="0.2">
      <c r="A41">
        <v>17</v>
      </c>
      <c r="B41">
        <v>1</v>
      </c>
      <c r="D41">
        <f>ROW(EtalonRes!A22)</f>
        <v>22</v>
      </c>
      <c r="E41" t="s">
        <v>60</v>
      </c>
      <c r="F41" t="s">
        <v>61</v>
      </c>
      <c r="G41" t="s">
        <v>62</v>
      </c>
      <c r="H41" t="s">
        <v>33</v>
      </c>
      <c r="I41">
        <v>0.05</v>
      </c>
      <c r="J41">
        <v>0</v>
      </c>
      <c r="K41">
        <v>0.05</v>
      </c>
      <c r="O41">
        <f t="shared" si="28"/>
        <v>4699.3500000000004</v>
      </c>
      <c r="P41">
        <f t="shared" si="29"/>
        <v>0</v>
      </c>
      <c r="Q41">
        <f t="shared" si="30"/>
        <v>2237.66</v>
      </c>
      <c r="R41">
        <f t="shared" si="31"/>
        <v>1681.61</v>
      </c>
      <c r="S41">
        <f t="shared" si="32"/>
        <v>2461.69</v>
      </c>
      <c r="T41">
        <f t="shared" si="33"/>
        <v>0</v>
      </c>
      <c r="U41">
        <f t="shared" si="34"/>
        <v>7.7</v>
      </c>
      <c r="V41">
        <f t="shared" si="35"/>
        <v>0</v>
      </c>
      <c r="W41">
        <f t="shared" si="36"/>
        <v>0</v>
      </c>
      <c r="X41">
        <f t="shared" si="37"/>
        <v>1723.18</v>
      </c>
      <c r="Y41">
        <f t="shared" si="38"/>
        <v>246.17</v>
      </c>
      <c r="AA41">
        <v>72192302</v>
      </c>
      <c r="AB41">
        <f t="shared" si="39"/>
        <v>93987.05</v>
      </c>
      <c r="AC41">
        <f>ROUND((ES41),6)</f>
        <v>0</v>
      </c>
      <c r="AD41">
        <f>ROUND((((ET41)-(EU41))+AE41),6)</f>
        <v>44753.25</v>
      </c>
      <c r="AE41">
        <f>ROUND((EU41),6)</f>
        <v>33632.25</v>
      </c>
      <c r="AF41">
        <f>ROUND((EV41),6)</f>
        <v>49233.8</v>
      </c>
      <c r="AG41">
        <f t="shared" si="43"/>
        <v>0</v>
      </c>
      <c r="AH41">
        <f>(EW41)</f>
        <v>154</v>
      </c>
      <c r="AI41">
        <f>(EX41)</f>
        <v>0</v>
      </c>
      <c r="AJ41">
        <f t="shared" si="45"/>
        <v>0</v>
      </c>
      <c r="AK41">
        <v>93987.05</v>
      </c>
      <c r="AL41">
        <v>0</v>
      </c>
      <c r="AM41">
        <v>44753.25</v>
      </c>
      <c r="AN41">
        <v>33632.25</v>
      </c>
      <c r="AO41">
        <v>49233.8</v>
      </c>
      <c r="AP41">
        <v>0</v>
      </c>
      <c r="AQ41">
        <v>154</v>
      </c>
      <c r="AR41">
        <v>0</v>
      </c>
      <c r="AS41">
        <v>0</v>
      </c>
      <c r="AT41">
        <v>70</v>
      </c>
      <c r="AU41">
        <v>10</v>
      </c>
      <c r="AV41">
        <v>1</v>
      </c>
      <c r="AW41">
        <v>1</v>
      </c>
      <c r="AZ41">
        <v>1</v>
      </c>
      <c r="BA41">
        <v>1</v>
      </c>
      <c r="BB41">
        <v>1</v>
      </c>
      <c r="BC41">
        <v>1</v>
      </c>
      <c r="BD41" t="s">
        <v>3</v>
      </c>
      <c r="BE41" t="s">
        <v>3</v>
      </c>
      <c r="BF41" t="s">
        <v>3</v>
      </c>
      <c r="BG41" t="s">
        <v>3</v>
      </c>
      <c r="BH41">
        <v>0</v>
      </c>
      <c r="BI41">
        <v>4</v>
      </c>
      <c r="BJ41" t="s">
        <v>63</v>
      </c>
      <c r="BM41">
        <v>0</v>
      </c>
      <c r="BN41">
        <v>0</v>
      </c>
      <c r="BO41" t="s">
        <v>3</v>
      </c>
      <c r="BP41">
        <v>0</v>
      </c>
      <c r="BQ41">
        <v>1</v>
      </c>
      <c r="BR41">
        <v>0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 t="s">
        <v>3</v>
      </c>
      <c r="BZ41">
        <v>70</v>
      </c>
      <c r="CA41">
        <v>10</v>
      </c>
      <c r="CB41" t="s">
        <v>3</v>
      </c>
      <c r="CE41">
        <v>0</v>
      </c>
      <c r="CF41">
        <v>0</v>
      </c>
      <c r="CG41">
        <v>0</v>
      </c>
      <c r="CM41">
        <v>0</v>
      </c>
      <c r="CN41" t="s">
        <v>3</v>
      </c>
      <c r="CO41">
        <v>0</v>
      </c>
      <c r="CP41">
        <f t="shared" si="46"/>
        <v>4699.3500000000004</v>
      </c>
      <c r="CQ41">
        <f t="shared" si="47"/>
        <v>0</v>
      </c>
      <c r="CR41">
        <f>((((ET41)*BB41-(EU41)*BS41)+AE41*BS41)*AV41)</f>
        <v>44753.25</v>
      </c>
      <c r="CS41">
        <f t="shared" si="49"/>
        <v>33632.25</v>
      </c>
      <c r="CT41">
        <f t="shared" si="50"/>
        <v>49233.8</v>
      </c>
      <c r="CU41">
        <f t="shared" si="51"/>
        <v>0</v>
      </c>
      <c r="CV41">
        <f t="shared" si="52"/>
        <v>154</v>
      </c>
      <c r="CW41">
        <f t="shared" si="53"/>
        <v>0</v>
      </c>
      <c r="CX41">
        <f t="shared" si="54"/>
        <v>0</v>
      </c>
      <c r="CY41">
        <f t="shared" si="55"/>
        <v>1723.1830000000002</v>
      </c>
      <c r="CZ41">
        <f t="shared" si="56"/>
        <v>246.16900000000001</v>
      </c>
      <c r="DC41" t="s">
        <v>3</v>
      </c>
      <c r="DD41" t="s">
        <v>3</v>
      </c>
      <c r="DE41" t="s">
        <v>3</v>
      </c>
      <c r="DF41" t="s">
        <v>3</v>
      </c>
      <c r="DG41" t="s">
        <v>3</v>
      </c>
      <c r="DH41" t="s">
        <v>3</v>
      </c>
      <c r="DI41" t="s">
        <v>3</v>
      </c>
      <c r="DJ41" t="s">
        <v>3</v>
      </c>
      <c r="DK41" t="s">
        <v>3</v>
      </c>
      <c r="DL41" t="s">
        <v>3</v>
      </c>
      <c r="DM41" t="s">
        <v>3</v>
      </c>
      <c r="DN41">
        <v>0</v>
      </c>
      <c r="DO41">
        <v>0</v>
      </c>
      <c r="DP41">
        <v>1</v>
      </c>
      <c r="DQ41">
        <v>1</v>
      </c>
      <c r="DU41">
        <v>1010</v>
      </c>
      <c r="DV41" t="s">
        <v>33</v>
      </c>
      <c r="DW41" t="s">
        <v>33</v>
      </c>
      <c r="DX41">
        <v>100</v>
      </c>
      <c r="DZ41" t="s">
        <v>3</v>
      </c>
      <c r="EA41" t="s">
        <v>3</v>
      </c>
      <c r="EB41" t="s">
        <v>3</v>
      </c>
      <c r="EC41" t="s">
        <v>3</v>
      </c>
      <c r="EE41">
        <v>71753531</v>
      </c>
      <c r="EF41">
        <v>1</v>
      </c>
      <c r="EG41" t="s">
        <v>22</v>
      </c>
      <c r="EH41">
        <v>0</v>
      </c>
      <c r="EI41" t="s">
        <v>3</v>
      </c>
      <c r="EJ41">
        <v>4</v>
      </c>
      <c r="EK41">
        <v>0</v>
      </c>
      <c r="EL41" t="s">
        <v>23</v>
      </c>
      <c r="EM41" t="s">
        <v>24</v>
      </c>
      <c r="EO41" t="s">
        <v>3</v>
      </c>
      <c r="EQ41">
        <v>0</v>
      </c>
      <c r="ER41">
        <v>93987.05</v>
      </c>
      <c r="ES41">
        <v>0</v>
      </c>
      <c r="ET41">
        <v>44753.25</v>
      </c>
      <c r="EU41">
        <v>33632.25</v>
      </c>
      <c r="EV41">
        <v>49233.8</v>
      </c>
      <c r="EW41">
        <v>154</v>
      </c>
      <c r="EX41">
        <v>0</v>
      </c>
      <c r="EY41">
        <v>0</v>
      </c>
      <c r="FQ41">
        <v>0</v>
      </c>
      <c r="FR41">
        <f t="shared" si="57"/>
        <v>0</v>
      </c>
      <c r="FS41">
        <v>0</v>
      </c>
      <c r="FX41">
        <v>70</v>
      </c>
      <c r="FY41">
        <v>10</v>
      </c>
      <c r="GA41" t="s">
        <v>3</v>
      </c>
      <c r="GD41">
        <v>0</v>
      </c>
      <c r="GF41">
        <v>1919355405</v>
      </c>
      <c r="GG41">
        <v>2</v>
      </c>
      <c r="GH41">
        <v>1</v>
      </c>
      <c r="GI41">
        <v>-2</v>
      </c>
      <c r="GJ41">
        <v>0</v>
      </c>
      <c r="GK41">
        <f>ROUND(R41*(R12)/100,2)</f>
        <v>1816.14</v>
      </c>
      <c r="GL41">
        <f t="shared" si="58"/>
        <v>0</v>
      </c>
      <c r="GM41">
        <f t="shared" si="59"/>
        <v>8484.84</v>
      </c>
      <c r="GN41">
        <f t="shared" si="60"/>
        <v>0</v>
      </c>
      <c r="GO41">
        <f t="shared" si="61"/>
        <v>0</v>
      </c>
      <c r="GP41">
        <f t="shared" si="62"/>
        <v>8484.84</v>
      </c>
      <c r="GR41">
        <v>0</v>
      </c>
      <c r="GS41">
        <v>3</v>
      </c>
      <c r="GT41">
        <v>0</v>
      </c>
      <c r="GU41" t="s">
        <v>3</v>
      </c>
      <c r="GV41">
        <f t="shared" si="63"/>
        <v>0</v>
      </c>
      <c r="GW41">
        <v>1</v>
      </c>
      <c r="GX41">
        <f t="shared" si="64"/>
        <v>0</v>
      </c>
      <c r="HA41">
        <v>0</v>
      </c>
      <c r="HB41">
        <v>0</v>
      </c>
      <c r="HC41">
        <f t="shared" si="65"/>
        <v>0</v>
      </c>
      <c r="HE41" t="s">
        <v>3</v>
      </c>
      <c r="HF41" t="s">
        <v>3</v>
      </c>
      <c r="HM41" t="s">
        <v>3</v>
      </c>
      <c r="HN41" t="s">
        <v>3</v>
      </c>
      <c r="HO41" t="s">
        <v>3</v>
      </c>
      <c r="HP41" t="s">
        <v>3</v>
      </c>
      <c r="HQ41" t="s">
        <v>3</v>
      </c>
      <c r="IK41">
        <v>0</v>
      </c>
    </row>
    <row r="43" spans="1:245" x14ac:dyDescent="0.2">
      <c r="A43" s="2">
        <v>51</v>
      </c>
      <c r="B43" s="2">
        <f>B28</f>
        <v>1</v>
      </c>
      <c r="C43" s="2">
        <f>A28</f>
        <v>5</v>
      </c>
      <c r="D43" s="2">
        <f>ROW(A28)</f>
        <v>28</v>
      </c>
      <c r="E43" s="2"/>
      <c r="F43" s="2" t="str">
        <f>IF(F28&lt;&gt;"",F28,"")</f>
        <v>Новый подраздел</v>
      </c>
      <c r="G43" s="2" t="str">
        <f>IF(G28&lt;&gt;"",G28,"")</f>
        <v>1.1 Демонтажные работы</v>
      </c>
      <c r="H43" s="2">
        <v>0</v>
      </c>
      <c r="I43" s="2"/>
      <c r="J43" s="2"/>
      <c r="K43" s="2"/>
      <c r="L43" s="2"/>
      <c r="M43" s="2"/>
      <c r="N43" s="2"/>
      <c r="O43" s="2">
        <f t="shared" ref="O43:T43" si="66">ROUND(AB43,2)</f>
        <v>84927.54</v>
      </c>
      <c r="P43" s="2">
        <f t="shared" si="66"/>
        <v>1294.22</v>
      </c>
      <c r="Q43" s="2">
        <f t="shared" si="66"/>
        <v>2276.91</v>
      </c>
      <c r="R43" s="2">
        <f t="shared" si="66"/>
        <v>1683.29</v>
      </c>
      <c r="S43" s="2">
        <f t="shared" si="66"/>
        <v>81356.41</v>
      </c>
      <c r="T43" s="2">
        <f t="shared" si="66"/>
        <v>0</v>
      </c>
      <c r="U43" s="2">
        <f>AH43</f>
        <v>318.20593120000001</v>
      </c>
      <c r="V43" s="2">
        <f>AI43</f>
        <v>0</v>
      </c>
      <c r="W43" s="2">
        <f>ROUND(AJ43,2)</f>
        <v>0</v>
      </c>
      <c r="X43" s="2">
        <f>ROUND(AK43,2)</f>
        <v>56949.5</v>
      </c>
      <c r="Y43" s="2">
        <f>ROUND(AL43,2)</f>
        <v>8135.65</v>
      </c>
      <c r="Z43" s="2"/>
      <c r="AA43" s="2"/>
      <c r="AB43" s="2">
        <f>ROUND(SUMIF(AA32:AA41,"=72192302",O32:O41),2)</f>
        <v>84927.54</v>
      </c>
      <c r="AC43" s="2">
        <f>ROUND(SUMIF(AA32:AA41,"=72192302",P32:P41),2)</f>
        <v>1294.22</v>
      </c>
      <c r="AD43" s="2">
        <f>ROUND(SUMIF(AA32:AA41,"=72192302",Q32:Q41),2)</f>
        <v>2276.91</v>
      </c>
      <c r="AE43" s="2">
        <f>ROUND(SUMIF(AA32:AA41,"=72192302",R32:R41),2)</f>
        <v>1683.29</v>
      </c>
      <c r="AF43" s="2">
        <f>ROUND(SUMIF(AA32:AA41,"=72192302",S32:S41),2)</f>
        <v>81356.41</v>
      </c>
      <c r="AG43" s="2">
        <f>ROUND(SUMIF(AA32:AA41,"=72192302",T32:T41),2)</f>
        <v>0</v>
      </c>
      <c r="AH43" s="2">
        <f>SUMIF(AA32:AA41,"=72192302",U32:U41)</f>
        <v>318.20593120000001</v>
      </c>
      <c r="AI43" s="2">
        <f>SUMIF(AA32:AA41,"=72192302",V32:V41)</f>
        <v>0</v>
      </c>
      <c r="AJ43" s="2">
        <f>ROUND(SUMIF(AA32:AA41,"=72192302",W32:W41),2)</f>
        <v>0</v>
      </c>
      <c r="AK43" s="2">
        <f>ROUND(SUMIF(AA32:AA41,"=72192302",X32:X41),2)</f>
        <v>56949.5</v>
      </c>
      <c r="AL43" s="2">
        <f>ROUND(SUMIF(AA32:AA41,"=72192302",Y32:Y41),2)</f>
        <v>8135.65</v>
      </c>
      <c r="AM43" s="2"/>
      <c r="AN43" s="2"/>
      <c r="AO43" s="2">
        <f t="shared" ref="AO43:BD43" si="67">ROUND(BX43,2)</f>
        <v>0</v>
      </c>
      <c r="AP43" s="2">
        <f t="shared" si="67"/>
        <v>0</v>
      </c>
      <c r="AQ43" s="2">
        <f t="shared" si="67"/>
        <v>0</v>
      </c>
      <c r="AR43" s="2">
        <f t="shared" si="67"/>
        <v>151830.65</v>
      </c>
      <c r="AS43" s="2">
        <f t="shared" si="67"/>
        <v>0</v>
      </c>
      <c r="AT43" s="2">
        <f t="shared" si="67"/>
        <v>0</v>
      </c>
      <c r="AU43" s="2">
        <f t="shared" si="67"/>
        <v>151830.65</v>
      </c>
      <c r="AV43" s="2">
        <f t="shared" si="67"/>
        <v>1294.22</v>
      </c>
      <c r="AW43" s="2">
        <f t="shared" si="67"/>
        <v>1294.22</v>
      </c>
      <c r="AX43" s="2">
        <f t="shared" si="67"/>
        <v>0</v>
      </c>
      <c r="AY43" s="2">
        <f t="shared" si="67"/>
        <v>1294.22</v>
      </c>
      <c r="AZ43" s="2">
        <f t="shared" si="67"/>
        <v>0</v>
      </c>
      <c r="BA43" s="2">
        <f t="shared" si="67"/>
        <v>0</v>
      </c>
      <c r="BB43" s="2">
        <f t="shared" si="67"/>
        <v>0</v>
      </c>
      <c r="BC43" s="2">
        <f t="shared" si="67"/>
        <v>0</v>
      </c>
      <c r="BD43" s="2">
        <f t="shared" si="67"/>
        <v>0</v>
      </c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>
        <f>ROUND(SUMIF(AA32:AA41,"=72192302",FQ32:FQ41),2)</f>
        <v>0</v>
      </c>
      <c r="BY43" s="2">
        <f>ROUND(SUMIF(AA32:AA41,"=72192302",FR32:FR41),2)</f>
        <v>0</v>
      </c>
      <c r="BZ43" s="2">
        <f>ROUND(SUMIF(AA32:AA41,"=72192302",GL32:GL41),2)</f>
        <v>0</v>
      </c>
      <c r="CA43" s="2">
        <f>ROUND(SUMIF(AA32:AA41,"=72192302",GM32:GM41),2)</f>
        <v>151830.65</v>
      </c>
      <c r="CB43" s="2">
        <f>ROUND(SUMIF(AA32:AA41,"=72192302",GN32:GN41),2)</f>
        <v>0</v>
      </c>
      <c r="CC43" s="2">
        <f>ROUND(SUMIF(AA32:AA41,"=72192302",GO32:GO41),2)</f>
        <v>0</v>
      </c>
      <c r="CD43" s="2">
        <f>ROUND(SUMIF(AA32:AA41,"=72192302",GP32:GP41),2)</f>
        <v>151830.65</v>
      </c>
      <c r="CE43" s="2">
        <f>AC43-BX43</f>
        <v>1294.22</v>
      </c>
      <c r="CF43" s="2">
        <f>AC43-BY43</f>
        <v>1294.22</v>
      </c>
      <c r="CG43" s="2">
        <f>BX43-BZ43</f>
        <v>0</v>
      </c>
      <c r="CH43" s="2">
        <f>AC43-BX43-BY43+BZ43</f>
        <v>1294.22</v>
      </c>
      <c r="CI43" s="2">
        <f>BY43-BZ43</f>
        <v>0</v>
      </c>
      <c r="CJ43" s="2">
        <f>ROUND(SUMIF(AA32:AA41,"=72192302",GX32:GX41),2)</f>
        <v>0</v>
      </c>
      <c r="CK43" s="2">
        <f>ROUND(SUMIF(AA32:AA41,"=72192302",GY32:GY41),2)</f>
        <v>0</v>
      </c>
      <c r="CL43" s="2">
        <f>ROUND(SUMIF(AA32:AA41,"=72192302",GZ32:GZ41),2)</f>
        <v>0</v>
      </c>
      <c r="CM43" s="2">
        <f>ROUND(SUMIF(AA32:AA41,"=72192302",HD32:HD41),2)</f>
        <v>0</v>
      </c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>
        <v>0</v>
      </c>
    </row>
    <row r="45" spans="1:245" x14ac:dyDescent="0.2">
      <c r="A45" s="4">
        <v>50</v>
      </c>
      <c r="B45" s="4">
        <v>0</v>
      </c>
      <c r="C45" s="4">
        <v>0</v>
      </c>
      <c r="D45" s="4">
        <v>1</v>
      </c>
      <c r="E45" s="4">
        <v>201</v>
      </c>
      <c r="F45" s="4">
        <f>ROUND(Source!O43,O45)</f>
        <v>84927.54</v>
      </c>
      <c r="G45" s="4" t="s">
        <v>64</v>
      </c>
      <c r="H45" s="4" t="s">
        <v>65</v>
      </c>
      <c r="I45" s="4"/>
      <c r="J45" s="4"/>
      <c r="K45" s="4">
        <v>201</v>
      </c>
      <c r="L45" s="4">
        <v>1</v>
      </c>
      <c r="M45" s="4">
        <v>3</v>
      </c>
      <c r="N45" s="4" t="s">
        <v>3</v>
      </c>
      <c r="O45" s="4">
        <v>2</v>
      </c>
      <c r="P45" s="4"/>
      <c r="Q45" s="4"/>
      <c r="R45" s="4"/>
      <c r="S45" s="4"/>
      <c r="T45" s="4"/>
      <c r="U45" s="4"/>
      <c r="V45" s="4"/>
      <c r="W45" s="4">
        <v>84927.54</v>
      </c>
      <c r="X45" s="4">
        <v>1</v>
      </c>
      <c r="Y45" s="4">
        <v>84927.54</v>
      </c>
      <c r="Z45" s="4"/>
      <c r="AA45" s="4"/>
      <c r="AB45" s="4"/>
    </row>
    <row r="46" spans="1:245" x14ac:dyDescent="0.2">
      <c r="A46" s="4">
        <v>50</v>
      </c>
      <c r="B46" s="4">
        <v>0</v>
      </c>
      <c r="C46" s="4">
        <v>0</v>
      </c>
      <c r="D46" s="4">
        <v>1</v>
      </c>
      <c r="E46" s="4">
        <v>202</v>
      </c>
      <c r="F46" s="4">
        <f>ROUND(Source!P43,O46)</f>
        <v>1294.22</v>
      </c>
      <c r="G46" s="4" t="s">
        <v>66</v>
      </c>
      <c r="H46" s="4" t="s">
        <v>67</v>
      </c>
      <c r="I46" s="4"/>
      <c r="J46" s="4"/>
      <c r="K46" s="4">
        <v>202</v>
      </c>
      <c r="L46" s="4">
        <v>2</v>
      </c>
      <c r="M46" s="4">
        <v>3</v>
      </c>
      <c r="N46" s="4" t="s">
        <v>3</v>
      </c>
      <c r="O46" s="4">
        <v>2</v>
      </c>
      <c r="P46" s="4"/>
      <c r="Q46" s="4"/>
      <c r="R46" s="4"/>
      <c r="S46" s="4"/>
      <c r="T46" s="4"/>
      <c r="U46" s="4"/>
      <c r="V46" s="4"/>
      <c r="W46" s="4">
        <v>1294.22</v>
      </c>
      <c r="X46" s="4">
        <v>1</v>
      </c>
      <c r="Y46" s="4">
        <v>1294.22</v>
      </c>
      <c r="Z46" s="4"/>
      <c r="AA46" s="4"/>
      <c r="AB46" s="4"/>
    </row>
    <row r="47" spans="1:245" x14ac:dyDescent="0.2">
      <c r="A47" s="4">
        <v>50</v>
      </c>
      <c r="B47" s="4">
        <v>0</v>
      </c>
      <c r="C47" s="4">
        <v>0</v>
      </c>
      <c r="D47" s="4">
        <v>1</v>
      </c>
      <c r="E47" s="4">
        <v>222</v>
      </c>
      <c r="F47" s="4">
        <f>ROUND(Source!AO43,O47)</f>
        <v>0</v>
      </c>
      <c r="G47" s="4" t="s">
        <v>68</v>
      </c>
      <c r="H47" s="4" t="s">
        <v>69</v>
      </c>
      <c r="I47" s="4"/>
      <c r="J47" s="4"/>
      <c r="K47" s="4">
        <v>222</v>
      </c>
      <c r="L47" s="4">
        <v>3</v>
      </c>
      <c r="M47" s="4">
        <v>3</v>
      </c>
      <c r="N47" s="4" t="s">
        <v>3</v>
      </c>
      <c r="O47" s="4">
        <v>2</v>
      </c>
      <c r="P47" s="4"/>
      <c r="Q47" s="4"/>
      <c r="R47" s="4"/>
      <c r="S47" s="4"/>
      <c r="T47" s="4"/>
      <c r="U47" s="4"/>
      <c r="V47" s="4"/>
      <c r="W47" s="4">
        <v>0</v>
      </c>
      <c r="X47" s="4">
        <v>1</v>
      </c>
      <c r="Y47" s="4">
        <v>0</v>
      </c>
      <c r="Z47" s="4"/>
      <c r="AA47" s="4"/>
      <c r="AB47" s="4"/>
    </row>
    <row r="48" spans="1:245" x14ac:dyDescent="0.2">
      <c r="A48" s="4">
        <v>50</v>
      </c>
      <c r="B48" s="4">
        <v>0</v>
      </c>
      <c r="C48" s="4">
        <v>0</v>
      </c>
      <c r="D48" s="4">
        <v>1</v>
      </c>
      <c r="E48" s="4">
        <v>225</v>
      </c>
      <c r="F48" s="4">
        <f>ROUND(Source!AV43,O48)</f>
        <v>1294.22</v>
      </c>
      <c r="G48" s="4" t="s">
        <v>70</v>
      </c>
      <c r="H48" s="4" t="s">
        <v>71</v>
      </c>
      <c r="I48" s="4"/>
      <c r="J48" s="4"/>
      <c r="K48" s="4">
        <v>225</v>
      </c>
      <c r="L48" s="4">
        <v>4</v>
      </c>
      <c r="M48" s="4">
        <v>3</v>
      </c>
      <c r="N48" s="4" t="s">
        <v>3</v>
      </c>
      <c r="O48" s="4">
        <v>2</v>
      </c>
      <c r="P48" s="4"/>
      <c r="Q48" s="4"/>
      <c r="R48" s="4"/>
      <c r="S48" s="4"/>
      <c r="T48" s="4"/>
      <c r="U48" s="4"/>
      <c r="V48" s="4"/>
      <c r="W48" s="4">
        <v>1294.22</v>
      </c>
      <c r="X48" s="4">
        <v>1</v>
      </c>
      <c r="Y48" s="4">
        <v>1294.22</v>
      </c>
      <c r="Z48" s="4"/>
      <c r="AA48" s="4"/>
      <c r="AB48" s="4"/>
    </row>
    <row r="49" spans="1:28" x14ac:dyDescent="0.2">
      <c r="A49" s="4">
        <v>50</v>
      </c>
      <c r="B49" s="4">
        <v>0</v>
      </c>
      <c r="C49" s="4">
        <v>0</v>
      </c>
      <c r="D49" s="4">
        <v>1</v>
      </c>
      <c r="E49" s="4">
        <v>226</v>
      </c>
      <c r="F49" s="4">
        <f>ROUND(Source!AW43,O49)</f>
        <v>1294.22</v>
      </c>
      <c r="G49" s="4" t="s">
        <v>72</v>
      </c>
      <c r="H49" s="4" t="s">
        <v>73</v>
      </c>
      <c r="I49" s="4"/>
      <c r="J49" s="4"/>
      <c r="K49" s="4">
        <v>226</v>
      </c>
      <c r="L49" s="4">
        <v>5</v>
      </c>
      <c r="M49" s="4">
        <v>3</v>
      </c>
      <c r="N49" s="4" t="s">
        <v>3</v>
      </c>
      <c r="O49" s="4">
        <v>2</v>
      </c>
      <c r="P49" s="4"/>
      <c r="Q49" s="4"/>
      <c r="R49" s="4"/>
      <c r="S49" s="4"/>
      <c r="T49" s="4"/>
      <c r="U49" s="4"/>
      <c r="V49" s="4"/>
      <c r="W49" s="4">
        <v>1294.22</v>
      </c>
      <c r="X49" s="4">
        <v>1</v>
      </c>
      <c r="Y49" s="4">
        <v>1294.22</v>
      </c>
      <c r="Z49" s="4"/>
      <c r="AA49" s="4"/>
      <c r="AB49" s="4"/>
    </row>
    <row r="50" spans="1:28" x14ac:dyDescent="0.2">
      <c r="A50" s="4">
        <v>50</v>
      </c>
      <c r="B50" s="4">
        <v>0</v>
      </c>
      <c r="C50" s="4">
        <v>0</v>
      </c>
      <c r="D50" s="4">
        <v>1</v>
      </c>
      <c r="E50" s="4">
        <v>227</v>
      </c>
      <c r="F50" s="4">
        <f>ROUND(Source!AX43,O50)</f>
        <v>0</v>
      </c>
      <c r="G50" s="4" t="s">
        <v>74</v>
      </c>
      <c r="H50" s="4" t="s">
        <v>75</v>
      </c>
      <c r="I50" s="4"/>
      <c r="J50" s="4"/>
      <c r="K50" s="4">
        <v>227</v>
      </c>
      <c r="L50" s="4">
        <v>6</v>
      </c>
      <c r="M50" s="4">
        <v>3</v>
      </c>
      <c r="N50" s="4" t="s">
        <v>3</v>
      </c>
      <c r="O50" s="4">
        <v>2</v>
      </c>
      <c r="P50" s="4"/>
      <c r="Q50" s="4"/>
      <c r="R50" s="4"/>
      <c r="S50" s="4"/>
      <c r="T50" s="4"/>
      <c r="U50" s="4"/>
      <c r="V50" s="4"/>
      <c r="W50" s="4">
        <v>0</v>
      </c>
      <c r="X50" s="4">
        <v>1</v>
      </c>
      <c r="Y50" s="4">
        <v>0</v>
      </c>
      <c r="Z50" s="4"/>
      <c r="AA50" s="4"/>
      <c r="AB50" s="4"/>
    </row>
    <row r="51" spans="1:28" x14ac:dyDescent="0.2">
      <c r="A51" s="4">
        <v>50</v>
      </c>
      <c r="B51" s="4">
        <v>0</v>
      </c>
      <c r="C51" s="4">
        <v>0</v>
      </c>
      <c r="D51" s="4">
        <v>1</v>
      </c>
      <c r="E51" s="4">
        <v>228</v>
      </c>
      <c r="F51" s="4">
        <f>ROUND(Source!AY43,O51)</f>
        <v>1294.22</v>
      </c>
      <c r="G51" s="4" t="s">
        <v>76</v>
      </c>
      <c r="H51" s="4" t="s">
        <v>77</v>
      </c>
      <c r="I51" s="4"/>
      <c r="J51" s="4"/>
      <c r="K51" s="4">
        <v>228</v>
      </c>
      <c r="L51" s="4">
        <v>7</v>
      </c>
      <c r="M51" s="4">
        <v>3</v>
      </c>
      <c r="N51" s="4" t="s">
        <v>3</v>
      </c>
      <c r="O51" s="4">
        <v>2</v>
      </c>
      <c r="P51" s="4"/>
      <c r="Q51" s="4"/>
      <c r="R51" s="4"/>
      <c r="S51" s="4"/>
      <c r="T51" s="4"/>
      <c r="U51" s="4"/>
      <c r="V51" s="4"/>
      <c r="W51" s="4">
        <v>1294.22</v>
      </c>
      <c r="X51" s="4">
        <v>1</v>
      </c>
      <c r="Y51" s="4">
        <v>1294.22</v>
      </c>
      <c r="Z51" s="4"/>
      <c r="AA51" s="4"/>
      <c r="AB51" s="4"/>
    </row>
    <row r="52" spans="1:28" x14ac:dyDescent="0.2">
      <c r="A52" s="4">
        <v>50</v>
      </c>
      <c r="B52" s="4">
        <v>0</v>
      </c>
      <c r="C52" s="4">
        <v>0</v>
      </c>
      <c r="D52" s="4">
        <v>1</v>
      </c>
      <c r="E52" s="4">
        <v>216</v>
      </c>
      <c r="F52" s="4">
        <f>ROUND(Source!AP43,O52)</f>
        <v>0</v>
      </c>
      <c r="G52" s="4" t="s">
        <v>78</v>
      </c>
      <c r="H52" s="4" t="s">
        <v>79</v>
      </c>
      <c r="I52" s="4"/>
      <c r="J52" s="4"/>
      <c r="K52" s="4">
        <v>216</v>
      </c>
      <c r="L52" s="4">
        <v>8</v>
      </c>
      <c r="M52" s="4">
        <v>3</v>
      </c>
      <c r="N52" s="4" t="s">
        <v>3</v>
      </c>
      <c r="O52" s="4">
        <v>2</v>
      </c>
      <c r="P52" s="4"/>
      <c r="Q52" s="4"/>
      <c r="R52" s="4"/>
      <c r="S52" s="4"/>
      <c r="T52" s="4"/>
      <c r="U52" s="4"/>
      <c r="V52" s="4"/>
      <c r="W52" s="4">
        <v>0</v>
      </c>
      <c r="X52" s="4">
        <v>1</v>
      </c>
      <c r="Y52" s="4">
        <v>0</v>
      </c>
      <c r="Z52" s="4"/>
      <c r="AA52" s="4"/>
      <c r="AB52" s="4"/>
    </row>
    <row r="53" spans="1:28" x14ac:dyDescent="0.2">
      <c r="A53" s="4">
        <v>50</v>
      </c>
      <c r="B53" s="4">
        <v>0</v>
      </c>
      <c r="C53" s="4">
        <v>0</v>
      </c>
      <c r="D53" s="4">
        <v>1</v>
      </c>
      <c r="E53" s="4">
        <v>223</v>
      </c>
      <c r="F53" s="4">
        <f>ROUND(Source!AQ43,O53)</f>
        <v>0</v>
      </c>
      <c r="G53" s="4" t="s">
        <v>80</v>
      </c>
      <c r="H53" s="4" t="s">
        <v>81</v>
      </c>
      <c r="I53" s="4"/>
      <c r="J53" s="4"/>
      <c r="K53" s="4">
        <v>223</v>
      </c>
      <c r="L53" s="4">
        <v>9</v>
      </c>
      <c r="M53" s="4">
        <v>3</v>
      </c>
      <c r="N53" s="4" t="s">
        <v>3</v>
      </c>
      <c r="O53" s="4">
        <v>2</v>
      </c>
      <c r="P53" s="4"/>
      <c r="Q53" s="4"/>
      <c r="R53" s="4"/>
      <c r="S53" s="4"/>
      <c r="T53" s="4"/>
      <c r="U53" s="4"/>
      <c r="V53" s="4"/>
      <c r="W53" s="4">
        <v>0</v>
      </c>
      <c r="X53" s="4">
        <v>1</v>
      </c>
      <c r="Y53" s="4">
        <v>0</v>
      </c>
      <c r="Z53" s="4"/>
      <c r="AA53" s="4"/>
      <c r="AB53" s="4"/>
    </row>
    <row r="54" spans="1:28" x14ac:dyDescent="0.2">
      <c r="A54" s="4">
        <v>50</v>
      </c>
      <c r="B54" s="4">
        <v>0</v>
      </c>
      <c r="C54" s="4">
        <v>0</v>
      </c>
      <c r="D54" s="4">
        <v>1</v>
      </c>
      <c r="E54" s="4">
        <v>229</v>
      </c>
      <c r="F54" s="4">
        <f>ROUND(Source!AZ43,O54)</f>
        <v>0</v>
      </c>
      <c r="G54" s="4" t="s">
        <v>82</v>
      </c>
      <c r="H54" s="4" t="s">
        <v>83</v>
      </c>
      <c r="I54" s="4"/>
      <c r="J54" s="4"/>
      <c r="K54" s="4">
        <v>229</v>
      </c>
      <c r="L54" s="4">
        <v>10</v>
      </c>
      <c r="M54" s="4">
        <v>3</v>
      </c>
      <c r="N54" s="4" t="s">
        <v>3</v>
      </c>
      <c r="O54" s="4">
        <v>2</v>
      </c>
      <c r="P54" s="4"/>
      <c r="Q54" s="4"/>
      <c r="R54" s="4"/>
      <c r="S54" s="4"/>
      <c r="T54" s="4"/>
      <c r="U54" s="4"/>
      <c r="V54" s="4"/>
      <c r="W54" s="4">
        <v>0</v>
      </c>
      <c r="X54" s="4">
        <v>1</v>
      </c>
      <c r="Y54" s="4">
        <v>0</v>
      </c>
      <c r="Z54" s="4"/>
      <c r="AA54" s="4"/>
      <c r="AB54" s="4"/>
    </row>
    <row r="55" spans="1:28" x14ac:dyDescent="0.2">
      <c r="A55" s="4">
        <v>50</v>
      </c>
      <c r="B55" s="4">
        <v>0</v>
      </c>
      <c r="C55" s="4">
        <v>0</v>
      </c>
      <c r="D55" s="4">
        <v>1</v>
      </c>
      <c r="E55" s="4">
        <v>203</v>
      </c>
      <c r="F55" s="4">
        <f>ROUND(Source!Q43,O55)</f>
        <v>2276.91</v>
      </c>
      <c r="G55" s="4" t="s">
        <v>84</v>
      </c>
      <c r="H55" s="4" t="s">
        <v>85</v>
      </c>
      <c r="I55" s="4"/>
      <c r="J55" s="4"/>
      <c r="K55" s="4">
        <v>203</v>
      </c>
      <c r="L55" s="4">
        <v>11</v>
      </c>
      <c r="M55" s="4">
        <v>3</v>
      </c>
      <c r="N55" s="4" t="s">
        <v>3</v>
      </c>
      <c r="O55" s="4">
        <v>2</v>
      </c>
      <c r="P55" s="4"/>
      <c r="Q55" s="4"/>
      <c r="R55" s="4"/>
      <c r="S55" s="4"/>
      <c r="T55" s="4"/>
      <c r="U55" s="4"/>
      <c r="V55" s="4"/>
      <c r="W55" s="4">
        <v>2276.91</v>
      </c>
      <c r="X55" s="4">
        <v>1</v>
      </c>
      <c r="Y55" s="4">
        <v>2276.91</v>
      </c>
      <c r="Z55" s="4"/>
      <c r="AA55" s="4"/>
      <c r="AB55" s="4"/>
    </row>
    <row r="56" spans="1:28" x14ac:dyDescent="0.2">
      <c r="A56" s="4">
        <v>50</v>
      </c>
      <c r="B56" s="4">
        <v>0</v>
      </c>
      <c r="C56" s="4">
        <v>0</v>
      </c>
      <c r="D56" s="4">
        <v>1</v>
      </c>
      <c r="E56" s="4">
        <v>231</v>
      </c>
      <c r="F56" s="4">
        <f>ROUND(Source!BB43,O56)</f>
        <v>0</v>
      </c>
      <c r="G56" s="4" t="s">
        <v>86</v>
      </c>
      <c r="H56" s="4" t="s">
        <v>87</v>
      </c>
      <c r="I56" s="4"/>
      <c r="J56" s="4"/>
      <c r="K56" s="4">
        <v>231</v>
      </c>
      <c r="L56" s="4">
        <v>12</v>
      </c>
      <c r="M56" s="4">
        <v>3</v>
      </c>
      <c r="N56" s="4" t="s">
        <v>3</v>
      </c>
      <c r="O56" s="4">
        <v>2</v>
      </c>
      <c r="P56" s="4"/>
      <c r="Q56" s="4"/>
      <c r="R56" s="4"/>
      <c r="S56" s="4"/>
      <c r="T56" s="4"/>
      <c r="U56" s="4"/>
      <c r="V56" s="4"/>
      <c r="W56" s="4">
        <v>0</v>
      </c>
      <c r="X56" s="4">
        <v>1</v>
      </c>
      <c r="Y56" s="4">
        <v>0</v>
      </c>
      <c r="Z56" s="4"/>
      <c r="AA56" s="4"/>
      <c r="AB56" s="4"/>
    </row>
    <row r="57" spans="1:28" x14ac:dyDescent="0.2">
      <c r="A57" s="4">
        <v>50</v>
      </c>
      <c r="B57" s="4">
        <v>0</v>
      </c>
      <c r="C57" s="4">
        <v>0</v>
      </c>
      <c r="D57" s="4">
        <v>1</v>
      </c>
      <c r="E57" s="4">
        <v>204</v>
      </c>
      <c r="F57" s="4">
        <f>ROUND(Source!R43,O57)</f>
        <v>1683.29</v>
      </c>
      <c r="G57" s="4" t="s">
        <v>88</v>
      </c>
      <c r="H57" s="4" t="s">
        <v>89</v>
      </c>
      <c r="I57" s="4"/>
      <c r="J57" s="4"/>
      <c r="K57" s="4">
        <v>204</v>
      </c>
      <c r="L57" s="4">
        <v>13</v>
      </c>
      <c r="M57" s="4">
        <v>3</v>
      </c>
      <c r="N57" s="4" t="s">
        <v>3</v>
      </c>
      <c r="O57" s="4">
        <v>2</v>
      </c>
      <c r="P57" s="4"/>
      <c r="Q57" s="4"/>
      <c r="R57" s="4"/>
      <c r="S57" s="4"/>
      <c r="T57" s="4"/>
      <c r="U57" s="4"/>
      <c r="V57" s="4"/>
      <c r="W57" s="4">
        <v>1683.29</v>
      </c>
      <c r="X57" s="4">
        <v>1</v>
      </c>
      <c r="Y57" s="4">
        <v>1683.29</v>
      </c>
      <c r="Z57" s="4"/>
      <c r="AA57" s="4"/>
      <c r="AB57" s="4"/>
    </row>
    <row r="58" spans="1:28" x14ac:dyDescent="0.2">
      <c r="A58" s="4">
        <v>50</v>
      </c>
      <c r="B58" s="4">
        <v>0</v>
      </c>
      <c r="C58" s="4">
        <v>0</v>
      </c>
      <c r="D58" s="4">
        <v>1</v>
      </c>
      <c r="E58" s="4">
        <v>205</v>
      </c>
      <c r="F58" s="4">
        <f>ROUND(Source!S43,O58)</f>
        <v>81356.41</v>
      </c>
      <c r="G58" s="4" t="s">
        <v>90</v>
      </c>
      <c r="H58" s="4" t="s">
        <v>91</v>
      </c>
      <c r="I58" s="4"/>
      <c r="J58" s="4"/>
      <c r="K58" s="4">
        <v>205</v>
      </c>
      <c r="L58" s="4">
        <v>14</v>
      </c>
      <c r="M58" s="4">
        <v>3</v>
      </c>
      <c r="N58" s="4" t="s">
        <v>3</v>
      </c>
      <c r="O58" s="4">
        <v>2</v>
      </c>
      <c r="P58" s="4"/>
      <c r="Q58" s="4"/>
      <c r="R58" s="4"/>
      <c r="S58" s="4"/>
      <c r="T58" s="4"/>
      <c r="U58" s="4"/>
      <c r="V58" s="4"/>
      <c r="W58" s="4">
        <v>81356.41</v>
      </c>
      <c r="X58" s="4">
        <v>1</v>
      </c>
      <c r="Y58" s="4">
        <v>81356.41</v>
      </c>
      <c r="Z58" s="4"/>
      <c r="AA58" s="4"/>
      <c r="AB58" s="4"/>
    </row>
    <row r="59" spans="1:28" x14ac:dyDescent="0.2">
      <c r="A59" s="4">
        <v>50</v>
      </c>
      <c r="B59" s="4">
        <v>0</v>
      </c>
      <c r="C59" s="4">
        <v>0</v>
      </c>
      <c r="D59" s="4">
        <v>1</v>
      </c>
      <c r="E59" s="4">
        <v>232</v>
      </c>
      <c r="F59" s="4">
        <f>ROUND(Source!BC43,O59)</f>
        <v>0</v>
      </c>
      <c r="G59" s="4" t="s">
        <v>92</v>
      </c>
      <c r="H59" s="4" t="s">
        <v>93</v>
      </c>
      <c r="I59" s="4"/>
      <c r="J59" s="4"/>
      <c r="K59" s="4">
        <v>232</v>
      </c>
      <c r="L59" s="4">
        <v>15</v>
      </c>
      <c r="M59" s="4">
        <v>3</v>
      </c>
      <c r="N59" s="4" t="s">
        <v>3</v>
      </c>
      <c r="O59" s="4">
        <v>2</v>
      </c>
      <c r="P59" s="4"/>
      <c r="Q59" s="4"/>
      <c r="R59" s="4"/>
      <c r="S59" s="4"/>
      <c r="T59" s="4"/>
      <c r="U59" s="4"/>
      <c r="V59" s="4"/>
      <c r="W59" s="4">
        <v>0</v>
      </c>
      <c r="X59" s="4">
        <v>1</v>
      </c>
      <c r="Y59" s="4">
        <v>0</v>
      </c>
      <c r="Z59" s="4"/>
      <c r="AA59" s="4"/>
      <c r="AB59" s="4"/>
    </row>
    <row r="60" spans="1:28" x14ac:dyDescent="0.2">
      <c r="A60" s="4">
        <v>50</v>
      </c>
      <c r="B60" s="4">
        <v>0</v>
      </c>
      <c r="C60" s="4">
        <v>0</v>
      </c>
      <c r="D60" s="4">
        <v>1</v>
      </c>
      <c r="E60" s="4">
        <v>214</v>
      </c>
      <c r="F60" s="4">
        <f>ROUND(Source!AS43,O60)</f>
        <v>0</v>
      </c>
      <c r="G60" s="4" t="s">
        <v>94</v>
      </c>
      <c r="H60" s="4" t="s">
        <v>95</v>
      </c>
      <c r="I60" s="4"/>
      <c r="J60" s="4"/>
      <c r="K60" s="4">
        <v>214</v>
      </c>
      <c r="L60" s="4">
        <v>16</v>
      </c>
      <c r="M60" s="4">
        <v>3</v>
      </c>
      <c r="N60" s="4" t="s">
        <v>3</v>
      </c>
      <c r="O60" s="4">
        <v>2</v>
      </c>
      <c r="P60" s="4"/>
      <c r="Q60" s="4"/>
      <c r="R60" s="4"/>
      <c r="S60" s="4"/>
      <c r="T60" s="4"/>
      <c r="U60" s="4"/>
      <c r="V60" s="4"/>
      <c r="W60" s="4">
        <v>0</v>
      </c>
      <c r="X60" s="4">
        <v>1</v>
      </c>
      <c r="Y60" s="4">
        <v>0</v>
      </c>
      <c r="Z60" s="4"/>
      <c r="AA60" s="4"/>
      <c r="AB60" s="4"/>
    </row>
    <row r="61" spans="1:28" x14ac:dyDescent="0.2">
      <c r="A61" s="4">
        <v>50</v>
      </c>
      <c r="B61" s="4">
        <v>0</v>
      </c>
      <c r="C61" s="4">
        <v>0</v>
      </c>
      <c r="D61" s="4">
        <v>1</v>
      </c>
      <c r="E61" s="4">
        <v>215</v>
      </c>
      <c r="F61" s="4">
        <f>ROUND(Source!AT43,O61)</f>
        <v>0</v>
      </c>
      <c r="G61" s="4" t="s">
        <v>96</v>
      </c>
      <c r="H61" s="4" t="s">
        <v>97</v>
      </c>
      <c r="I61" s="4"/>
      <c r="J61" s="4"/>
      <c r="K61" s="4">
        <v>215</v>
      </c>
      <c r="L61" s="4">
        <v>17</v>
      </c>
      <c r="M61" s="4">
        <v>3</v>
      </c>
      <c r="N61" s="4" t="s">
        <v>3</v>
      </c>
      <c r="O61" s="4">
        <v>2</v>
      </c>
      <c r="P61" s="4"/>
      <c r="Q61" s="4"/>
      <c r="R61" s="4"/>
      <c r="S61" s="4"/>
      <c r="T61" s="4"/>
      <c r="U61" s="4"/>
      <c r="V61" s="4"/>
      <c r="W61" s="4">
        <v>0</v>
      </c>
      <c r="X61" s="4">
        <v>1</v>
      </c>
      <c r="Y61" s="4">
        <v>0</v>
      </c>
      <c r="Z61" s="4"/>
      <c r="AA61" s="4"/>
      <c r="AB61" s="4"/>
    </row>
    <row r="62" spans="1:28" x14ac:dyDescent="0.2">
      <c r="A62" s="4">
        <v>50</v>
      </c>
      <c r="B62" s="4">
        <v>0</v>
      </c>
      <c r="C62" s="4">
        <v>0</v>
      </c>
      <c r="D62" s="4">
        <v>1</v>
      </c>
      <c r="E62" s="4">
        <v>217</v>
      </c>
      <c r="F62" s="4">
        <f>ROUND(Source!AU43,O62)</f>
        <v>151830.65</v>
      </c>
      <c r="G62" s="4" t="s">
        <v>98</v>
      </c>
      <c r="H62" s="4" t="s">
        <v>99</v>
      </c>
      <c r="I62" s="4"/>
      <c r="J62" s="4"/>
      <c r="K62" s="4">
        <v>217</v>
      </c>
      <c r="L62" s="4">
        <v>18</v>
      </c>
      <c r="M62" s="4">
        <v>3</v>
      </c>
      <c r="N62" s="4" t="s">
        <v>3</v>
      </c>
      <c r="O62" s="4">
        <v>2</v>
      </c>
      <c r="P62" s="4"/>
      <c r="Q62" s="4"/>
      <c r="R62" s="4"/>
      <c r="S62" s="4"/>
      <c r="T62" s="4"/>
      <c r="U62" s="4"/>
      <c r="V62" s="4"/>
      <c r="W62" s="4">
        <v>151830.65</v>
      </c>
      <c r="X62" s="4">
        <v>1</v>
      </c>
      <c r="Y62" s="4">
        <v>151830.65</v>
      </c>
      <c r="Z62" s="4"/>
      <c r="AA62" s="4"/>
      <c r="AB62" s="4"/>
    </row>
    <row r="63" spans="1:28" x14ac:dyDescent="0.2">
      <c r="A63" s="4">
        <v>50</v>
      </c>
      <c r="B63" s="4">
        <v>0</v>
      </c>
      <c r="C63" s="4">
        <v>0</v>
      </c>
      <c r="D63" s="4">
        <v>1</v>
      </c>
      <c r="E63" s="4">
        <v>230</v>
      </c>
      <c r="F63" s="4">
        <f>ROUND(Source!BA43,O63)</f>
        <v>0</v>
      </c>
      <c r="G63" s="4" t="s">
        <v>100</v>
      </c>
      <c r="H63" s="4" t="s">
        <v>101</v>
      </c>
      <c r="I63" s="4"/>
      <c r="J63" s="4"/>
      <c r="K63" s="4">
        <v>230</v>
      </c>
      <c r="L63" s="4">
        <v>19</v>
      </c>
      <c r="M63" s="4">
        <v>3</v>
      </c>
      <c r="N63" s="4" t="s">
        <v>3</v>
      </c>
      <c r="O63" s="4">
        <v>2</v>
      </c>
      <c r="P63" s="4"/>
      <c r="Q63" s="4"/>
      <c r="R63" s="4"/>
      <c r="S63" s="4"/>
      <c r="T63" s="4"/>
      <c r="U63" s="4"/>
      <c r="V63" s="4"/>
      <c r="W63" s="4">
        <v>0</v>
      </c>
      <c r="X63" s="4">
        <v>1</v>
      </c>
      <c r="Y63" s="4">
        <v>0</v>
      </c>
      <c r="Z63" s="4"/>
      <c r="AA63" s="4"/>
      <c r="AB63" s="4"/>
    </row>
    <row r="64" spans="1:28" x14ac:dyDescent="0.2">
      <c r="A64" s="4">
        <v>50</v>
      </c>
      <c r="B64" s="4">
        <v>0</v>
      </c>
      <c r="C64" s="4">
        <v>0</v>
      </c>
      <c r="D64" s="4">
        <v>1</v>
      </c>
      <c r="E64" s="4">
        <v>206</v>
      </c>
      <c r="F64" s="4">
        <f>ROUND(Source!T43,O64)</f>
        <v>0</v>
      </c>
      <c r="G64" s="4" t="s">
        <v>102</v>
      </c>
      <c r="H64" s="4" t="s">
        <v>103</v>
      </c>
      <c r="I64" s="4"/>
      <c r="J64" s="4"/>
      <c r="K64" s="4">
        <v>206</v>
      </c>
      <c r="L64" s="4">
        <v>20</v>
      </c>
      <c r="M64" s="4">
        <v>3</v>
      </c>
      <c r="N64" s="4" t="s">
        <v>3</v>
      </c>
      <c r="O64" s="4">
        <v>2</v>
      </c>
      <c r="P64" s="4"/>
      <c r="Q64" s="4"/>
      <c r="R64" s="4"/>
      <c r="S64" s="4"/>
      <c r="T64" s="4"/>
      <c r="U64" s="4"/>
      <c r="V64" s="4"/>
      <c r="W64" s="4">
        <v>0</v>
      </c>
      <c r="X64" s="4">
        <v>1</v>
      </c>
      <c r="Y64" s="4">
        <v>0</v>
      </c>
      <c r="Z64" s="4"/>
      <c r="AA64" s="4"/>
      <c r="AB64" s="4"/>
    </row>
    <row r="65" spans="1:245" x14ac:dyDescent="0.2">
      <c r="A65" s="4">
        <v>50</v>
      </c>
      <c r="B65" s="4">
        <v>0</v>
      </c>
      <c r="C65" s="4">
        <v>0</v>
      </c>
      <c r="D65" s="4">
        <v>1</v>
      </c>
      <c r="E65" s="4">
        <v>207</v>
      </c>
      <c r="F65" s="4">
        <f>Source!U43</f>
        <v>318.20593120000001</v>
      </c>
      <c r="G65" s="4" t="s">
        <v>104</v>
      </c>
      <c r="H65" s="4" t="s">
        <v>105</v>
      </c>
      <c r="I65" s="4"/>
      <c r="J65" s="4"/>
      <c r="K65" s="4">
        <v>207</v>
      </c>
      <c r="L65" s="4">
        <v>21</v>
      </c>
      <c r="M65" s="4">
        <v>3</v>
      </c>
      <c r="N65" s="4" t="s">
        <v>3</v>
      </c>
      <c r="O65" s="4">
        <v>-1</v>
      </c>
      <c r="P65" s="4"/>
      <c r="Q65" s="4"/>
      <c r="R65" s="4"/>
      <c r="S65" s="4"/>
      <c r="T65" s="4"/>
      <c r="U65" s="4"/>
      <c r="V65" s="4"/>
      <c r="W65" s="4">
        <v>318.20593119999995</v>
      </c>
      <c r="X65" s="4">
        <v>1</v>
      </c>
      <c r="Y65" s="4">
        <v>318.20593119999995</v>
      </c>
      <c r="Z65" s="4"/>
      <c r="AA65" s="4"/>
      <c r="AB65" s="4"/>
    </row>
    <row r="66" spans="1:245" x14ac:dyDescent="0.2">
      <c r="A66" s="4">
        <v>50</v>
      </c>
      <c r="B66" s="4">
        <v>0</v>
      </c>
      <c r="C66" s="4">
        <v>0</v>
      </c>
      <c r="D66" s="4">
        <v>1</v>
      </c>
      <c r="E66" s="4">
        <v>208</v>
      </c>
      <c r="F66" s="4">
        <f>Source!V43</f>
        <v>0</v>
      </c>
      <c r="G66" s="4" t="s">
        <v>106</v>
      </c>
      <c r="H66" s="4" t="s">
        <v>107</v>
      </c>
      <c r="I66" s="4"/>
      <c r="J66" s="4"/>
      <c r="K66" s="4">
        <v>208</v>
      </c>
      <c r="L66" s="4">
        <v>22</v>
      </c>
      <c r="M66" s="4">
        <v>3</v>
      </c>
      <c r="N66" s="4" t="s">
        <v>3</v>
      </c>
      <c r="O66" s="4">
        <v>-1</v>
      </c>
      <c r="P66" s="4"/>
      <c r="Q66" s="4"/>
      <c r="R66" s="4"/>
      <c r="S66" s="4"/>
      <c r="T66" s="4"/>
      <c r="U66" s="4"/>
      <c r="V66" s="4"/>
      <c r="W66" s="4">
        <v>0</v>
      </c>
      <c r="X66" s="4">
        <v>1</v>
      </c>
      <c r="Y66" s="4">
        <v>0</v>
      </c>
      <c r="Z66" s="4"/>
      <c r="AA66" s="4"/>
      <c r="AB66" s="4"/>
    </row>
    <row r="67" spans="1:245" x14ac:dyDescent="0.2">
      <c r="A67" s="4">
        <v>50</v>
      </c>
      <c r="B67" s="4">
        <v>0</v>
      </c>
      <c r="C67" s="4">
        <v>0</v>
      </c>
      <c r="D67" s="4">
        <v>1</v>
      </c>
      <c r="E67" s="4">
        <v>209</v>
      </c>
      <c r="F67" s="4">
        <f>ROUND(Source!W43,O67)</f>
        <v>0</v>
      </c>
      <c r="G67" s="4" t="s">
        <v>108</v>
      </c>
      <c r="H67" s="4" t="s">
        <v>109</v>
      </c>
      <c r="I67" s="4"/>
      <c r="J67" s="4"/>
      <c r="K67" s="4">
        <v>209</v>
      </c>
      <c r="L67" s="4">
        <v>23</v>
      </c>
      <c r="M67" s="4">
        <v>3</v>
      </c>
      <c r="N67" s="4" t="s">
        <v>3</v>
      </c>
      <c r="O67" s="4">
        <v>2</v>
      </c>
      <c r="P67" s="4"/>
      <c r="Q67" s="4"/>
      <c r="R67" s="4"/>
      <c r="S67" s="4"/>
      <c r="T67" s="4"/>
      <c r="U67" s="4"/>
      <c r="V67" s="4"/>
      <c r="W67" s="4">
        <v>0</v>
      </c>
      <c r="X67" s="4">
        <v>1</v>
      </c>
      <c r="Y67" s="4">
        <v>0</v>
      </c>
      <c r="Z67" s="4"/>
      <c r="AA67" s="4"/>
      <c r="AB67" s="4"/>
    </row>
    <row r="68" spans="1:245" x14ac:dyDescent="0.2">
      <c r="A68" s="4">
        <v>50</v>
      </c>
      <c r="B68" s="4">
        <v>0</v>
      </c>
      <c r="C68" s="4">
        <v>0</v>
      </c>
      <c r="D68" s="4">
        <v>1</v>
      </c>
      <c r="E68" s="4">
        <v>233</v>
      </c>
      <c r="F68" s="4">
        <f>ROUND(Source!BD43,O68)</f>
        <v>0</v>
      </c>
      <c r="G68" s="4" t="s">
        <v>110</v>
      </c>
      <c r="H68" s="4" t="s">
        <v>111</v>
      </c>
      <c r="I68" s="4"/>
      <c r="J68" s="4"/>
      <c r="K68" s="4">
        <v>233</v>
      </c>
      <c r="L68" s="4">
        <v>24</v>
      </c>
      <c r="M68" s="4">
        <v>3</v>
      </c>
      <c r="N68" s="4" t="s">
        <v>3</v>
      </c>
      <c r="O68" s="4">
        <v>2</v>
      </c>
      <c r="P68" s="4"/>
      <c r="Q68" s="4"/>
      <c r="R68" s="4"/>
      <c r="S68" s="4"/>
      <c r="T68" s="4"/>
      <c r="U68" s="4"/>
      <c r="V68" s="4"/>
      <c r="W68" s="4">
        <v>0</v>
      </c>
      <c r="X68" s="4">
        <v>1</v>
      </c>
      <c r="Y68" s="4">
        <v>0</v>
      </c>
      <c r="Z68" s="4"/>
      <c r="AA68" s="4"/>
      <c r="AB68" s="4"/>
    </row>
    <row r="69" spans="1:245" x14ac:dyDescent="0.2">
      <c r="A69" s="4">
        <v>50</v>
      </c>
      <c r="B69" s="4">
        <v>0</v>
      </c>
      <c r="C69" s="4">
        <v>0</v>
      </c>
      <c r="D69" s="4">
        <v>1</v>
      </c>
      <c r="E69" s="4">
        <v>210</v>
      </c>
      <c r="F69" s="4">
        <f>ROUND(Source!X43,O69)</f>
        <v>56949.5</v>
      </c>
      <c r="G69" s="4" t="s">
        <v>112</v>
      </c>
      <c r="H69" s="4" t="s">
        <v>113</v>
      </c>
      <c r="I69" s="4"/>
      <c r="J69" s="4"/>
      <c r="K69" s="4">
        <v>210</v>
      </c>
      <c r="L69" s="4">
        <v>25</v>
      </c>
      <c r="M69" s="4">
        <v>3</v>
      </c>
      <c r="N69" s="4" t="s">
        <v>3</v>
      </c>
      <c r="O69" s="4">
        <v>2</v>
      </c>
      <c r="P69" s="4"/>
      <c r="Q69" s="4"/>
      <c r="R69" s="4"/>
      <c r="S69" s="4"/>
      <c r="T69" s="4"/>
      <c r="U69" s="4"/>
      <c r="V69" s="4"/>
      <c r="W69" s="4">
        <v>56949.5</v>
      </c>
      <c r="X69" s="4">
        <v>1</v>
      </c>
      <c r="Y69" s="4">
        <v>56949.5</v>
      </c>
      <c r="Z69" s="4"/>
      <c r="AA69" s="4"/>
      <c r="AB69" s="4"/>
    </row>
    <row r="70" spans="1:245" x14ac:dyDescent="0.2">
      <c r="A70" s="4">
        <v>50</v>
      </c>
      <c r="B70" s="4">
        <v>0</v>
      </c>
      <c r="C70" s="4">
        <v>0</v>
      </c>
      <c r="D70" s="4">
        <v>1</v>
      </c>
      <c r="E70" s="4">
        <v>211</v>
      </c>
      <c r="F70" s="4">
        <f>ROUND(Source!Y43,O70)</f>
        <v>8135.65</v>
      </c>
      <c r="G70" s="4" t="s">
        <v>114</v>
      </c>
      <c r="H70" s="4" t="s">
        <v>115</v>
      </c>
      <c r="I70" s="4"/>
      <c r="J70" s="4"/>
      <c r="K70" s="4">
        <v>211</v>
      </c>
      <c r="L70" s="4">
        <v>26</v>
      </c>
      <c r="M70" s="4">
        <v>3</v>
      </c>
      <c r="N70" s="4" t="s">
        <v>3</v>
      </c>
      <c r="O70" s="4">
        <v>2</v>
      </c>
      <c r="P70" s="4"/>
      <c r="Q70" s="4"/>
      <c r="R70" s="4"/>
      <c r="S70" s="4"/>
      <c r="T70" s="4"/>
      <c r="U70" s="4"/>
      <c r="V70" s="4"/>
      <c r="W70" s="4">
        <v>8135.65</v>
      </c>
      <c r="X70" s="4">
        <v>1</v>
      </c>
      <c r="Y70" s="4">
        <v>8135.65</v>
      </c>
      <c r="Z70" s="4"/>
      <c r="AA70" s="4"/>
      <c r="AB70" s="4"/>
    </row>
    <row r="71" spans="1:245" x14ac:dyDescent="0.2">
      <c r="A71" s="4">
        <v>50</v>
      </c>
      <c r="B71" s="4">
        <v>0</v>
      </c>
      <c r="C71" s="4">
        <v>0</v>
      </c>
      <c r="D71" s="4">
        <v>1</v>
      </c>
      <c r="E71" s="4">
        <v>224</v>
      </c>
      <c r="F71" s="4">
        <f>ROUND(Source!AR43,O71)</f>
        <v>151830.65</v>
      </c>
      <c r="G71" s="4" t="s">
        <v>116</v>
      </c>
      <c r="H71" s="4" t="s">
        <v>117</v>
      </c>
      <c r="I71" s="4"/>
      <c r="J71" s="4"/>
      <c r="K71" s="4">
        <v>224</v>
      </c>
      <c r="L71" s="4">
        <v>27</v>
      </c>
      <c r="M71" s="4">
        <v>3</v>
      </c>
      <c r="N71" s="4" t="s">
        <v>3</v>
      </c>
      <c r="O71" s="4">
        <v>2</v>
      </c>
      <c r="P71" s="4"/>
      <c r="Q71" s="4"/>
      <c r="R71" s="4"/>
      <c r="S71" s="4"/>
      <c r="T71" s="4"/>
      <c r="U71" s="4"/>
      <c r="V71" s="4"/>
      <c r="W71" s="4">
        <v>151830.65</v>
      </c>
      <c r="X71" s="4">
        <v>1</v>
      </c>
      <c r="Y71" s="4">
        <v>151830.65</v>
      </c>
      <c r="Z71" s="4"/>
      <c r="AA71" s="4"/>
      <c r="AB71" s="4"/>
    </row>
    <row r="73" spans="1:245" x14ac:dyDescent="0.2">
      <c r="A73" s="1">
        <v>5</v>
      </c>
      <c r="B73" s="1">
        <v>1</v>
      </c>
      <c r="C73" s="1"/>
      <c r="D73" s="1">
        <f>ROW(A88)</f>
        <v>88</v>
      </c>
      <c r="E73" s="1"/>
      <c r="F73" s="1" t="s">
        <v>15</v>
      </c>
      <c r="G73" s="1" t="s">
        <v>118</v>
      </c>
      <c r="H73" s="1" t="s">
        <v>3</v>
      </c>
      <c r="I73" s="1">
        <v>0</v>
      </c>
      <c r="J73" s="1"/>
      <c r="K73" s="1">
        <v>0</v>
      </c>
      <c r="L73" s="1"/>
      <c r="M73" s="1" t="s">
        <v>3</v>
      </c>
      <c r="N73" s="1"/>
      <c r="O73" s="1"/>
      <c r="P73" s="1"/>
      <c r="Q73" s="1"/>
      <c r="R73" s="1"/>
      <c r="S73" s="1">
        <v>0</v>
      </c>
      <c r="T73" s="1"/>
      <c r="U73" s="1" t="s">
        <v>3</v>
      </c>
      <c r="V73" s="1">
        <v>0</v>
      </c>
      <c r="W73" s="1"/>
      <c r="X73" s="1"/>
      <c r="Y73" s="1"/>
      <c r="Z73" s="1"/>
      <c r="AA73" s="1"/>
      <c r="AB73" s="1" t="s">
        <v>3</v>
      </c>
      <c r="AC73" s="1" t="s">
        <v>3</v>
      </c>
      <c r="AD73" s="1" t="s">
        <v>3</v>
      </c>
      <c r="AE73" s="1" t="s">
        <v>3</v>
      </c>
      <c r="AF73" s="1" t="s">
        <v>3</v>
      </c>
      <c r="AG73" s="1" t="s">
        <v>3</v>
      </c>
      <c r="AH73" s="1"/>
      <c r="AI73" s="1"/>
      <c r="AJ73" s="1"/>
      <c r="AK73" s="1"/>
      <c r="AL73" s="1"/>
      <c r="AM73" s="1"/>
      <c r="AN73" s="1"/>
      <c r="AO73" s="1"/>
      <c r="AP73" s="1" t="s">
        <v>3</v>
      </c>
      <c r="AQ73" s="1" t="s">
        <v>3</v>
      </c>
      <c r="AR73" s="1" t="s">
        <v>3</v>
      </c>
      <c r="AS73" s="1"/>
      <c r="AT73" s="1"/>
      <c r="AU73" s="1"/>
      <c r="AV73" s="1"/>
      <c r="AW73" s="1"/>
      <c r="AX73" s="1"/>
      <c r="AY73" s="1"/>
      <c r="AZ73" s="1" t="s">
        <v>3</v>
      </c>
      <c r="BA73" s="1"/>
      <c r="BB73" s="1" t="s">
        <v>3</v>
      </c>
      <c r="BC73" s="1" t="s">
        <v>3</v>
      </c>
      <c r="BD73" s="1" t="s">
        <v>3</v>
      </c>
      <c r="BE73" s="1" t="s">
        <v>3</v>
      </c>
      <c r="BF73" s="1" t="s">
        <v>3</v>
      </c>
      <c r="BG73" s="1" t="s">
        <v>3</v>
      </c>
      <c r="BH73" s="1" t="s">
        <v>3</v>
      </c>
      <c r="BI73" s="1" t="s">
        <v>3</v>
      </c>
      <c r="BJ73" s="1" t="s">
        <v>3</v>
      </c>
      <c r="BK73" s="1" t="s">
        <v>3</v>
      </c>
      <c r="BL73" s="1" t="s">
        <v>3</v>
      </c>
      <c r="BM73" s="1" t="s">
        <v>3</v>
      </c>
      <c r="BN73" s="1" t="s">
        <v>3</v>
      </c>
      <c r="BO73" s="1" t="s">
        <v>3</v>
      </c>
      <c r="BP73" s="1" t="s">
        <v>3</v>
      </c>
      <c r="BQ73" s="1"/>
      <c r="BR73" s="1"/>
      <c r="BS73" s="1"/>
      <c r="BT73" s="1"/>
      <c r="BU73" s="1"/>
      <c r="BV73" s="1"/>
      <c r="BW73" s="1"/>
      <c r="BX73" s="1">
        <v>0</v>
      </c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>
        <v>0</v>
      </c>
    </row>
    <row r="75" spans="1:245" x14ac:dyDescent="0.2">
      <c r="A75" s="2">
        <v>52</v>
      </c>
      <c r="B75" s="2">
        <f t="shared" ref="B75:G75" si="68">B88</f>
        <v>1</v>
      </c>
      <c r="C75" s="2">
        <f t="shared" si="68"/>
        <v>5</v>
      </c>
      <c r="D75" s="2">
        <f t="shared" si="68"/>
        <v>73</v>
      </c>
      <c r="E75" s="2">
        <f t="shared" si="68"/>
        <v>0</v>
      </c>
      <c r="F75" s="2" t="str">
        <f t="shared" si="68"/>
        <v>Новый подраздел</v>
      </c>
      <c r="G75" s="2" t="str">
        <f t="shared" si="68"/>
        <v>1.2 Ремонтно-строительные работы</v>
      </c>
      <c r="H75" s="2"/>
      <c r="I75" s="2"/>
      <c r="J75" s="2"/>
      <c r="K75" s="2"/>
      <c r="L75" s="2"/>
      <c r="M75" s="2"/>
      <c r="N75" s="2"/>
      <c r="O75" s="2">
        <f t="shared" ref="O75:AT75" si="69">O88</f>
        <v>531337.61</v>
      </c>
      <c r="P75" s="2">
        <f t="shared" si="69"/>
        <v>194371.06</v>
      </c>
      <c r="Q75" s="2">
        <f t="shared" si="69"/>
        <v>16302.94</v>
      </c>
      <c r="R75" s="2">
        <f t="shared" si="69"/>
        <v>14252.71</v>
      </c>
      <c r="S75" s="2">
        <f t="shared" si="69"/>
        <v>320663.61</v>
      </c>
      <c r="T75" s="2">
        <f t="shared" si="69"/>
        <v>0</v>
      </c>
      <c r="U75" s="2">
        <f t="shared" si="69"/>
        <v>1068.9519400000001</v>
      </c>
      <c r="V75" s="2">
        <f t="shared" si="69"/>
        <v>0</v>
      </c>
      <c r="W75" s="2">
        <f t="shared" si="69"/>
        <v>0</v>
      </c>
      <c r="X75" s="2">
        <f t="shared" si="69"/>
        <v>224464.53</v>
      </c>
      <c r="Y75" s="2">
        <f t="shared" si="69"/>
        <v>32066.35</v>
      </c>
      <c r="Z75" s="2">
        <f t="shared" si="69"/>
        <v>0</v>
      </c>
      <c r="AA75" s="2">
        <f t="shared" si="69"/>
        <v>0</v>
      </c>
      <c r="AB75" s="2">
        <f t="shared" si="69"/>
        <v>531337.61</v>
      </c>
      <c r="AC75" s="2">
        <f t="shared" si="69"/>
        <v>194371.06</v>
      </c>
      <c r="AD75" s="2">
        <f t="shared" si="69"/>
        <v>16302.94</v>
      </c>
      <c r="AE75" s="2">
        <f t="shared" si="69"/>
        <v>14252.71</v>
      </c>
      <c r="AF75" s="2">
        <f t="shared" si="69"/>
        <v>320663.61</v>
      </c>
      <c r="AG75" s="2">
        <f t="shared" si="69"/>
        <v>0</v>
      </c>
      <c r="AH75" s="2">
        <f t="shared" si="69"/>
        <v>1068.9519400000001</v>
      </c>
      <c r="AI75" s="2">
        <f t="shared" si="69"/>
        <v>0</v>
      </c>
      <c r="AJ75" s="2">
        <f t="shared" si="69"/>
        <v>0</v>
      </c>
      <c r="AK75" s="2">
        <f t="shared" si="69"/>
        <v>224464.53</v>
      </c>
      <c r="AL75" s="2">
        <f t="shared" si="69"/>
        <v>32066.35</v>
      </c>
      <c r="AM75" s="2">
        <f t="shared" si="69"/>
        <v>0</v>
      </c>
      <c r="AN75" s="2">
        <f t="shared" si="69"/>
        <v>0</v>
      </c>
      <c r="AO75" s="2">
        <f t="shared" si="69"/>
        <v>0</v>
      </c>
      <c r="AP75" s="2">
        <f t="shared" si="69"/>
        <v>0</v>
      </c>
      <c r="AQ75" s="2">
        <f t="shared" si="69"/>
        <v>0</v>
      </c>
      <c r="AR75" s="2">
        <f t="shared" si="69"/>
        <v>803261.41</v>
      </c>
      <c r="AS75" s="2">
        <f t="shared" si="69"/>
        <v>0</v>
      </c>
      <c r="AT75" s="2">
        <f t="shared" si="69"/>
        <v>0</v>
      </c>
      <c r="AU75" s="2">
        <f t="shared" ref="AU75:BZ75" si="70">AU88</f>
        <v>803261.41</v>
      </c>
      <c r="AV75" s="2">
        <f t="shared" si="70"/>
        <v>194371.06</v>
      </c>
      <c r="AW75" s="2">
        <f t="shared" si="70"/>
        <v>194371.06</v>
      </c>
      <c r="AX75" s="2">
        <f t="shared" si="70"/>
        <v>0</v>
      </c>
      <c r="AY75" s="2">
        <f t="shared" si="70"/>
        <v>194371.06</v>
      </c>
      <c r="AZ75" s="2">
        <f t="shared" si="70"/>
        <v>0</v>
      </c>
      <c r="BA75" s="2">
        <f t="shared" si="70"/>
        <v>0</v>
      </c>
      <c r="BB75" s="2">
        <f t="shared" si="70"/>
        <v>0</v>
      </c>
      <c r="BC75" s="2">
        <f t="shared" si="70"/>
        <v>0</v>
      </c>
      <c r="BD75" s="2">
        <f t="shared" si="70"/>
        <v>0</v>
      </c>
      <c r="BE75" s="2">
        <f t="shared" si="70"/>
        <v>0</v>
      </c>
      <c r="BF75" s="2">
        <f t="shared" si="70"/>
        <v>0</v>
      </c>
      <c r="BG75" s="2">
        <f t="shared" si="70"/>
        <v>0</v>
      </c>
      <c r="BH75" s="2">
        <f t="shared" si="70"/>
        <v>0</v>
      </c>
      <c r="BI75" s="2">
        <f t="shared" si="70"/>
        <v>0</v>
      </c>
      <c r="BJ75" s="2">
        <f t="shared" si="70"/>
        <v>0</v>
      </c>
      <c r="BK75" s="2">
        <f t="shared" si="70"/>
        <v>0</v>
      </c>
      <c r="BL75" s="2">
        <f t="shared" si="70"/>
        <v>0</v>
      </c>
      <c r="BM75" s="2">
        <f t="shared" si="70"/>
        <v>0</v>
      </c>
      <c r="BN75" s="2">
        <f t="shared" si="70"/>
        <v>0</v>
      </c>
      <c r="BO75" s="2">
        <f t="shared" si="70"/>
        <v>0</v>
      </c>
      <c r="BP75" s="2">
        <f t="shared" si="70"/>
        <v>0</v>
      </c>
      <c r="BQ75" s="2">
        <f t="shared" si="70"/>
        <v>0</v>
      </c>
      <c r="BR75" s="2">
        <f t="shared" si="70"/>
        <v>0</v>
      </c>
      <c r="BS75" s="2">
        <f t="shared" si="70"/>
        <v>0</v>
      </c>
      <c r="BT75" s="2">
        <f t="shared" si="70"/>
        <v>0</v>
      </c>
      <c r="BU75" s="2">
        <f t="shared" si="70"/>
        <v>0</v>
      </c>
      <c r="BV75" s="2">
        <f t="shared" si="70"/>
        <v>0</v>
      </c>
      <c r="BW75" s="2">
        <f t="shared" si="70"/>
        <v>0</v>
      </c>
      <c r="BX75" s="2">
        <f t="shared" si="70"/>
        <v>0</v>
      </c>
      <c r="BY75" s="2">
        <f t="shared" si="70"/>
        <v>0</v>
      </c>
      <c r="BZ75" s="2">
        <f t="shared" si="70"/>
        <v>0</v>
      </c>
      <c r="CA75" s="2">
        <f t="shared" ref="CA75:DF75" si="71">CA88</f>
        <v>803261.41</v>
      </c>
      <c r="CB75" s="2">
        <f t="shared" si="71"/>
        <v>0</v>
      </c>
      <c r="CC75" s="2">
        <f t="shared" si="71"/>
        <v>0</v>
      </c>
      <c r="CD75" s="2">
        <f t="shared" si="71"/>
        <v>803261.41</v>
      </c>
      <c r="CE75" s="2">
        <f t="shared" si="71"/>
        <v>194371.06</v>
      </c>
      <c r="CF75" s="2">
        <f t="shared" si="71"/>
        <v>194371.06</v>
      </c>
      <c r="CG75" s="2">
        <f t="shared" si="71"/>
        <v>0</v>
      </c>
      <c r="CH75" s="2">
        <f t="shared" si="71"/>
        <v>194371.06</v>
      </c>
      <c r="CI75" s="2">
        <f t="shared" si="71"/>
        <v>0</v>
      </c>
      <c r="CJ75" s="2">
        <f t="shared" si="71"/>
        <v>0</v>
      </c>
      <c r="CK75" s="2">
        <f t="shared" si="71"/>
        <v>0</v>
      </c>
      <c r="CL75" s="2">
        <f t="shared" si="71"/>
        <v>0</v>
      </c>
      <c r="CM75" s="2">
        <f t="shared" si="71"/>
        <v>0</v>
      </c>
      <c r="CN75" s="2">
        <f t="shared" si="71"/>
        <v>0</v>
      </c>
      <c r="CO75" s="2">
        <f t="shared" si="71"/>
        <v>0</v>
      </c>
      <c r="CP75" s="2">
        <f t="shared" si="71"/>
        <v>0</v>
      </c>
      <c r="CQ75" s="2">
        <f t="shared" si="71"/>
        <v>0</v>
      </c>
      <c r="CR75" s="2">
        <f t="shared" si="71"/>
        <v>0</v>
      </c>
      <c r="CS75" s="2">
        <f t="shared" si="71"/>
        <v>0</v>
      </c>
      <c r="CT75" s="2">
        <f t="shared" si="71"/>
        <v>0</v>
      </c>
      <c r="CU75" s="2">
        <f t="shared" si="71"/>
        <v>0</v>
      </c>
      <c r="CV75" s="2">
        <f t="shared" si="71"/>
        <v>0</v>
      </c>
      <c r="CW75" s="2">
        <f t="shared" si="71"/>
        <v>0</v>
      </c>
      <c r="CX75" s="2">
        <f t="shared" si="71"/>
        <v>0</v>
      </c>
      <c r="CY75" s="2">
        <f t="shared" si="71"/>
        <v>0</v>
      </c>
      <c r="CZ75" s="2">
        <f t="shared" si="71"/>
        <v>0</v>
      </c>
      <c r="DA75" s="2">
        <f t="shared" si="71"/>
        <v>0</v>
      </c>
      <c r="DB75" s="2">
        <f t="shared" si="71"/>
        <v>0</v>
      </c>
      <c r="DC75" s="2">
        <f t="shared" si="71"/>
        <v>0</v>
      </c>
      <c r="DD75" s="2">
        <f t="shared" si="71"/>
        <v>0</v>
      </c>
      <c r="DE75" s="2">
        <f t="shared" si="71"/>
        <v>0</v>
      </c>
      <c r="DF75" s="2">
        <f t="shared" si="71"/>
        <v>0</v>
      </c>
      <c r="DG75" s="3">
        <f t="shared" ref="DG75:EL75" si="72">DG88</f>
        <v>0</v>
      </c>
      <c r="DH75" s="3">
        <f t="shared" si="72"/>
        <v>0</v>
      </c>
      <c r="DI75" s="3">
        <f t="shared" si="72"/>
        <v>0</v>
      </c>
      <c r="DJ75" s="3">
        <f t="shared" si="72"/>
        <v>0</v>
      </c>
      <c r="DK75" s="3">
        <f t="shared" si="72"/>
        <v>0</v>
      </c>
      <c r="DL75" s="3">
        <f t="shared" si="72"/>
        <v>0</v>
      </c>
      <c r="DM75" s="3">
        <f t="shared" si="72"/>
        <v>0</v>
      </c>
      <c r="DN75" s="3">
        <f t="shared" si="72"/>
        <v>0</v>
      </c>
      <c r="DO75" s="3">
        <f t="shared" si="72"/>
        <v>0</v>
      </c>
      <c r="DP75" s="3">
        <f t="shared" si="72"/>
        <v>0</v>
      </c>
      <c r="DQ75" s="3">
        <f t="shared" si="72"/>
        <v>0</v>
      </c>
      <c r="DR75" s="3">
        <f t="shared" si="72"/>
        <v>0</v>
      </c>
      <c r="DS75" s="3">
        <f t="shared" si="72"/>
        <v>0</v>
      </c>
      <c r="DT75" s="3">
        <f t="shared" si="72"/>
        <v>0</v>
      </c>
      <c r="DU75" s="3">
        <f t="shared" si="72"/>
        <v>0</v>
      </c>
      <c r="DV75" s="3">
        <f t="shared" si="72"/>
        <v>0</v>
      </c>
      <c r="DW75" s="3">
        <f t="shared" si="72"/>
        <v>0</v>
      </c>
      <c r="DX75" s="3">
        <f t="shared" si="72"/>
        <v>0</v>
      </c>
      <c r="DY75" s="3">
        <f t="shared" si="72"/>
        <v>0</v>
      </c>
      <c r="DZ75" s="3">
        <f t="shared" si="72"/>
        <v>0</v>
      </c>
      <c r="EA75" s="3">
        <f t="shared" si="72"/>
        <v>0</v>
      </c>
      <c r="EB75" s="3">
        <f t="shared" si="72"/>
        <v>0</v>
      </c>
      <c r="EC75" s="3">
        <f t="shared" si="72"/>
        <v>0</v>
      </c>
      <c r="ED75" s="3">
        <f t="shared" si="72"/>
        <v>0</v>
      </c>
      <c r="EE75" s="3">
        <f t="shared" si="72"/>
        <v>0</v>
      </c>
      <c r="EF75" s="3">
        <f t="shared" si="72"/>
        <v>0</v>
      </c>
      <c r="EG75" s="3">
        <f t="shared" si="72"/>
        <v>0</v>
      </c>
      <c r="EH75" s="3">
        <f t="shared" si="72"/>
        <v>0</v>
      </c>
      <c r="EI75" s="3">
        <f t="shared" si="72"/>
        <v>0</v>
      </c>
      <c r="EJ75" s="3">
        <f t="shared" si="72"/>
        <v>0</v>
      </c>
      <c r="EK75" s="3">
        <f t="shared" si="72"/>
        <v>0</v>
      </c>
      <c r="EL75" s="3">
        <f t="shared" si="72"/>
        <v>0</v>
      </c>
      <c r="EM75" s="3">
        <f t="shared" ref="EM75:FR75" si="73">EM88</f>
        <v>0</v>
      </c>
      <c r="EN75" s="3">
        <f t="shared" si="73"/>
        <v>0</v>
      </c>
      <c r="EO75" s="3">
        <f t="shared" si="73"/>
        <v>0</v>
      </c>
      <c r="EP75" s="3">
        <f t="shared" si="73"/>
        <v>0</v>
      </c>
      <c r="EQ75" s="3">
        <f t="shared" si="73"/>
        <v>0</v>
      </c>
      <c r="ER75" s="3">
        <f t="shared" si="73"/>
        <v>0</v>
      </c>
      <c r="ES75" s="3">
        <f t="shared" si="73"/>
        <v>0</v>
      </c>
      <c r="ET75" s="3">
        <f t="shared" si="73"/>
        <v>0</v>
      </c>
      <c r="EU75" s="3">
        <f t="shared" si="73"/>
        <v>0</v>
      </c>
      <c r="EV75" s="3">
        <f t="shared" si="73"/>
        <v>0</v>
      </c>
      <c r="EW75" s="3">
        <f t="shared" si="73"/>
        <v>0</v>
      </c>
      <c r="EX75" s="3">
        <f t="shared" si="73"/>
        <v>0</v>
      </c>
      <c r="EY75" s="3">
        <f t="shared" si="73"/>
        <v>0</v>
      </c>
      <c r="EZ75" s="3">
        <f t="shared" si="73"/>
        <v>0</v>
      </c>
      <c r="FA75" s="3">
        <f t="shared" si="73"/>
        <v>0</v>
      </c>
      <c r="FB75" s="3">
        <f t="shared" si="73"/>
        <v>0</v>
      </c>
      <c r="FC75" s="3">
        <f t="shared" si="73"/>
        <v>0</v>
      </c>
      <c r="FD75" s="3">
        <f t="shared" si="73"/>
        <v>0</v>
      </c>
      <c r="FE75" s="3">
        <f t="shared" si="73"/>
        <v>0</v>
      </c>
      <c r="FF75" s="3">
        <f t="shared" si="73"/>
        <v>0</v>
      </c>
      <c r="FG75" s="3">
        <f t="shared" si="73"/>
        <v>0</v>
      </c>
      <c r="FH75" s="3">
        <f t="shared" si="73"/>
        <v>0</v>
      </c>
      <c r="FI75" s="3">
        <f t="shared" si="73"/>
        <v>0</v>
      </c>
      <c r="FJ75" s="3">
        <f t="shared" si="73"/>
        <v>0</v>
      </c>
      <c r="FK75" s="3">
        <f t="shared" si="73"/>
        <v>0</v>
      </c>
      <c r="FL75" s="3">
        <f t="shared" si="73"/>
        <v>0</v>
      </c>
      <c r="FM75" s="3">
        <f t="shared" si="73"/>
        <v>0</v>
      </c>
      <c r="FN75" s="3">
        <f t="shared" si="73"/>
        <v>0</v>
      </c>
      <c r="FO75" s="3">
        <f t="shared" si="73"/>
        <v>0</v>
      </c>
      <c r="FP75" s="3">
        <f t="shared" si="73"/>
        <v>0</v>
      </c>
      <c r="FQ75" s="3">
        <f t="shared" si="73"/>
        <v>0</v>
      </c>
      <c r="FR75" s="3">
        <f t="shared" si="73"/>
        <v>0</v>
      </c>
      <c r="FS75" s="3">
        <f t="shared" ref="FS75:GX75" si="74">FS88</f>
        <v>0</v>
      </c>
      <c r="FT75" s="3">
        <f t="shared" si="74"/>
        <v>0</v>
      </c>
      <c r="FU75" s="3">
        <f t="shared" si="74"/>
        <v>0</v>
      </c>
      <c r="FV75" s="3">
        <f t="shared" si="74"/>
        <v>0</v>
      </c>
      <c r="FW75" s="3">
        <f t="shared" si="74"/>
        <v>0</v>
      </c>
      <c r="FX75" s="3">
        <f t="shared" si="74"/>
        <v>0</v>
      </c>
      <c r="FY75" s="3">
        <f t="shared" si="74"/>
        <v>0</v>
      </c>
      <c r="FZ75" s="3">
        <f t="shared" si="74"/>
        <v>0</v>
      </c>
      <c r="GA75" s="3">
        <f t="shared" si="74"/>
        <v>0</v>
      </c>
      <c r="GB75" s="3">
        <f t="shared" si="74"/>
        <v>0</v>
      </c>
      <c r="GC75" s="3">
        <f t="shared" si="74"/>
        <v>0</v>
      </c>
      <c r="GD75" s="3">
        <f t="shared" si="74"/>
        <v>0</v>
      </c>
      <c r="GE75" s="3">
        <f t="shared" si="74"/>
        <v>0</v>
      </c>
      <c r="GF75" s="3">
        <f t="shared" si="74"/>
        <v>0</v>
      </c>
      <c r="GG75" s="3">
        <f t="shared" si="74"/>
        <v>0</v>
      </c>
      <c r="GH75" s="3">
        <f t="shared" si="74"/>
        <v>0</v>
      </c>
      <c r="GI75" s="3">
        <f t="shared" si="74"/>
        <v>0</v>
      </c>
      <c r="GJ75" s="3">
        <f t="shared" si="74"/>
        <v>0</v>
      </c>
      <c r="GK75" s="3">
        <f t="shared" si="74"/>
        <v>0</v>
      </c>
      <c r="GL75" s="3">
        <f t="shared" si="74"/>
        <v>0</v>
      </c>
      <c r="GM75" s="3">
        <f t="shared" si="74"/>
        <v>0</v>
      </c>
      <c r="GN75" s="3">
        <f t="shared" si="74"/>
        <v>0</v>
      </c>
      <c r="GO75" s="3">
        <f t="shared" si="74"/>
        <v>0</v>
      </c>
      <c r="GP75" s="3">
        <f t="shared" si="74"/>
        <v>0</v>
      </c>
      <c r="GQ75" s="3">
        <f t="shared" si="74"/>
        <v>0</v>
      </c>
      <c r="GR75" s="3">
        <f t="shared" si="74"/>
        <v>0</v>
      </c>
      <c r="GS75" s="3">
        <f t="shared" si="74"/>
        <v>0</v>
      </c>
      <c r="GT75" s="3">
        <f t="shared" si="74"/>
        <v>0</v>
      </c>
      <c r="GU75" s="3">
        <f t="shared" si="74"/>
        <v>0</v>
      </c>
      <c r="GV75" s="3">
        <f t="shared" si="74"/>
        <v>0</v>
      </c>
      <c r="GW75" s="3">
        <f t="shared" si="74"/>
        <v>0</v>
      </c>
      <c r="GX75" s="3">
        <f t="shared" si="74"/>
        <v>0</v>
      </c>
    </row>
    <row r="77" spans="1:245" x14ac:dyDescent="0.2">
      <c r="A77">
        <v>17</v>
      </c>
      <c r="B77">
        <v>1</v>
      </c>
      <c r="D77">
        <f>ROW(EtalonRes!A30)</f>
        <v>30</v>
      </c>
      <c r="E77" t="s">
        <v>119</v>
      </c>
      <c r="F77" t="s">
        <v>120</v>
      </c>
      <c r="G77" t="s">
        <v>121</v>
      </c>
      <c r="H77" t="s">
        <v>42</v>
      </c>
      <c r="I77">
        <v>3.9590999999999998</v>
      </c>
      <c r="J77">
        <v>0</v>
      </c>
      <c r="K77">
        <v>3.9590999999999998</v>
      </c>
      <c r="O77">
        <f t="shared" ref="O77:O86" si="75">ROUND(CP77,2)</f>
        <v>132810.54999999999</v>
      </c>
      <c r="P77">
        <f t="shared" ref="P77:P86" si="76">ROUND(CQ77*I77,2)</f>
        <v>48658.45</v>
      </c>
      <c r="Q77">
        <f t="shared" ref="Q77:Q86" si="77">ROUND(CR77*I77,2)</f>
        <v>9352.86</v>
      </c>
      <c r="R77">
        <f t="shared" ref="R77:R86" si="78">ROUND(CS77*I77,2)</f>
        <v>8299.58</v>
      </c>
      <c r="S77">
        <f t="shared" ref="S77:S86" si="79">ROUND(CT77*I77,2)</f>
        <v>74799.240000000005</v>
      </c>
      <c r="T77">
        <f t="shared" ref="T77:T86" si="80">ROUND(CU77*I77,2)</f>
        <v>0</v>
      </c>
      <c r="U77">
        <f t="shared" ref="U77:U86" si="81">CV77*I77</f>
        <v>253.14485399999998</v>
      </c>
      <c r="V77">
        <f t="shared" ref="V77:V86" si="82">CW77*I77</f>
        <v>0</v>
      </c>
      <c r="W77">
        <f t="shared" ref="W77:W86" si="83">ROUND(CX77*I77,2)</f>
        <v>0</v>
      </c>
      <c r="X77">
        <f t="shared" ref="X77:X86" si="84">ROUND(CY77,2)</f>
        <v>52359.47</v>
      </c>
      <c r="Y77">
        <f t="shared" ref="Y77:Y86" si="85">ROUND(CZ77,2)</f>
        <v>7479.92</v>
      </c>
      <c r="AA77">
        <v>72192302</v>
      </c>
      <c r="AB77">
        <f t="shared" ref="AB77:AB86" si="86">ROUND((AC77+AD77+AF77),6)</f>
        <v>33545.64</v>
      </c>
      <c r="AC77">
        <f t="shared" ref="AC77:AC86" si="87">ROUND((ES77),6)</f>
        <v>12290.28</v>
      </c>
      <c r="AD77">
        <f t="shared" ref="AD77:AD86" si="88">ROUND((((ET77)-(EU77))+AE77),6)</f>
        <v>2362.37</v>
      </c>
      <c r="AE77">
        <f t="shared" ref="AE77:AE86" si="89">ROUND((EU77),6)</f>
        <v>2096.33</v>
      </c>
      <c r="AF77">
        <f t="shared" ref="AF77:AF86" si="90">ROUND((EV77),6)</f>
        <v>18892.990000000002</v>
      </c>
      <c r="AG77">
        <f t="shared" ref="AG77:AG86" si="91">ROUND((AP77),6)</f>
        <v>0</v>
      </c>
      <c r="AH77">
        <f t="shared" ref="AH77:AH86" si="92">(EW77)</f>
        <v>63.94</v>
      </c>
      <c r="AI77">
        <f t="shared" ref="AI77:AI86" si="93">(EX77)</f>
        <v>0</v>
      </c>
      <c r="AJ77">
        <f t="shared" ref="AJ77:AJ86" si="94">(AS77)</f>
        <v>0</v>
      </c>
      <c r="AK77">
        <v>33545.64</v>
      </c>
      <c r="AL77">
        <v>12290.28</v>
      </c>
      <c r="AM77">
        <v>2362.37</v>
      </c>
      <c r="AN77">
        <v>2096.33</v>
      </c>
      <c r="AO77">
        <v>18892.990000000002</v>
      </c>
      <c r="AP77">
        <v>0</v>
      </c>
      <c r="AQ77">
        <v>63.94</v>
      </c>
      <c r="AR77">
        <v>0</v>
      </c>
      <c r="AS77">
        <v>0</v>
      </c>
      <c r="AT77">
        <v>70</v>
      </c>
      <c r="AU77">
        <v>10</v>
      </c>
      <c r="AV77">
        <v>1</v>
      </c>
      <c r="AW77">
        <v>1</v>
      </c>
      <c r="AZ77">
        <v>1</v>
      </c>
      <c r="BA77">
        <v>1</v>
      </c>
      <c r="BB77">
        <v>1</v>
      </c>
      <c r="BC77">
        <v>1</v>
      </c>
      <c r="BD77" t="s">
        <v>3</v>
      </c>
      <c r="BE77" t="s">
        <v>3</v>
      </c>
      <c r="BF77" t="s">
        <v>3</v>
      </c>
      <c r="BG77" t="s">
        <v>3</v>
      </c>
      <c r="BH77">
        <v>0</v>
      </c>
      <c r="BI77">
        <v>4</v>
      </c>
      <c r="BJ77" t="s">
        <v>122</v>
      </c>
      <c r="BM77">
        <v>0</v>
      </c>
      <c r="BN77">
        <v>0</v>
      </c>
      <c r="BO77" t="s">
        <v>3</v>
      </c>
      <c r="BP77">
        <v>0</v>
      </c>
      <c r="BQ77">
        <v>1</v>
      </c>
      <c r="BR77">
        <v>0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 t="s">
        <v>3</v>
      </c>
      <c r="BZ77">
        <v>70</v>
      </c>
      <c r="CA77">
        <v>10</v>
      </c>
      <c r="CB77" t="s">
        <v>3</v>
      </c>
      <c r="CE77">
        <v>0</v>
      </c>
      <c r="CF77">
        <v>0</v>
      </c>
      <c r="CG77">
        <v>0</v>
      </c>
      <c r="CM77">
        <v>0</v>
      </c>
      <c r="CN77" t="s">
        <v>3</v>
      </c>
      <c r="CO77">
        <v>0</v>
      </c>
      <c r="CP77">
        <f t="shared" ref="CP77:CP86" si="95">(P77+Q77+S77)</f>
        <v>132810.54999999999</v>
      </c>
      <c r="CQ77">
        <f t="shared" ref="CQ77:CQ86" si="96">(AC77*BC77*AW77)</f>
        <v>12290.28</v>
      </c>
      <c r="CR77">
        <f t="shared" ref="CR77:CR86" si="97">((((ET77)*BB77-(EU77)*BS77)+AE77*BS77)*AV77)</f>
        <v>2362.37</v>
      </c>
      <c r="CS77">
        <f t="shared" ref="CS77:CS86" si="98">(AE77*BS77*AV77)</f>
        <v>2096.33</v>
      </c>
      <c r="CT77">
        <f t="shared" ref="CT77:CT86" si="99">(AF77*BA77*AV77)</f>
        <v>18892.990000000002</v>
      </c>
      <c r="CU77">
        <f t="shared" ref="CU77:CU86" si="100">AG77</f>
        <v>0</v>
      </c>
      <c r="CV77">
        <f t="shared" ref="CV77:CV86" si="101">(AH77*AV77)</f>
        <v>63.94</v>
      </c>
      <c r="CW77">
        <f t="shared" ref="CW77:CW86" si="102">AI77</f>
        <v>0</v>
      </c>
      <c r="CX77">
        <f t="shared" ref="CX77:CX86" si="103">AJ77</f>
        <v>0</v>
      </c>
      <c r="CY77">
        <f t="shared" ref="CY77:CY86" si="104">((S77*BZ77)/100)</f>
        <v>52359.468000000008</v>
      </c>
      <c r="CZ77">
        <f t="shared" ref="CZ77:CZ86" si="105">((S77*CA77)/100)</f>
        <v>7479.924</v>
      </c>
      <c r="DC77" t="s">
        <v>3</v>
      </c>
      <c r="DD77" t="s">
        <v>3</v>
      </c>
      <c r="DE77" t="s">
        <v>3</v>
      </c>
      <c r="DF77" t="s">
        <v>3</v>
      </c>
      <c r="DG77" t="s">
        <v>3</v>
      </c>
      <c r="DH77" t="s">
        <v>3</v>
      </c>
      <c r="DI77" t="s">
        <v>3</v>
      </c>
      <c r="DJ77" t="s">
        <v>3</v>
      </c>
      <c r="DK77" t="s">
        <v>3</v>
      </c>
      <c r="DL77" t="s">
        <v>3</v>
      </c>
      <c r="DM77" t="s">
        <v>3</v>
      </c>
      <c r="DN77">
        <v>0</v>
      </c>
      <c r="DO77">
        <v>0</v>
      </c>
      <c r="DP77">
        <v>1</v>
      </c>
      <c r="DQ77">
        <v>1</v>
      </c>
      <c r="DU77">
        <v>1005</v>
      </c>
      <c r="DV77" t="s">
        <v>42</v>
      </c>
      <c r="DW77" t="s">
        <v>42</v>
      </c>
      <c r="DX77">
        <v>100</v>
      </c>
      <c r="DZ77" t="s">
        <v>3</v>
      </c>
      <c r="EA77" t="s">
        <v>3</v>
      </c>
      <c r="EB77" t="s">
        <v>3</v>
      </c>
      <c r="EC77" t="s">
        <v>3</v>
      </c>
      <c r="EE77">
        <v>71753531</v>
      </c>
      <c r="EF77">
        <v>1</v>
      </c>
      <c r="EG77" t="s">
        <v>22</v>
      </c>
      <c r="EH77">
        <v>0</v>
      </c>
      <c r="EI77" t="s">
        <v>3</v>
      </c>
      <c r="EJ77">
        <v>4</v>
      </c>
      <c r="EK77">
        <v>0</v>
      </c>
      <c r="EL77" t="s">
        <v>23</v>
      </c>
      <c r="EM77" t="s">
        <v>24</v>
      </c>
      <c r="EO77" t="s">
        <v>3</v>
      </c>
      <c r="EQ77">
        <v>0</v>
      </c>
      <c r="ER77">
        <v>33545.64</v>
      </c>
      <c r="ES77">
        <v>12290.28</v>
      </c>
      <c r="ET77">
        <v>2362.37</v>
      </c>
      <c r="EU77">
        <v>2096.33</v>
      </c>
      <c r="EV77">
        <v>18892.990000000002</v>
      </c>
      <c r="EW77">
        <v>63.94</v>
      </c>
      <c r="EX77">
        <v>0</v>
      </c>
      <c r="EY77">
        <v>0</v>
      </c>
      <c r="FQ77">
        <v>0</v>
      </c>
      <c r="FR77">
        <f t="shared" ref="FR77:FR86" si="106">ROUND(IF(BI77=3,GM77,0),2)</f>
        <v>0</v>
      </c>
      <c r="FS77">
        <v>0</v>
      </c>
      <c r="FX77">
        <v>70</v>
      </c>
      <c r="FY77">
        <v>10</v>
      </c>
      <c r="GA77" t="s">
        <v>3</v>
      </c>
      <c r="GD77">
        <v>0</v>
      </c>
      <c r="GF77">
        <v>1035890435</v>
      </c>
      <c r="GG77">
        <v>2</v>
      </c>
      <c r="GH77">
        <v>1</v>
      </c>
      <c r="GI77">
        <v>-2</v>
      </c>
      <c r="GJ77">
        <v>0</v>
      </c>
      <c r="GK77">
        <f>ROUND(R77*(R12)/100,2)</f>
        <v>8963.5499999999993</v>
      </c>
      <c r="GL77">
        <f t="shared" ref="GL77:GL86" si="107">ROUND(IF(AND(BH77=3,BI77=3,FS77&lt;&gt;0),P77,0),2)</f>
        <v>0</v>
      </c>
      <c r="GM77">
        <f t="shared" ref="GM77:GM86" si="108">ROUND(O77+X77+Y77+GK77,2)+GX77</f>
        <v>201613.49</v>
      </c>
      <c r="GN77">
        <f t="shared" ref="GN77:GN86" si="109">IF(OR(BI77=0,BI77=1),GM77,0)</f>
        <v>0</v>
      </c>
      <c r="GO77">
        <f t="shared" ref="GO77:GO86" si="110">IF(BI77=2,GM77,0)</f>
        <v>0</v>
      </c>
      <c r="GP77">
        <f t="shared" ref="GP77:GP86" si="111">IF(BI77=4,GM77+GX77,0)</f>
        <v>201613.49</v>
      </c>
      <c r="GR77">
        <v>0</v>
      </c>
      <c r="GS77">
        <v>3</v>
      </c>
      <c r="GT77">
        <v>0</v>
      </c>
      <c r="GU77" t="s">
        <v>3</v>
      </c>
      <c r="GV77">
        <f t="shared" ref="GV77:GV86" si="112">ROUND((GT77),6)</f>
        <v>0</v>
      </c>
      <c r="GW77">
        <v>1</v>
      </c>
      <c r="GX77">
        <f t="shared" ref="GX77:GX86" si="113">ROUND(HC77*I77,2)</f>
        <v>0</v>
      </c>
      <c r="HA77">
        <v>0</v>
      </c>
      <c r="HB77">
        <v>0</v>
      </c>
      <c r="HC77">
        <f t="shared" ref="HC77:HC86" si="114">GV77*GW77</f>
        <v>0</v>
      </c>
      <c r="HE77" t="s">
        <v>3</v>
      </c>
      <c r="HF77" t="s">
        <v>3</v>
      </c>
      <c r="HM77" t="s">
        <v>3</v>
      </c>
      <c r="HN77" t="s">
        <v>3</v>
      </c>
      <c r="HO77" t="s">
        <v>3</v>
      </c>
      <c r="HP77" t="s">
        <v>3</v>
      </c>
      <c r="HQ77" t="s">
        <v>3</v>
      </c>
      <c r="IK77">
        <v>0</v>
      </c>
    </row>
    <row r="78" spans="1:245" x14ac:dyDescent="0.2">
      <c r="A78">
        <v>17</v>
      </c>
      <c r="B78">
        <v>1</v>
      </c>
      <c r="D78">
        <f>ROW(EtalonRes!A33)</f>
        <v>33</v>
      </c>
      <c r="E78" t="s">
        <v>123</v>
      </c>
      <c r="F78" t="s">
        <v>124</v>
      </c>
      <c r="G78" t="s">
        <v>125</v>
      </c>
      <c r="H78" t="s">
        <v>42</v>
      </c>
      <c r="I78">
        <v>3.9590999999999998</v>
      </c>
      <c r="J78">
        <v>0</v>
      </c>
      <c r="K78">
        <v>3.9590999999999998</v>
      </c>
      <c r="O78">
        <f t="shared" si="75"/>
        <v>10164.39</v>
      </c>
      <c r="P78">
        <f t="shared" si="76"/>
        <v>4289.92</v>
      </c>
      <c r="Q78">
        <f t="shared" si="77"/>
        <v>1.66</v>
      </c>
      <c r="R78">
        <f t="shared" si="78"/>
        <v>0.04</v>
      </c>
      <c r="S78">
        <f t="shared" si="79"/>
        <v>5872.81</v>
      </c>
      <c r="T78">
        <f t="shared" si="80"/>
        <v>0</v>
      </c>
      <c r="U78">
        <f t="shared" si="81"/>
        <v>21.181184999999999</v>
      </c>
      <c r="V78">
        <f t="shared" si="82"/>
        <v>0</v>
      </c>
      <c r="W78">
        <f t="shared" si="83"/>
        <v>0</v>
      </c>
      <c r="X78">
        <f t="shared" si="84"/>
        <v>4110.97</v>
      </c>
      <c r="Y78">
        <f t="shared" si="85"/>
        <v>587.28</v>
      </c>
      <c r="AA78">
        <v>72192302</v>
      </c>
      <c r="AB78">
        <f t="shared" si="86"/>
        <v>2567.35</v>
      </c>
      <c r="AC78">
        <f t="shared" si="87"/>
        <v>1083.56</v>
      </c>
      <c r="AD78">
        <f t="shared" si="88"/>
        <v>0.42</v>
      </c>
      <c r="AE78">
        <f t="shared" si="89"/>
        <v>0.01</v>
      </c>
      <c r="AF78">
        <f t="shared" si="90"/>
        <v>1483.37</v>
      </c>
      <c r="AG78">
        <f t="shared" si="91"/>
        <v>0</v>
      </c>
      <c r="AH78">
        <f t="shared" si="92"/>
        <v>5.35</v>
      </c>
      <c r="AI78">
        <f t="shared" si="93"/>
        <v>0</v>
      </c>
      <c r="AJ78">
        <f t="shared" si="94"/>
        <v>0</v>
      </c>
      <c r="AK78">
        <v>2567.35</v>
      </c>
      <c r="AL78">
        <v>1083.56</v>
      </c>
      <c r="AM78">
        <v>0.42</v>
      </c>
      <c r="AN78">
        <v>0.01</v>
      </c>
      <c r="AO78">
        <v>1483.37</v>
      </c>
      <c r="AP78">
        <v>0</v>
      </c>
      <c r="AQ78">
        <v>5.35</v>
      </c>
      <c r="AR78">
        <v>0</v>
      </c>
      <c r="AS78">
        <v>0</v>
      </c>
      <c r="AT78">
        <v>70</v>
      </c>
      <c r="AU78">
        <v>10</v>
      </c>
      <c r="AV78">
        <v>1</v>
      </c>
      <c r="AW78">
        <v>1</v>
      </c>
      <c r="AZ78">
        <v>1</v>
      </c>
      <c r="BA78">
        <v>1</v>
      </c>
      <c r="BB78">
        <v>1</v>
      </c>
      <c r="BC78">
        <v>1</v>
      </c>
      <c r="BD78" t="s">
        <v>3</v>
      </c>
      <c r="BE78" t="s">
        <v>3</v>
      </c>
      <c r="BF78" t="s">
        <v>3</v>
      </c>
      <c r="BG78" t="s">
        <v>3</v>
      </c>
      <c r="BH78">
        <v>0</v>
      </c>
      <c r="BI78">
        <v>4</v>
      </c>
      <c r="BJ78" t="s">
        <v>126</v>
      </c>
      <c r="BM78">
        <v>0</v>
      </c>
      <c r="BN78">
        <v>0</v>
      </c>
      <c r="BO78" t="s">
        <v>3</v>
      </c>
      <c r="BP78">
        <v>0</v>
      </c>
      <c r="BQ78">
        <v>1</v>
      </c>
      <c r="BR78">
        <v>0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 t="s">
        <v>3</v>
      </c>
      <c r="BZ78">
        <v>70</v>
      </c>
      <c r="CA78">
        <v>10</v>
      </c>
      <c r="CB78" t="s">
        <v>3</v>
      </c>
      <c r="CE78">
        <v>0</v>
      </c>
      <c r="CF78">
        <v>0</v>
      </c>
      <c r="CG78">
        <v>0</v>
      </c>
      <c r="CM78">
        <v>0</v>
      </c>
      <c r="CN78" t="s">
        <v>3</v>
      </c>
      <c r="CO78">
        <v>0</v>
      </c>
      <c r="CP78">
        <f t="shared" si="95"/>
        <v>10164.39</v>
      </c>
      <c r="CQ78">
        <f t="shared" si="96"/>
        <v>1083.56</v>
      </c>
      <c r="CR78">
        <f t="shared" si="97"/>
        <v>0.42</v>
      </c>
      <c r="CS78">
        <f t="shared" si="98"/>
        <v>0.01</v>
      </c>
      <c r="CT78">
        <f t="shared" si="99"/>
        <v>1483.37</v>
      </c>
      <c r="CU78">
        <f t="shared" si="100"/>
        <v>0</v>
      </c>
      <c r="CV78">
        <f t="shared" si="101"/>
        <v>5.35</v>
      </c>
      <c r="CW78">
        <f t="shared" si="102"/>
        <v>0</v>
      </c>
      <c r="CX78">
        <f t="shared" si="103"/>
        <v>0</v>
      </c>
      <c r="CY78">
        <f t="shared" si="104"/>
        <v>4110.9670000000006</v>
      </c>
      <c r="CZ78">
        <f t="shared" si="105"/>
        <v>587.28100000000006</v>
      </c>
      <c r="DC78" t="s">
        <v>3</v>
      </c>
      <c r="DD78" t="s">
        <v>3</v>
      </c>
      <c r="DE78" t="s">
        <v>3</v>
      </c>
      <c r="DF78" t="s">
        <v>3</v>
      </c>
      <c r="DG78" t="s">
        <v>3</v>
      </c>
      <c r="DH78" t="s">
        <v>3</v>
      </c>
      <c r="DI78" t="s">
        <v>3</v>
      </c>
      <c r="DJ78" t="s">
        <v>3</v>
      </c>
      <c r="DK78" t="s">
        <v>3</v>
      </c>
      <c r="DL78" t="s">
        <v>3</v>
      </c>
      <c r="DM78" t="s">
        <v>3</v>
      </c>
      <c r="DN78">
        <v>0</v>
      </c>
      <c r="DO78">
        <v>0</v>
      </c>
      <c r="DP78">
        <v>1</v>
      </c>
      <c r="DQ78">
        <v>1</v>
      </c>
      <c r="DU78">
        <v>1005</v>
      </c>
      <c r="DV78" t="s">
        <v>42</v>
      </c>
      <c r="DW78" t="s">
        <v>42</v>
      </c>
      <c r="DX78">
        <v>100</v>
      </c>
      <c r="DZ78" t="s">
        <v>3</v>
      </c>
      <c r="EA78" t="s">
        <v>3</v>
      </c>
      <c r="EB78" t="s">
        <v>3</v>
      </c>
      <c r="EC78" t="s">
        <v>3</v>
      </c>
      <c r="EE78">
        <v>71753531</v>
      </c>
      <c r="EF78">
        <v>1</v>
      </c>
      <c r="EG78" t="s">
        <v>22</v>
      </c>
      <c r="EH78">
        <v>0</v>
      </c>
      <c r="EI78" t="s">
        <v>3</v>
      </c>
      <c r="EJ78">
        <v>4</v>
      </c>
      <c r="EK78">
        <v>0</v>
      </c>
      <c r="EL78" t="s">
        <v>23</v>
      </c>
      <c r="EM78" t="s">
        <v>24</v>
      </c>
      <c r="EO78" t="s">
        <v>3</v>
      </c>
      <c r="EQ78">
        <v>0</v>
      </c>
      <c r="ER78">
        <v>2567.35</v>
      </c>
      <c r="ES78">
        <v>1083.56</v>
      </c>
      <c r="ET78">
        <v>0.42</v>
      </c>
      <c r="EU78">
        <v>0.01</v>
      </c>
      <c r="EV78">
        <v>1483.37</v>
      </c>
      <c r="EW78">
        <v>5.35</v>
      </c>
      <c r="EX78">
        <v>0</v>
      </c>
      <c r="EY78">
        <v>0</v>
      </c>
      <c r="FQ78">
        <v>0</v>
      </c>
      <c r="FR78">
        <f t="shared" si="106"/>
        <v>0</v>
      </c>
      <c r="FS78">
        <v>0</v>
      </c>
      <c r="FX78">
        <v>70</v>
      </c>
      <c r="FY78">
        <v>10</v>
      </c>
      <c r="GA78" t="s">
        <v>3</v>
      </c>
      <c r="GD78">
        <v>0</v>
      </c>
      <c r="GF78">
        <v>-1478802949</v>
      </c>
      <c r="GG78">
        <v>2</v>
      </c>
      <c r="GH78">
        <v>1</v>
      </c>
      <c r="GI78">
        <v>-2</v>
      </c>
      <c r="GJ78">
        <v>0</v>
      </c>
      <c r="GK78">
        <f>ROUND(R78*(R12)/100,2)</f>
        <v>0.04</v>
      </c>
      <c r="GL78">
        <f t="shared" si="107"/>
        <v>0</v>
      </c>
      <c r="GM78">
        <f t="shared" si="108"/>
        <v>14862.68</v>
      </c>
      <c r="GN78">
        <f t="shared" si="109"/>
        <v>0</v>
      </c>
      <c r="GO78">
        <f t="shared" si="110"/>
        <v>0</v>
      </c>
      <c r="GP78">
        <f t="shared" si="111"/>
        <v>14862.68</v>
      </c>
      <c r="GR78">
        <v>0</v>
      </c>
      <c r="GS78">
        <v>3</v>
      </c>
      <c r="GT78">
        <v>0</v>
      </c>
      <c r="GU78" t="s">
        <v>3</v>
      </c>
      <c r="GV78">
        <f t="shared" si="112"/>
        <v>0</v>
      </c>
      <c r="GW78">
        <v>1</v>
      </c>
      <c r="GX78">
        <f t="shared" si="113"/>
        <v>0</v>
      </c>
      <c r="HA78">
        <v>0</v>
      </c>
      <c r="HB78">
        <v>0</v>
      </c>
      <c r="HC78">
        <f t="shared" si="114"/>
        <v>0</v>
      </c>
      <c r="HE78" t="s">
        <v>3</v>
      </c>
      <c r="HF78" t="s">
        <v>3</v>
      </c>
      <c r="HM78" t="s">
        <v>3</v>
      </c>
      <c r="HN78" t="s">
        <v>3</v>
      </c>
      <c r="HO78" t="s">
        <v>3</v>
      </c>
      <c r="HP78" t="s">
        <v>3</v>
      </c>
      <c r="HQ78" t="s">
        <v>3</v>
      </c>
      <c r="IK78">
        <v>0</v>
      </c>
    </row>
    <row r="79" spans="1:245" x14ac:dyDescent="0.2">
      <c r="A79">
        <v>17</v>
      </c>
      <c r="B79">
        <v>1</v>
      </c>
      <c r="D79">
        <f>ROW(EtalonRes!A40)</f>
        <v>40</v>
      </c>
      <c r="E79" t="s">
        <v>127</v>
      </c>
      <c r="F79" t="s">
        <v>128</v>
      </c>
      <c r="G79" t="s">
        <v>129</v>
      </c>
      <c r="H79" t="s">
        <v>42</v>
      </c>
      <c r="I79">
        <v>3.9590999999999998</v>
      </c>
      <c r="J79">
        <v>0</v>
      </c>
      <c r="K79">
        <v>3.9590999999999998</v>
      </c>
      <c r="O79">
        <f t="shared" si="75"/>
        <v>88807.33</v>
      </c>
      <c r="P79">
        <f t="shared" si="76"/>
        <v>38914.79</v>
      </c>
      <c r="Q79">
        <f t="shared" si="77"/>
        <v>0</v>
      </c>
      <c r="R79">
        <f t="shared" si="78"/>
        <v>0</v>
      </c>
      <c r="S79">
        <f t="shared" si="79"/>
        <v>49892.54</v>
      </c>
      <c r="T79">
        <f t="shared" si="80"/>
        <v>0</v>
      </c>
      <c r="U79">
        <f t="shared" si="81"/>
        <v>166.95524700000001</v>
      </c>
      <c r="V79">
        <f t="shared" si="82"/>
        <v>0</v>
      </c>
      <c r="W79">
        <f t="shared" si="83"/>
        <v>0</v>
      </c>
      <c r="X79">
        <f t="shared" si="84"/>
        <v>34924.78</v>
      </c>
      <c r="Y79">
        <f t="shared" si="85"/>
        <v>4989.25</v>
      </c>
      <c r="AA79">
        <v>72192302</v>
      </c>
      <c r="AB79">
        <f t="shared" si="86"/>
        <v>22431.19</v>
      </c>
      <c r="AC79">
        <f t="shared" si="87"/>
        <v>9829.2000000000007</v>
      </c>
      <c r="AD79">
        <f t="shared" si="88"/>
        <v>0</v>
      </c>
      <c r="AE79">
        <f t="shared" si="89"/>
        <v>0</v>
      </c>
      <c r="AF79">
        <f t="shared" si="90"/>
        <v>12601.99</v>
      </c>
      <c r="AG79">
        <f t="shared" si="91"/>
        <v>0</v>
      </c>
      <c r="AH79">
        <f t="shared" si="92"/>
        <v>42.17</v>
      </c>
      <c r="AI79">
        <f t="shared" si="93"/>
        <v>0</v>
      </c>
      <c r="AJ79">
        <f t="shared" si="94"/>
        <v>0</v>
      </c>
      <c r="AK79">
        <v>22431.19</v>
      </c>
      <c r="AL79">
        <v>9829.2000000000007</v>
      </c>
      <c r="AM79">
        <v>0</v>
      </c>
      <c r="AN79">
        <v>0</v>
      </c>
      <c r="AO79">
        <v>12601.99</v>
      </c>
      <c r="AP79">
        <v>0</v>
      </c>
      <c r="AQ79">
        <v>42.17</v>
      </c>
      <c r="AR79">
        <v>0</v>
      </c>
      <c r="AS79">
        <v>0</v>
      </c>
      <c r="AT79">
        <v>70</v>
      </c>
      <c r="AU79">
        <v>10</v>
      </c>
      <c r="AV79">
        <v>1</v>
      </c>
      <c r="AW79">
        <v>1</v>
      </c>
      <c r="AZ79">
        <v>1</v>
      </c>
      <c r="BA79">
        <v>1</v>
      </c>
      <c r="BB79">
        <v>1</v>
      </c>
      <c r="BC79">
        <v>1</v>
      </c>
      <c r="BD79" t="s">
        <v>3</v>
      </c>
      <c r="BE79" t="s">
        <v>3</v>
      </c>
      <c r="BF79" t="s">
        <v>3</v>
      </c>
      <c r="BG79" t="s">
        <v>3</v>
      </c>
      <c r="BH79">
        <v>0</v>
      </c>
      <c r="BI79">
        <v>4</v>
      </c>
      <c r="BJ79" t="s">
        <v>130</v>
      </c>
      <c r="BM79">
        <v>0</v>
      </c>
      <c r="BN79">
        <v>0</v>
      </c>
      <c r="BO79" t="s">
        <v>3</v>
      </c>
      <c r="BP79">
        <v>0</v>
      </c>
      <c r="BQ79">
        <v>1</v>
      </c>
      <c r="BR79">
        <v>0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 t="s">
        <v>3</v>
      </c>
      <c r="BZ79">
        <v>70</v>
      </c>
      <c r="CA79">
        <v>10</v>
      </c>
      <c r="CB79" t="s">
        <v>3</v>
      </c>
      <c r="CE79">
        <v>0</v>
      </c>
      <c r="CF79">
        <v>0</v>
      </c>
      <c r="CG79">
        <v>0</v>
      </c>
      <c r="CM79">
        <v>0</v>
      </c>
      <c r="CN79" t="s">
        <v>3</v>
      </c>
      <c r="CO79">
        <v>0</v>
      </c>
      <c r="CP79">
        <f t="shared" si="95"/>
        <v>88807.33</v>
      </c>
      <c r="CQ79">
        <f t="shared" si="96"/>
        <v>9829.2000000000007</v>
      </c>
      <c r="CR79">
        <f t="shared" si="97"/>
        <v>0</v>
      </c>
      <c r="CS79">
        <f t="shared" si="98"/>
        <v>0</v>
      </c>
      <c r="CT79">
        <f t="shared" si="99"/>
        <v>12601.99</v>
      </c>
      <c r="CU79">
        <f t="shared" si="100"/>
        <v>0</v>
      </c>
      <c r="CV79">
        <f t="shared" si="101"/>
        <v>42.17</v>
      </c>
      <c r="CW79">
        <f t="shared" si="102"/>
        <v>0</v>
      </c>
      <c r="CX79">
        <f t="shared" si="103"/>
        <v>0</v>
      </c>
      <c r="CY79">
        <f t="shared" si="104"/>
        <v>34924.778000000006</v>
      </c>
      <c r="CZ79">
        <f t="shared" si="105"/>
        <v>4989.2539999999999</v>
      </c>
      <c r="DC79" t="s">
        <v>3</v>
      </c>
      <c r="DD79" t="s">
        <v>3</v>
      </c>
      <c r="DE79" t="s">
        <v>3</v>
      </c>
      <c r="DF79" t="s">
        <v>3</v>
      </c>
      <c r="DG79" t="s">
        <v>3</v>
      </c>
      <c r="DH79" t="s">
        <v>3</v>
      </c>
      <c r="DI79" t="s">
        <v>3</v>
      </c>
      <c r="DJ79" t="s">
        <v>3</v>
      </c>
      <c r="DK79" t="s">
        <v>3</v>
      </c>
      <c r="DL79" t="s">
        <v>3</v>
      </c>
      <c r="DM79" t="s">
        <v>3</v>
      </c>
      <c r="DN79">
        <v>0</v>
      </c>
      <c r="DO79">
        <v>0</v>
      </c>
      <c r="DP79">
        <v>1</v>
      </c>
      <c r="DQ79">
        <v>1</v>
      </c>
      <c r="DU79">
        <v>1005</v>
      </c>
      <c r="DV79" t="s">
        <v>42</v>
      </c>
      <c r="DW79" t="s">
        <v>42</v>
      </c>
      <c r="DX79">
        <v>100</v>
      </c>
      <c r="DZ79" t="s">
        <v>3</v>
      </c>
      <c r="EA79" t="s">
        <v>3</v>
      </c>
      <c r="EB79" t="s">
        <v>3</v>
      </c>
      <c r="EC79" t="s">
        <v>3</v>
      </c>
      <c r="EE79">
        <v>71753531</v>
      </c>
      <c r="EF79">
        <v>1</v>
      </c>
      <c r="EG79" t="s">
        <v>22</v>
      </c>
      <c r="EH79">
        <v>0</v>
      </c>
      <c r="EI79" t="s">
        <v>3</v>
      </c>
      <c r="EJ79">
        <v>4</v>
      </c>
      <c r="EK79">
        <v>0</v>
      </c>
      <c r="EL79" t="s">
        <v>23</v>
      </c>
      <c r="EM79" t="s">
        <v>24</v>
      </c>
      <c r="EO79" t="s">
        <v>3</v>
      </c>
      <c r="EQ79">
        <v>0</v>
      </c>
      <c r="ER79">
        <v>22431.19</v>
      </c>
      <c r="ES79">
        <v>9829.2000000000007</v>
      </c>
      <c r="ET79">
        <v>0</v>
      </c>
      <c r="EU79">
        <v>0</v>
      </c>
      <c r="EV79">
        <v>12601.99</v>
      </c>
      <c r="EW79">
        <v>42.17</v>
      </c>
      <c r="EX79">
        <v>0</v>
      </c>
      <c r="EY79">
        <v>0</v>
      </c>
      <c r="FQ79">
        <v>0</v>
      </c>
      <c r="FR79">
        <f t="shared" si="106"/>
        <v>0</v>
      </c>
      <c r="FS79">
        <v>0</v>
      </c>
      <c r="FX79">
        <v>70</v>
      </c>
      <c r="FY79">
        <v>10</v>
      </c>
      <c r="GA79" t="s">
        <v>3</v>
      </c>
      <c r="GD79">
        <v>0</v>
      </c>
      <c r="GF79">
        <v>1793052138</v>
      </c>
      <c r="GG79">
        <v>2</v>
      </c>
      <c r="GH79">
        <v>1</v>
      </c>
      <c r="GI79">
        <v>-2</v>
      </c>
      <c r="GJ79">
        <v>0</v>
      </c>
      <c r="GK79">
        <f>ROUND(R79*(R12)/100,2)</f>
        <v>0</v>
      </c>
      <c r="GL79">
        <f t="shared" si="107"/>
        <v>0</v>
      </c>
      <c r="GM79">
        <f t="shared" si="108"/>
        <v>128721.36</v>
      </c>
      <c r="GN79">
        <f t="shared" si="109"/>
        <v>0</v>
      </c>
      <c r="GO79">
        <f t="shared" si="110"/>
        <v>0</v>
      </c>
      <c r="GP79">
        <f t="shared" si="111"/>
        <v>128721.36</v>
      </c>
      <c r="GR79">
        <v>0</v>
      </c>
      <c r="GS79">
        <v>3</v>
      </c>
      <c r="GT79">
        <v>0</v>
      </c>
      <c r="GU79" t="s">
        <v>3</v>
      </c>
      <c r="GV79">
        <f t="shared" si="112"/>
        <v>0</v>
      </c>
      <c r="GW79">
        <v>1</v>
      </c>
      <c r="GX79">
        <f t="shared" si="113"/>
        <v>0</v>
      </c>
      <c r="HA79">
        <v>0</v>
      </c>
      <c r="HB79">
        <v>0</v>
      </c>
      <c r="HC79">
        <f t="shared" si="114"/>
        <v>0</v>
      </c>
      <c r="HE79" t="s">
        <v>3</v>
      </c>
      <c r="HF79" t="s">
        <v>3</v>
      </c>
      <c r="HM79" t="s">
        <v>3</v>
      </c>
      <c r="HN79" t="s">
        <v>3</v>
      </c>
      <c r="HO79" t="s">
        <v>3</v>
      </c>
      <c r="HP79" t="s">
        <v>3</v>
      </c>
      <c r="HQ79" t="s">
        <v>3</v>
      </c>
      <c r="IK79">
        <v>0</v>
      </c>
    </row>
    <row r="80" spans="1:245" x14ac:dyDescent="0.2">
      <c r="A80">
        <v>17</v>
      </c>
      <c r="B80">
        <v>1</v>
      </c>
      <c r="D80">
        <f>ROW(EtalonRes!A42)</f>
        <v>42</v>
      </c>
      <c r="E80" t="s">
        <v>131</v>
      </c>
      <c r="F80" t="s">
        <v>132</v>
      </c>
      <c r="G80" t="s">
        <v>133</v>
      </c>
      <c r="H80" t="s">
        <v>42</v>
      </c>
      <c r="I80">
        <v>2.8370000000000002</v>
      </c>
      <c r="J80">
        <v>0</v>
      </c>
      <c r="K80">
        <v>2.8370000000000002</v>
      </c>
      <c r="O80">
        <f t="shared" si="75"/>
        <v>70261.570000000007</v>
      </c>
      <c r="P80">
        <f t="shared" si="76"/>
        <v>183.81</v>
      </c>
      <c r="Q80">
        <f t="shared" si="77"/>
        <v>0</v>
      </c>
      <c r="R80">
        <f t="shared" si="78"/>
        <v>0</v>
      </c>
      <c r="S80">
        <f t="shared" si="79"/>
        <v>70077.759999999995</v>
      </c>
      <c r="T80">
        <f t="shared" si="80"/>
        <v>0</v>
      </c>
      <c r="U80">
        <f t="shared" si="81"/>
        <v>247.30129000000002</v>
      </c>
      <c r="V80">
        <f t="shared" si="82"/>
        <v>0</v>
      </c>
      <c r="W80">
        <f t="shared" si="83"/>
        <v>0</v>
      </c>
      <c r="X80">
        <f t="shared" si="84"/>
        <v>49054.43</v>
      </c>
      <c r="Y80">
        <f t="shared" si="85"/>
        <v>7007.78</v>
      </c>
      <c r="AA80">
        <v>72192302</v>
      </c>
      <c r="AB80">
        <f t="shared" si="86"/>
        <v>24766.15</v>
      </c>
      <c r="AC80">
        <f t="shared" si="87"/>
        <v>64.790000000000006</v>
      </c>
      <c r="AD80">
        <f t="shared" si="88"/>
        <v>0</v>
      </c>
      <c r="AE80">
        <f t="shared" si="89"/>
        <v>0</v>
      </c>
      <c r="AF80">
        <f t="shared" si="90"/>
        <v>24701.360000000001</v>
      </c>
      <c r="AG80">
        <f t="shared" si="91"/>
        <v>0</v>
      </c>
      <c r="AH80">
        <f t="shared" si="92"/>
        <v>87.17</v>
      </c>
      <c r="AI80">
        <f t="shared" si="93"/>
        <v>0</v>
      </c>
      <c r="AJ80">
        <f t="shared" si="94"/>
        <v>0</v>
      </c>
      <c r="AK80">
        <v>24766.15</v>
      </c>
      <c r="AL80">
        <v>64.790000000000006</v>
      </c>
      <c r="AM80">
        <v>0</v>
      </c>
      <c r="AN80">
        <v>0</v>
      </c>
      <c r="AO80">
        <v>24701.360000000001</v>
      </c>
      <c r="AP80">
        <v>0</v>
      </c>
      <c r="AQ80">
        <v>87.17</v>
      </c>
      <c r="AR80">
        <v>0</v>
      </c>
      <c r="AS80">
        <v>0</v>
      </c>
      <c r="AT80">
        <v>70</v>
      </c>
      <c r="AU80">
        <v>10</v>
      </c>
      <c r="AV80">
        <v>1</v>
      </c>
      <c r="AW80">
        <v>1</v>
      </c>
      <c r="AZ80">
        <v>1</v>
      </c>
      <c r="BA80">
        <v>1</v>
      </c>
      <c r="BB80">
        <v>1</v>
      </c>
      <c r="BC80">
        <v>1</v>
      </c>
      <c r="BD80" t="s">
        <v>3</v>
      </c>
      <c r="BE80" t="s">
        <v>3</v>
      </c>
      <c r="BF80" t="s">
        <v>3</v>
      </c>
      <c r="BG80" t="s">
        <v>3</v>
      </c>
      <c r="BH80">
        <v>0</v>
      </c>
      <c r="BI80">
        <v>4</v>
      </c>
      <c r="BJ80" t="s">
        <v>134</v>
      </c>
      <c r="BM80">
        <v>0</v>
      </c>
      <c r="BN80">
        <v>0</v>
      </c>
      <c r="BO80" t="s">
        <v>3</v>
      </c>
      <c r="BP80">
        <v>0</v>
      </c>
      <c r="BQ80">
        <v>1</v>
      </c>
      <c r="BR80">
        <v>0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 t="s">
        <v>3</v>
      </c>
      <c r="BZ80">
        <v>70</v>
      </c>
      <c r="CA80">
        <v>10</v>
      </c>
      <c r="CB80" t="s">
        <v>3</v>
      </c>
      <c r="CE80">
        <v>0</v>
      </c>
      <c r="CF80">
        <v>0</v>
      </c>
      <c r="CG80">
        <v>0</v>
      </c>
      <c r="CM80">
        <v>0</v>
      </c>
      <c r="CN80" t="s">
        <v>3</v>
      </c>
      <c r="CO80">
        <v>0</v>
      </c>
      <c r="CP80">
        <f t="shared" si="95"/>
        <v>70261.569999999992</v>
      </c>
      <c r="CQ80">
        <f t="shared" si="96"/>
        <v>64.790000000000006</v>
      </c>
      <c r="CR80">
        <f t="shared" si="97"/>
        <v>0</v>
      </c>
      <c r="CS80">
        <f t="shared" si="98"/>
        <v>0</v>
      </c>
      <c r="CT80">
        <f t="shared" si="99"/>
        <v>24701.360000000001</v>
      </c>
      <c r="CU80">
        <f t="shared" si="100"/>
        <v>0</v>
      </c>
      <c r="CV80">
        <f t="shared" si="101"/>
        <v>87.17</v>
      </c>
      <c r="CW80">
        <f t="shared" si="102"/>
        <v>0</v>
      </c>
      <c r="CX80">
        <f t="shared" si="103"/>
        <v>0</v>
      </c>
      <c r="CY80">
        <f t="shared" si="104"/>
        <v>49054.431999999993</v>
      </c>
      <c r="CZ80">
        <f t="shared" si="105"/>
        <v>7007.7759999999998</v>
      </c>
      <c r="DC80" t="s">
        <v>3</v>
      </c>
      <c r="DD80" t="s">
        <v>3</v>
      </c>
      <c r="DE80" t="s">
        <v>3</v>
      </c>
      <c r="DF80" t="s">
        <v>3</v>
      </c>
      <c r="DG80" t="s">
        <v>3</v>
      </c>
      <c r="DH80" t="s">
        <v>3</v>
      </c>
      <c r="DI80" t="s">
        <v>3</v>
      </c>
      <c r="DJ80" t="s">
        <v>3</v>
      </c>
      <c r="DK80" t="s">
        <v>3</v>
      </c>
      <c r="DL80" t="s">
        <v>3</v>
      </c>
      <c r="DM80" t="s">
        <v>3</v>
      </c>
      <c r="DN80">
        <v>0</v>
      </c>
      <c r="DO80">
        <v>0</v>
      </c>
      <c r="DP80">
        <v>1</v>
      </c>
      <c r="DQ80">
        <v>1</v>
      </c>
      <c r="DU80">
        <v>1005</v>
      </c>
      <c r="DV80" t="s">
        <v>42</v>
      </c>
      <c r="DW80" t="s">
        <v>42</v>
      </c>
      <c r="DX80">
        <v>100</v>
      </c>
      <c r="DZ80" t="s">
        <v>3</v>
      </c>
      <c r="EA80" t="s">
        <v>3</v>
      </c>
      <c r="EB80" t="s">
        <v>3</v>
      </c>
      <c r="EC80" t="s">
        <v>3</v>
      </c>
      <c r="EE80">
        <v>71753531</v>
      </c>
      <c r="EF80">
        <v>1</v>
      </c>
      <c r="EG80" t="s">
        <v>22</v>
      </c>
      <c r="EH80">
        <v>0</v>
      </c>
      <c r="EI80" t="s">
        <v>3</v>
      </c>
      <c r="EJ80">
        <v>4</v>
      </c>
      <c r="EK80">
        <v>0</v>
      </c>
      <c r="EL80" t="s">
        <v>23</v>
      </c>
      <c r="EM80" t="s">
        <v>24</v>
      </c>
      <c r="EO80" t="s">
        <v>3</v>
      </c>
      <c r="EQ80">
        <v>0</v>
      </c>
      <c r="ER80">
        <v>24766.15</v>
      </c>
      <c r="ES80">
        <v>64.790000000000006</v>
      </c>
      <c r="ET80">
        <v>0</v>
      </c>
      <c r="EU80">
        <v>0</v>
      </c>
      <c r="EV80">
        <v>24701.360000000001</v>
      </c>
      <c r="EW80">
        <v>87.17</v>
      </c>
      <c r="EX80">
        <v>0</v>
      </c>
      <c r="EY80">
        <v>0</v>
      </c>
      <c r="FQ80">
        <v>0</v>
      </c>
      <c r="FR80">
        <f t="shared" si="106"/>
        <v>0</v>
      </c>
      <c r="FS80">
        <v>0</v>
      </c>
      <c r="FX80">
        <v>70</v>
      </c>
      <c r="FY80">
        <v>10</v>
      </c>
      <c r="GA80" t="s">
        <v>3</v>
      </c>
      <c r="GD80">
        <v>0</v>
      </c>
      <c r="GF80">
        <v>-1679970347</v>
      </c>
      <c r="GG80">
        <v>2</v>
      </c>
      <c r="GH80">
        <v>1</v>
      </c>
      <c r="GI80">
        <v>-2</v>
      </c>
      <c r="GJ80">
        <v>0</v>
      </c>
      <c r="GK80">
        <f>ROUND(R80*(R12)/100,2)</f>
        <v>0</v>
      </c>
      <c r="GL80">
        <f t="shared" si="107"/>
        <v>0</v>
      </c>
      <c r="GM80">
        <f t="shared" si="108"/>
        <v>126323.78</v>
      </c>
      <c r="GN80">
        <f t="shared" si="109"/>
        <v>0</v>
      </c>
      <c r="GO80">
        <f t="shared" si="110"/>
        <v>0</v>
      </c>
      <c r="GP80">
        <f t="shared" si="111"/>
        <v>126323.78</v>
      </c>
      <c r="GR80">
        <v>0</v>
      </c>
      <c r="GS80">
        <v>3</v>
      </c>
      <c r="GT80">
        <v>0</v>
      </c>
      <c r="GU80" t="s">
        <v>3</v>
      </c>
      <c r="GV80">
        <f t="shared" si="112"/>
        <v>0</v>
      </c>
      <c r="GW80">
        <v>1</v>
      </c>
      <c r="GX80">
        <f t="shared" si="113"/>
        <v>0</v>
      </c>
      <c r="HA80">
        <v>0</v>
      </c>
      <c r="HB80">
        <v>0</v>
      </c>
      <c r="HC80">
        <f t="shared" si="114"/>
        <v>0</v>
      </c>
      <c r="HE80" t="s">
        <v>3</v>
      </c>
      <c r="HF80" t="s">
        <v>3</v>
      </c>
      <c r="HM80" t="s">
        <v>3</v>
      </c>
      <c r="HN80" t="s">
        <v>3</v>
      </c>
      <c r="HO80" t="s">
        <v>3</v>
      </c>
      <c r="HP80" t="s">
        <v>3</v>
      </c>
      <c r="HQ80" t="s">
        <v>3</v>
      </c>
      <c r="IK80">
        <v>0</v>
      </c>
    </row>
    <row r="81" spans="1:245" x14ac:dyDescent="0.2">
      <c r="A81">
        <v>17</v>
      </c>
      <c r="B81">
        <v>1</v>
      </c>
      <c r="D81">
        <f>ROW(EtalonRes!A48)</f>
        <v>48</v>
      </c>
      <c r="E81" t="s">
        <v>135</v>
      </c>
      <c r="F81" t="s">
        <v>136</v>
      </c>
      <c r="G81" t="s">
        <v>137</v>
      </c>
      <c r="H81" t="s">
        <v>42</v>
      </c>
      <c r="I81">
        <v>2.8370000000000002</v>
      </c>
      <c r="J81">
        <v>0</v>
      </c>
      <c r="K81">
        <v>2.8370000000000002</v>
      </c>
      <c r="O81">
        <f t="shared" si="75"/>
        <v>102593.07</v>
      </c>
      <c r="P81">
        <f t="shared" si="76"/>
        <v>30520.73</v>
      </c>
      <c r="Q81">
        <f t="shared" si="77"/>
        <v>6702.04</v>
      </c>
      <c r="R81">
        <f t="shared" si="78"/>
        <v>5947.29</v>
      </c>
      <c r="S81">
        <f t="shared" si="79"/>
        <v>65370.3</v>
      </c>
      <c r="T81">
        <f t="shared" si="80"/>
        <v>0</v>
      </c>
      <c r="U81">
        <f t="shared" si="81"/>
        <v>193.48340000000002</v>
      </c>
      <c r="V81">
        <f t="shared" si="82"/>
        <v>0</v>
      </c>
      <c r="W81">
        <f t="shared" si="83"/>
        <v>0</v>
      </c>
      <c r="X81">
        <f t="shared" si="84"/>
        <v>45759.21</v>
      </c>
      <c r="Y81">
        <f t="shared" si="85"/>
        <v>6537.03</v>
      </c>
      <c r="AA81">
        <v>72192302</v>
      </c>
      <c r="AB81">
        <f t="shared" si="86"/>
        <v>36162.519999999997</v>
      </c>
      <c r="AC81">
        <f t="shared" si="87"/>
        <v>10758.1</v>
      </c>
      <c r="AD81">
        <f t="shared" si="88"/>
        <v>2362.37</v>
      </c>
      <c r="AE81">
        <f t="shared" si="89"/>
        <v>2096.33</v>
      </c>
      <c r="AF81">
        <f t="shared" si="90"/>
        <v>23042.05</v>
      </c>
      <c r="AG81">
        <f t="shared" si="91"/>
        <v>0</v>
      </c>
      <c r="AH81">
        <f t="shared" si="92"/>
        <v>68.2</v>
      </c>
      <c r="AI81">
        <f t="shared" si="93"/>
        <v>0</v>
      </c>
      <c r="AJ81">
        <f t="shared" si="94"/>
        <v>0</v>
      </c>
      <c r="AK81">
        <v>36162.519999999997</v>
      </c>
      <c r="AL81">
        <v>10758.1</v>
      </c>
      <c r="AM81">
        <v>2362.37</v>
      </c>
      <c r="AN81">
        <v>2096.33</v>
      </c>
      <c r="AO81">
        <v>23042.05</v>
      </c>
      <c r="AP81">
        <v>0</v>
      </c>
      <c r="AQ81">
        <v>68.2</v>
      </c>
      <c r="AR81">
        <v>0</v>
      </c>
      <c r="AS81">
        <v>0</v>
      </c>
      <c r="AT81">
        <v>70</v>
      </c>
      <c r="AU81">
        <v>10</v>
      </c>
      <c r="AV81">
        <v>1</v>
      </c>
      <c r="AW81">
        <v>1</v>
      </c>
      <c r="AZ81">
        <v>1</v>
      </c>
      <c r="BA81">
        <v>1</v>
      </c>
      <c r="BB81">
        <v>1</v>
      </c>
      <c r="BC81">
        <v>1</v>
      </c>
      <c r="BD81" t="s">
        <v>3</v>
      </c>
      <c r="BE81" t="s">
        <v>3</v>
      </c>
      <c r="BF81" t="s">
        <v>3</v>
      </c>
      <c r="BG81" t="s">
        <v>3</v>
      </c>
      <c r="BH81">
        <v>0</v>
      </c>
      <c r="BI81">
        <v>4</v>
      </c>
      <c r="BJ81" t="s">
        <v>138</v>
      </c>
      <c r="BM81">
        <v>0</v>
      </c>
      <c r="BN81">
        <v>0</v>
      </c>
      <c r="BO81" t="s">
        <v>3</v>
      </c>
      <c r="BP81">
        <v>0</v>
      </c>
      <c r="BQ81">
        <v>1</v>
      </c>
      <c r="BR81">
        <v>0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 t="s">
        <v>3</v>
      </c>
      <c r="BZ81">
        <v>70</v>
      </c>
      <c r="CA81">
        <v>10</v>
      </c>
      <c r="CB81" t="s">
        <v>3</v>
      </c>
      <c r="CE81">
        <v>0</v>
      </c>
      <c r="CF81">
        <v>0</v>
      </c>
      <c r="CG81">
        <v>0</v>
      </c>
      <c r="CM81">
        <v>0</v>
      </c>
      <c r="CN81" t="s">
        <v>3</v>
      </c>
      <c r="CO81">
        <v>0</v>
      </c>
      <c r="CP81">
        <f t="shared" si="95"/>
        <v>102593.07</v>
      </c>
      <c r="CQ81">
        <f t="shared" si="96"/>
        <v>10758.1</v>
      </c>
      <c r="CR81">
        <f t="shared" si="97"/>
        <v>2362.37</v>
      </c>
      <c r="CS81">
        <f t="shared" si="98"/>
        <v>2096.33</v>
      </c>
      <c r="CT81">
        <f t="shared" si="99"/>
        <v>23042.05</v>
      </c>
      <c r="CU81">
        <f t="shared" si="100"/>
        <v>0</v>
      </c>
      <c r="CV81">
        <f t="shared" si="101"/>
        <v>68.2</v>
      </c>
      <c r="CW81">
        <f t="shared" si="102"/>
        <v>0</v>
      </c>
      <c r="CX81">
        <f t="shared" si="103"/>
        <v>0</v>
      </c>
      <c r="CY81">
        <f t="shared" si="104"/>
        <v>45759.21</v>
      </c>
      <c r="CZ81">
        <f t="shared" si="105"/>
        <v>6537.03</v>
      </c>
      <c r="DC81" t="s">
        <v>3</v>
      </c>
      <c r="DD81" t="s">
        <v>3</v>
      </c>
      <c r="DE81" t="s">
        <v>3</v>
      </c>
      <c r="DF81" t="s">
        <v>3</v>
      </c>
      <c r="DG81" t="s">
        <v>3</v>
      </c>
      <c r="DH81" t="s">
        <v>3</v>
      </c>
      <c r="DI81" t="s">
        <v>3</v>
      </c>
      <c r="DJ81" t="s">
        <v>3</v>
      </c>
      <c r="DK81" t="s">
        <v>3</v>
      </c>
      <c r="DL81" t="s">
        <v>3</v>
      </c>
      <c r="DM81" t="s">
        <v>3</v>
      </c>
      <c r="DN81">
        <v>0</v>
      </c>
      <c r="DO81">
        <v>0</v>
      </c>
      <c r="DP81">
        <v>1</v>
      </c>
      <c r="DQ81">
        <v>1</v>
      </c>
      <c r="DU81">
        <v>1005</v>
      </c>
      <c r="DV81" t="s">
        <v>42</v>
      </c>
      <c r="DW81" t="s">
        <v>42</v>
      </c>
      <c r="DX81">
        <v>100</v>
      </c>
      <c r="DZ81" t="s">
        <v>3</v>
      </c>
      <c r="EA81" t="s">
        <v>3</v>
      </c>
      <c r="EB81" t="s">
        <v>3</v>
      </c>
      <c r="EC81" t="s">
        <v>3</v>
      </c>
      <c r="EE81">
        <v>71753531</v>
      </c>
      <c r="EF81">
        <v>1</v>
      </c>
      <c r="EG81" t="s">
        <v>22</v>
      </c>
      <c r="EH81">
        <v>0</v>
      </c>
      <c r="EI81" t="s">
        <v>3</v>
      </c>
      <c r="EJ81">
        <v>4</v>
      </c>
      <c r="EK81">
        <v>0</v>
      </c>
      <c r="EL81" t="s">
        <v>23</v>
      </c>
      <c r="EM81" t="s">
        <v>24</v>
      </c>
      <c r="EO81" t="s">
        <v>3</v>
      </c>
      <c r="EQ81">
        <v>0</v>
      </c>
      <c r="ER81">
        <v>36162.519999999997</v>
      </c>
      <c r="ES81">
        <v>10758.1</v>
      </c>
      <c r="ET81">
        <v>2362.37</v>
      </c>
      <c r="EU81">
        <v>2096.33</v>
      </c>
      <c r="EV81">
        <v>23042.05</v>
      </c>
      <c r="EW81">
        <v>68.2</v>
      </c>
      <c r="EX81">
        <v>0</v>
      </c>
      <c r="EY81">
        <v>0</v>
      </c>
      <c r="FQ81">
        <v>0</v>
      </c>
      <c r="FR81">
        <f t="shared" si="106"/>
        <v>0</v>
      </c>
      <c r="FS81">
        <v>0</v>
      </c>
      <c r="FX81">
        <v>70</v>
      </c>
      <c r="FY81">
        <v>10</v>
      </c>
      <c r="GA81" t="s">
        <v>3</v>
      </c>
      <c r="GD81">
        <v>0</v>
      </c>
      <c r="GF81">
        <v>-709330099</v>
      </c>
      <c r="GG81">
        <v>2</v>
      </c>
      <c r="GH81">
        <v>1</v>
      </c>
      <c r="GI81">
        <v>-2</v>
      </c>
      <c r="GJ81">
        <v>0</v>
      </c>
      <c r="GK81">
        <f>ROUND(R81*(R12)/100,2)</f>
        <v>6423.07</v>
      </c>
      <c r="GL81">
        <f t="shared" si="107"/>
        <v>0</v>
      </c>
      <c r="GM81">
        <f t="shared" si="108"/>
        <v>161312.38</v>
      </c>
      <c r="GN81">
        <f t="shared" si="109"/>
        <v>0</v>
      </c>
      <c r="GO81">
        <f t="shared" si="110"/>
        <v>0</v>
      </c>
      <c r="GP81">
        <f t="shared" si="111"/>
        <v>161312.38</v>
      </c>
      <c r="GR81">
        <v>0</v>
      </c>
      <c r="GS81">
        <v>3</v>
      </c>
      <c r="GT81">
        <v>0</v>
      </c>
      <c r="GU81" t="s">
        <v>3</v>
      </c>
      <c r="GV81">
        <f t="shared" si="112"/>
        <v>0</v>
      </c>
      <c r="GW81">
        <v>1</v>
      </c>
      <c r="GX81">
        <f t="shared" si="113"/>
        <v>0</v>
      </c>
      <c r="HA81">
        <v>0</v>
      </c>
      <c r="HB81">
        <v>0</v>
      </c>
      <c r="HC81">
        <f t="shared" si="114"/>
        <v>0</v>
      </c>
      <c r="HE81" t="s">
        <v>3</v>
      </c>
      <c r="HF81" t="s">
        <v>3</v>
      </c>
      <c r="HM81" t="s">
        <v>3</v>
      </c>
      <c r="HN81" t="s">
        <v>3</v>
      </c>
      <c r="HO81" t="s">
        <v>3</v>
      </c>
      <c r="HP81" t="s">
        <v>3</v>
      </c>
      <c r="HQ81" t="s">
        <v>3</v>
      </c>
      <c r="IK81">
        <v>0</v>
      </c>
    </row>
    <row r="82" spans="1:245" x14ac:dyDescent="0.2">
      <c r="A82">
        <v>17</v>
      </c>
      <c r="B82">
        <v>1</v>
      </c>
      <c r="D82">
        <f>ROW(EtalonRes!A51)</f>
        <v>51</v>
      </c>
      <c r="E82" t="s">
        <v>139</v>
      </c>
      <c r="F82" t="s">
        <v>140</v>
      </c>
      <c r="G82" t="s">
        <v>141</v>
      </c>
      <c r="H82" t="s">
        <v>42</v>
      </c>
      <c r="I82">
        <v>2.8370000000000002</v>
      </c>
      <c r="J82">
        <v>0</v>
      </c>
      <c r="K82">
        <v>2.8370000000000002</v>
      </c>
      <c r="O82">
        <f t="shared" si="75"/>
        <v>8211.9500000000007</v>
      </c>
      <c r="P82">
        <f t="shared" si="76"/>
        <v>3074.06</v>
      </c>
      <c r="Q82">
        <f t="shared" si="77"/>
        <v>1.19</v>
      </c>
      <c r="R82">
        <f t="shared" si="78"/>
        <v>0.03</v>
      </c>
      <c r="S82">
        <f t="shared" si="79"/>
        <v>5136.7</v>
      </c>
      <c r="T82">
        <f t="shared" si="80"/>
        <v>0</v>
      </c>
      <c r="U82">
        <f t="shared" si="81"/>
        <v>18.52561</v>
      </c>
      <c r="V82">
        <f t="shared" si="82"/>
        <v>0</v>
      </c>
      <c r="W82">
        <f t="shared" si="83"/>
        <v>0</v>
      </c>
      <c r="X82">
        <f t="shared" si="84"/>
        <v>3595.69</v>
      </c>
      <c r="Y82">
        <f t="shared" si="85"/>
        <v>513.66999999999996</v>
      </c>
      <c r="AA82">
        <v>72192302</v>
      </c>
      <c r="AB82">
        <f t="shared" si="86"/>
        <v>2894.59</v>
      </c>
      <c r="AC82">
        <f t="shared" si="87"/>
        <v>1083.56</v>
      </c>
      <c r="AD82">
        <f t="shared" si="88"/>
        <v>0.42</v>
      </c>
      <c r="AE82">
        <f t="shared" si="89"/>
        <v>0.01</v>
      </c>
      <c r="AF82">
        <f t="shared" si="90"/>
        <v>1810.61</v>
      </c>
      <c r="AG82">
        <f t="shared" si="91"/>
        <v>0</v>
      </c>
      <c r="AH82">
        <f t="shared" si="92"/>
        <v>6.53</v>
      </c>
      <c r="AI82">
        <f t="shared" si="93"/>
        <v>0</v>
      </c>
      <c r="AJ82">
        <f t="shared" si="94"/>
        <v>0</v>
      </c>
      <c r="AK82">
        <v>2894.59</v>
      </c>
      <c r="AL82">
        <v>1083.56</v>
      </c>
      <c r="AM82">
        <v>0.42</v>
      </c>
      <c r="AN82">
        <v>0.01</v>
      </c>
      <c r="AO82">
        <v>1810.61</v>
      </c>
      <c r="AP82">
        <v>0</v>
      </c>
      <c r="AQ82">
        <v>6.53</v>
      </c>
      <c r="AR82">
        <v>0</v>
      </c>
      <c r="AS82">
        <v>0</v>
      </c>
      <c r="AT82">
        <v>70</v>
      </c>
      <c r="AU82">
        <v>10</v>
      </c>
      <c r="AV82">
        <v>1</v>
      </c>
      <c r="AW82">
        <v>1</v>
      </c>
      <c r="AZ82">
        <v>1</v>
      </c>
      <c r="BA82">
        <v>1</v>
      </c>
      <c r="BB82">
        <v>1</v>
      </c>
      <c r="BC82">
        <v>1</v>
      </c>
      <c r="BD82" t="s">
        <v>3</v>
      </c>
      <c r="BE82" t="s">
        <v>3</v>
      </c>
      <c r="BF82" t="s">
        <v>3</v>
      </c>
      <c r="BG82" t="s">
        <v>3</v>
      </c>
      <c r="BH82">
        <v>0</v>
      </c>
      <c r="BI82">
        <v>4</v>
      </c>
      <c r="BJ82" t="s">
        <v>142</v>
      </c>
      <c r="BM82">
        <v>0</v>
      </c>
      <c r="BN82">
        <v>0</v>
      </c>
      <c r="BO82" t="s">
        <v>3</v>
      </c>
      <c r="BP82">
        <v>0</v>
      </c>
      <c r="BQ82">
        <v>1</v>
      </c>
      <c r="BR82">
        <v>0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 t="s">
        <v>3</v>
      </c>
      <c r="BZ82">
        <v>70</v>
      </c>
      <c r="CA82">
        <v>10</v>
      </c>
      <c r="CB82" t="s">
        <v>3</v>
      </c>
      <c r="CE82">
        <v>0</v>
      </c>
      <c r="CF82">
        <v>0</v>
      </c>
      <c r="CG82">
        <v>0</v>
      </c>
      <c r="CM82">
        <v>0</v>
      </c>
      <c r="CN82" t="s">
        <v>3</v>
      </c>
      <c r="CO82">
        <v>0</v>
      </c>
      <c r="CP82">
        <f t="shared" si="95"/>
        <v>8211.9500000000007</v>
      </c>
      <c r="CQ82">
        <f t="shared" si="96"/>
        <v>1083.56</v>
      </c>
      <c r="CR82">
        <f t="shared" si="97"/>
        <v>0.42</v>
      </c>
      <c r="CS82">
        <f t="shared" si="98"/>
        <v>0.01</v>
      </c>
      <c r="CT82">
        <f t="shared" si="99"/>
        <v>1810.61</v>
      </c>
      <c r="CU82">
        <f t="shared" si="100"/>
        <v>0</v>
      </c>
      <c r="CV82">
        <f t="shared" si="101"/>
        <v>6.53</v>
      </c>
      <c r="CW82">
        <f t="shared" si="102"/>
        <v>0</v>
      </c>
      <c r="CX82">
        <f t="shared" si="103"/>
        <v>0</v>
      </c>
      <c r="CY82">
        <f t="shared" si="104"/>
        <v>3595.69</v>
      </c>
      <c r="CZ82">
        <f t="shared" si="105"/>
        <v>513.66999999999996</v>
      </c>
      <c r="DC82" t="s">
        <v>3</v>
      </c>
      <c r="DD82" t="s">
        <v>3</v>
      </c>
      <c r="DE82" t="s">
        <v>3</v>
      </c>
      <c r="DF82" t="s">
        <v>3</v>
      </c>
      <c r="DG82" t="s">
        <v>3</v>
      </c>
      <c r="DH82" t="s">
        <v>3</v>
      </c>
      <c r="DI82" t="s">
        <v>3</v>
      </c>
      <c r="DJ82" t="s">
        <v>3</v>
      </c>
      <c r="DK82" t="s">
        <v>3</v>
      </c>
      <c r="DL82" t="s">
        <v>3</v>
      </c>
      <c r="DM82" t="s">
        <v>3</v>
      </c>
      <c r="DN82">
        <v>0</v>
      </c>
      <c r="DO82">
        <v>0</v>
      </c>
      <c r="DP82">
        <v>1</v>
      </c>
      <c r="DQ82">
        <v>1</v>
      </c>
      <c r="DU82">
        <v>1005</v>
      </c>
      <c r="DV82" t="s">
        <v>42</v>
      </c>
      <c r="DW82" t="s">
        <v>42</v>
      </c>
      <c r="DX82">
        <v>100</v>
      </c>
      <c r="DZ82" t="s">
        <v>3</v>
      </c>
      <c r="EA82" t="s">
        <v>3</v>
      </c>
      <c r="EB82" t="s">
        <v>3</v>
      </c>
      <c r="EC82" t="s">
        <v>3</v>
      </c>
      <c r="EE82">
        <v>71753531</v>
      </c>
      <c r="EF82">
        <v>1</v>
      </c>
      <c r="EG82" t="s">
        <v>22</v>
      </c>
      <c r="EH82">
        <v>0</v>
      </c>
      <c r="EI82" t="s">
        <v>3</v>
      </c>
      <c r="EJ82">
        <v>4</v>
      </c>
      <c r="EK82">
        <v>0</v>
      </c>
      <c r="EL82" t="s">
        <v>23</v>
      </c>
      <c r="EM82" t="s">
        <v>24</v>
      </c>
      <c r="EO82" t="s">
        <v>3</v>
      </c>
      <c r="EQ82">
        <v>0</v>
      </c>
      <c r="ER82">
        <v>2894.59</v>
      </c>
      <c r="ES82">
        <v>1083.56</v>
      </c>
      <c r="ET82">
        <v>0.42</v>
      </c>
      <c r="EU82">
        <v>0.01</v>
      </c>
      <c r="EV82">
        <v>1810.61</v>
      </c>
      <c r="EW82">
        <v>6.53</v>
      </c>
      <c r="EX82">
        <v>0</v>
      </c>
      <c r="EY82">
        <v>0</v>
      </c>
      <c r="FQ82">
        <v>0</v>
      </c>
      <c r="FR82">
        <f t="shared" si="106"/>
        <v>0</v>
      </c>
      <c r="FS82">
        <v>0</v>
      </c>
      <c r="FX82">
        <v>70</v>
      </c>
      <c r="FY82">
        <v>10</v>
      </c>
      <c r="GA82" t="s">
        <v>3</v>
      </c>
      <c r="GD82">
        <v>0</v>
      </c>
      <c r="GF82">
        <v>1182519397</v>
      </c>
      <c r="GG82">
        <v>2</v>
      </c>
      <c r="GH82">
        <v>1</v>
      </c>
      <c r="GI82">
        <v>-2</v>
      </c>
      <c r="GJ82">
        <v>0</v>
      </c>
      <c r="GK82">
        <f>ROUND(R82*(R12)/100,2)</f>
        <v>0.03</v>
      </c>
      <c r="GL82">
        <f t="shared" si="107"/>
        <v>0</v>
      </c>
      <c r="GM82">
        <f t="shared" si="108"/>
        <v>12321.34</v>
      </c>
      <c r="GN82">
        <f t="shared" si="109"/>
        <v>0</v>
      </c>
      <c r="GO82">
        <f t="shared" si="110"/>
        <v>0</v>
      </c>
      <c r="GP82">
        <f t="shared" si="111"/>
        <v>12321.34</v>
      </c>
      <c r="GR82">
        <v>0</v>
      </c>
      <c r="GS82">
        <v>3</v>
      </c>
      <c r="GT82">
        <v>0</v>
      </c>
      <c r="GU82" t="s">
        <v>3</v>
      </c>
      <c r="GV82">
        <f t="shared" si="112"/>
        <v>0</v>
      </c>
      <c r="GW82">
        <v>1</v>
      </c>
      <c r="GX82">
        <f t="shared" si="113"/>
        <v>0</v>
      </c>
      <c r="HA82">
        <v>0</v>
      </c>
      <c r="HB82">
        <v>0</v>
      </c>
      <c r="HC82">
        <f t="shared" si="114"/>
        <v>0</v>
      </c>
      <c r="HE82" t="s">
        <v>3</v>
      </c>
      <c r="HF82" t="s">
        <v>3</v>
      </c>
      <c r="HM82" t="s">
        <v>3</v>
      </c>
      <c r="HN82" t="s">
        <v>3</v>
      </c>
      <c r="HO82" t="s">
        <v>3</v>
      </c>
      <c r="HP82" t="s">
        <v>3</v>
      </c>
      <c r="HQ82" t="s">
        <v>3</v>
      </c>
      <c r="IK82">
        <v>0</v>
      </c>
    </row>
    <row r="83" spans="1:245" x14ac:dyDescent="0.2">
      <c r="A83">
        <v>17</v>
      </c>
      <c r="B83">
        <v>1</v>
      </c>
      <c r="D83">
        <f>ROW(EtalonRes!A58)</f>
        <v>58</v>
      </c>
      <c r="E83" t="s">
        <v>143</v>
      </c>
      <c r="F83" t="s">
        <v>144</v>
      </c>
      <c r="G83" t="s">
        <v>145</v>
      </c>
      <c r="H83" t="s">
        <v>42</v>
      </c>
      <c r="I83">
        <v>2.8370000000000002</v>
      </c>
      <c r="J83">
        <v>0</v>
      </c>
      <c r="K83">
        <v>2.8370000000000002</v>
      </c>
      <c r="O83">
        <f t="shared" si="75"/>
        <v>76001.56</v>
      </c>
      <c r="P83">
        <f t="shared" si="76"/>
        <v>30261.83</v>
      </c>
      <c r="Q83">
        <f t="shared" si="77"/>
        <v>0</v>
      </c>
      <c r="R83">
        <f t="shared" si="78"/>
        <v>0</v>
      </c>
      <c r="S83">
        <f t="shared" si="79"/>
        <v>45739.73</v>
      </c>
      <c r="T83">
        <f t="shared" si="80"/>
        <v>0</v>
      </c>
      <c r="U83">
        <f t="shared" si="81"/>
        <v>154.24769000000001</v>
      </c>
      <c r="V83">
        <f t="shared" si="82"/>
        <v>0</v>
      </c>
      <c r="W83">
        <f t="shared" si="83"/>
        <v>0</v>
      </c>
      <c r="X83">
        <f t="shared" si="84"/>
        <v>32017.81</v>
      </c>
      <c r="Y83">
        <f t="shared" si="85"/>
        <v>4573.97</v>
      </c>
      <c r="AA83">
        <v>72192302</v>
      </c>
      <c r="AB83">
        <f t="shared" si="86"/>
        <v>26789.41</v>
      </c>
      <c r="AC83">
        <f t="shared" si="87"/>
        <v>10666.84</v>
      </c>
      <c r="AD83">
        <f t="shared" si="88"/>
        <v>0</v>
      </c>
      <c r="AE83">
        <f t="shared" si="89"/>
        <v>0</v>
      </c>
      <c r="AF83">
        <f t="shared" si="90"/>
        <v>16122.57</v>
      </c>
      <c r="AG83">
        <f t="shared" si="91"/>
        <v>0</v>
      </c>
      <c r="AH83">
        <f t="shared" si="92"/>
        <v>54.37</v>
      </c>
      <c r="AI83">
        <f t="shared" si="93"/>
        <v>0</v>
      </c>
      <c r="AJ83">
        <f t="shared" si="94"/>
        <v>0</v>
      </c>
      <c r="AK83">
        <v>26789.41</v>
      </c>
      <c r="AL83">
        <v>10666.84</v>
      </c>
      <c r="AM83">
        <v>0</v>
      </c>
      <c r="AN83">
        <v>0</v>
      </c>
      <c r="AO83">
        <v>16122.57</v>
      </c>
      <c r="AP83">
        <v>0</v>
      </c>
      <c r="AQ83">
        <v>54.37</v>
      </c>
      <c r="AR83">
        <v>0</v>
      </c>
      <c r="AS83">
        <v>0</v>
      </c>
      <c r="AT83">
        <v>70</v>
      </c>
      <c r="AU83">
        <v>10</v>
      </c>
      <c r="AV83">
        <v>1</v>
      </c>
      <c r="AW83">
        <v>1</v>
      </c>
      <c r="AZ83">
        <v>1</v>
      </c>
      <c r="BA83">
        <v>1</v>
      </c>
      <c r="BB83">
        <v>1</v>
      </c>
      <c r="BC83">
        <v>1</v>
      </c>
      <c r="BD83" t="s">
        <v>3</v>
      </c>
      <c r="BE83" t="s">
        <v>3</v>
      </c>
      <c r="BF83" t="s">
        <v>3</v>
      </c>
      <c r="BG83" t="s">
        <v>3</v>
      </c>
      <c r="BH83">
        <v>0</v>
      </c>
      <c r="BI83">
        <v>4</v>
      </c>
      <c r="BJ83" t="s">
        <v>146</v>
      </c>
      <c r="BM83">
        <v>0</v>
      </c>
      <c r="BN83">
        <v>0</v>
      </c>
      <c r="BO83" t="s">
        <v>3</v>
      </c>
      <c r="BP83">
        <v>0</v>
      </c>
      <c r="BQ83">
        <v>1</v>
      </c>
      <c r="BR83">
        <v>0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 t="s">
        <v>3</v>
      </c>
      <c r="BZ83">
        <v>70</v>
      </c>
      <c r="CA83">
        <v>10</v>
      </c>
      <c r="CB83" t="s">
        <v>3</v>
      </c>
      <c r="CE83">
        <v>0</v>
      </c>
      <c r="CF83">
        <v>0</v>
      </c>
      <c r="CG83">
        <v>0</v>
      </c>
      <c r="CM83">
        <v>0</v>
      </c>
      <c r="CN83" t="s">
        <v>3</v>
      </c>
      <c r="CO83">
        <v>0</v>
      </c>
      <c r="CP83">
        <f t="shared" si="95"/>
        <v>76001.56</v>
      </c>
      <c r="CQ83">
        <f t="shared" si="96"/>
        <v>10666.84</v>
      </c>
      <c r="CR83">
        <f t="shared" si="97"/>
        <v>0</v>
      </c>
      <c r="CS83">
        <f t="shared" si="98"/>
        <v>0</v>
      </c>
      <c r="CT83">
        <f t="shared" si="99"/>
        <v>16122.57</v>
      </c>
      <c r="CU83">
        <f t="shared" si="100"/>
        <v>0</v>
      </c>
      <c r="CV83">
        <f t="shared" si="101"/>
        <v>54.37</v>
      </c>
      <c r="CW83">
        <f t="shared" si="102"/>
        <v>0</v>
      </c>
      <c r="CX83">
        <f t="shared" si="103"/>
        <v>0</v>
      </c>
      <c r="CY83">
        <f t="shared" si="104"/>
        <v>32017.811000000002</v>
      </c>
      <c r="CZ83">
        <f t="shared" si="105"/>
        <v>4573.9730000000009</v>
      </c>
      <c r="DC83" t="s">
        <v>3</v>
      </c>
      <c r="DD83" t="s">
        <v>3</v>
      </c>
      <c r="DE83" t="s">
        <v>3</v>
      </c>
      <c r="DF83" t="s">
        <v>3</v>
      </c>
      <c r="DG83" t="s">
        <v>3</v>
      </c>
      <c r="DH83" t="s">
        <v>3</v>
      </c>
      <c r="DI83" t="s">
        <v>3</v>
      </c>
      <c r="DJ83" t="s">
        <v>3</v>
      </c>
      <c r="DK83" t="s">
        <v>3</v>
      </c>
      <c r="DL83" t="s">
        <v>3</v>
      </c>
      <c r="DM83" t="s">
        <v>3</v>
      </c>
      <c r="DN83">
        <v>0</v>
      </c>
      <c r="DO83">
        <v>0</v>
      </c>
      <c r="DP83">
        <v>1</v>
      </c>
      <c r="DQ83">
        <v>1</v>
      </c>
      <c r="DU83">
        <v>1005</v>
      </c>
      <c r="DV83" t="s">
        <v>42</v>
      </c>
      <c r="DW83" t="s">
        <v>42</v>
      </c>
      <c r="DX83">
        <v>100</v>
      </c>
      <c r="DZ83" t="s">
        <v>3</v>
      </c>
      <c r="EA83" t="s">
        <v>3</v>
      </c>
      <c r="EB83" t="s">
        <v>3</v>
      </c>
      <c r="EC83" t="s">
        <v>3</v>
      </c>
      <c r="EE83">
        <v>71753531</v>
      </c>
      <c r="EF83">
        <v>1</v>
      </c>
      <c r="EG83" t="s">
        <v>22</v>
      </c>
      <c r="EH83">
        <v>0</v>
      </c>
      <c r="EI83" t="s">
        <v>3</v>
      </c>
      <c r="EJ83">
        <v>4</v>
      </c>
      <c r="EK83">
        <v>0</v>
      </c>
      <c r="EL83" t="s">
        <v>23</v>
      </c>
      <c r="EM83" t="s">
        <v>24</v>
      </c>
      <c r="EO83" t="s">
        <v>3</v>
      </c>
      <c r="EQ83">
        <v>0</v>
      </c>
      <c r="ER83">
        <v>26789.41</v>
      </c>
      <c r="ES83">
        <v>10666.84</v>
      </c>
      <c r="ET83">
        <v>0</v>
      </c>
      <c r="EU83">
        <v>0</v>
      </c>
      <c r="EV83">
        <v>16122.57</v>
      </c>
      <c r="EW83">
        <v>54.37</v>
      </c>
      <c r="EX83">
        <v>0</v>
      </c>
      <c r="EY83">
        <v>0</v>
      </c>
      <c r="FQ83">
        <v>0</v>
      </c>
      <c r="FR83">
        <f t="shared" si="106"/>
        <v>0</v>
      </c>
      <c r="FS83">
        <v>0</v>
      </c>
      <c r="FX83">
        <v>70</v>
      </c>
      <c r="FY83">
        <v>10</v>
      </c>
      <c r="GA83" t="s">
        <v>3</v>
      </c>
      <c r="GD83">
        <v>0</v>
      </c>
      <c r="GF83">
        <v>772958837</v>
      </c>
      <c r="GG83">
        <v>2</v>
      </c>
      <c r="GH83">
        <v>1</v>
      </c>
      <c r="GI83">
        <v>-2</v>
      </c>
      <c r="GJ83">
        <v>0</v>
      </c>
      <c r="GK83">
        <f>ROUND(R83*(R12)/100,2)</f>
        <v>0</v>
      </c>
      <c r="GL83">
        <f t="shared" si="107"/>
        <v>0</v>
      </c>
      <c r="GM83">
        <f t="shared" si="108"/>
        <v>112593.34</v>
      </c>
      <c r="GN83">
        <f t="shared" si="109"/>
        <v>0</v>
      </c>
      <c r="GO83">
        <f t="shared" si="110"/>
        <v>0</v>
      </c>
      <c r="GP83">
        <f t="shared" si="111"/>
        <v>112593.34</v>
      </c>
      <c r="GR83">
        <v>0</v>
      </c>
      <c r="GS83">
        <v>3</v>
      </c>
      <c r="GT83">
        <v>0</v>
      </c>
      <c r="GU83" t="s">
        <v>3</v>
      </c>
      <c r="GV83">
        <f t="shared" si="112"/>
        <v>0</v>
      </c>
      <c r="GW83">
        <v>1</v>
      </c>
      <c r="GX83">
        <f t="shared" si="113"/>
        <v>0</v>
      </c>
      <c r="HA83">
        <v>0</v>
      </c>
      <c r="HB83">
        <v>0</v>
      </c>
      <c r="HC83">
        <f t="shared" si="114"/>
        <v>0</v>
      </c>
      <c r="HE83" t="s">
        <v>3</v>
      </c>
      <c r="HF83" t="s">
        <v>3</v>
      </c>
      <c r="HM83" t="s">
        <v>3</v>
      </c>
      <c r="HN83" t="s">
        <v>3</v>
      </c>
      <c r="HO83" t="s">
        <v>3</v>
      </c>
      <c r="HP83" t="s">
        <v>3</v>
      </c>
      <c r="HQ83" t="s">
        <v>3</v>
      </c>
      <c r="IK83">
        <v>0</v>
      </c>
    </row>
    <row r="84" spans="1:245" x14ac:dyDescent="0.2">
      <c r="A84">
        <v>17</v>
      </c>
      <c r="B84">
        <v>1</v>
      </c>
      <c r="D84">
        <f>ROW(EtalonRes!A68)</f>
        <v>68</v>
      </c>
      <c r="E84" t="s">
        <v>147</v>
      </c>
      <c r="F84" t="s">
        <v>148</v>
      </c>
      <c r="G84" t="s">
        <v>149</v>
      </c>
      <c r="H84" t="s">
        <v>20</v>
      </c>
      <c r="I84">
        <v>0.65039999999999998</v>
      </c>
      <c r="J84">
        <v>0</v>
      </c>
      <c r="K84">
        <v>0.65039999999999998</v>
      </c>
      <c r="O84">
        <f t="shared" si="75"/>
        <v>7019.83</v>
      </c>
      <c r="P84">
        <f t="shared" si="76"/>
        <v>3799.73</v>
      </c>
      <c r="Q84">
        <f t="shared" si="77"/>
        <v>245.19</v>
      </c>
      <c r="R84">
        <f t="shared" si="78"/>
        <v>5.77</v>
      </c>
      <c r="S84">
        <f t="shared" si="79"/>
        <v>2974.91</v>
      </c>
      <c r="T84">
        <f t="shared" si="80"/>
        <v>0</v>
      </c>
      <c r="U84">
        <f t="shared" si="81"/>
        <v>10.998263999999999</v>
      </c>
      <c r="V84">
        <f t="shared" si="82"/>
        <v>0</v>
      </c>
      <c r="W84">
        <f t="shared" si="83"/>
        <v>0</v>
      </c>
      <c r="X84">
        <f t="shared" si="84"/>
        <v>2082.44</v>
      </c>
      <c r="Y84">
        <f t="shared" si="85"/>
        <v>297.49</v>
      </c>
      <c r="AA84">
        <v>72192302</v>
      </c>
      <c r="AB84">
        <f t="shared" si="86"/>
        <v>10793.11</v>
      </c>
      <c r="AC84">
        <f t="shared" si="87"/>
        <v>5842.15</v>
      </c>
      <c r="AD84">
        <f t="shared" si="88"/>
        <v>376.99</v>
      </c>
      <c r="AE84">
        <f t="shared" si="89"/>
        <v>8.8699999999999992</v>
      </c>
      <c r="AF84">
        <f t="shared" si="90"/>
        <v>4573.97</v>
      </c>
      <c r="AG84">
        <f t="shared" si="91"/>
        <v>0</v>
      </c>
      <c r="AH84">
        <f t="shared" si="92"/>
        <v>16.91</v>
      </c>
      <c r="AI84">
        <f t="shared" si="93"/>
        <v>0</v>
      </c>
      <c r="AJ84">
        <f t="shared" si="94"/>
        <v>0</v>
      </c>
      <c r="AK84">
        <v>10793.11</v>
      </c>
      <c r="AL84">
        <v>5842.15</v>
      </c>
      <c r="AM84">
        <v>376.99</v>
      </c>
      <c r="AN84">
        <v>8.8699999999999992</v>
      </c>
      <c r="AO84">
        <v>4573.97</v>
      </c>
      <c r="AP84">
        <v>0</v>
      </c>
      <c r="AQ84">
        <v>16.91</v>
      </c>
      <c r="AR84">
        <v>0</v>
      </c>
      <c r="AS84">
        <v>0</v>
      </c>
      <c r="AT84">
        <v>70</v>
      </c>
      <c r="AU84">
        <v>10</v>
      </c>
      <c r="AV84">
        <v>1</v>
      </c>
      <c r="AW84">
        <v>1</v>
      </c>
      <c r="AZ84">
        <v>1</v>
      </c>
      <c r="BA84">
        <v>1</v>
      </c>
      <c r="BB84">
        <v>1</v>
      </c>
      <c r="BC84">
        <v>1</v>
      </c>
      <c r="BD84" t="s">
        <v>3</v>
      </c>
      <c r="BE84" t="s">
        <v>3</v>
      </c>
      <c r="BF84" t="s">
        <v>3</v>
      </c>
      <c r="BG84" t="s">
        <v>3</v>
      </c>
      <c r="BH84">
        <v>0</v>
      </c>
      <c r="BI84">
        <v>4</v>
      </c>
      <c r="BJ84" t="s">
        <v>150</v>
      </c>
      <c r="BM84">
        <v>0</v>
      </c>
      <c r="BN84">
        <v>0</v>
      </c>
      <c r="BO84" t="s">
        <v>3</v>
      </c>
      <c r="BP84">
        <v>0</v>
      </c>
      <c r="BQ84">
        <v>1</v>
      </c>
      <c r="BR84">
        <v>0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 t="s">
        <v>3</v>
      </c>
      <c r="BZ84">
        <v>70</v>
      </c>
      <c r="CA84">
        <v>10</v>
      </c>
      <c r="CB84" t="s">
        <v>3</v>
      </c>
      <c r="CE84">
        <v>0</v>
      </c>
      <c r="CF84">
        <v>0</v>
      </c>
      <c r="CG84">
        <v>0</v>
      </c>
      <c r="CM84">
        <v>0</v>
      </c>
      <c r="CN84" t="s">
        <v>3</v>
      </c>
      <c r="CO84">
        <v>0</v>
      </c>
      <c r="CP84">
        <f t="shared" si="95"/>
        <v>7019.83</v>
      </c>
      <c r="CQ84">
        <f t="shared" si="96"/>
        <v>5842.15</v>
      </c>
      <c r="CR84">
        <f t="shared" si="97"/>
        <v>376.99</v>
      </c>
      <c r="CS84">
        <f t="shared" si="98"/>
        <v>8.8699999999999992</v>
      </c>
      <c r="CT84">
        <f t="shared" si="99"/>
        <v>4573.97</v>
      </c>
      <c r="CU84">
        <f t="shared" si="100"/>
        <v>0</v>
      </c>
      <c r="CV84">
        <f t="shared" si="101"/>
        <v>16.91</v>
      </c>
      <c r="CW84">
        <f t="shared" si="102"/>
        <v>0</v>
      </c>
      <c r="CX84">
        <f t="shared" si="103"/>
        <v>0</v>
      </c>
      <c r="CY84">
        <f t="shared" si="104"/>
        <v>2082.4369999999999</v>
      </c>
      <c r="CZ84">
        <f t="shared" si="105"/>
        <v>297.49099999999999</v>
      </c>
      <c r="DC84" t="s">
        <v>3</v>
      </c>
      <c r="DD84" t="s">
        <v>3</v>
      </c>
      <c r="DE84" t="s">
        <v>3</v>
      </c>
      <c r="DF84" t="s">
        <v>3</v>
      </c>
      <c r="DG84" t="s">
        <v>3</v>
      </c>
      <c r="DH84" t="s">
        <v>3</v>
      </c>
      <c r="DI84" t="s">
        <v>3</v>
      </c>
      <c r="DJ84" t="s">
        <v>3</v>
      </c>
      <c r="DK84" t="s">
        <v>3</v>
      </c>
      <c r="DL84" t="s">
        <v>3</v>
      </c>
      <c r="DM84" t="s">
        <v>3</v>
      </c>
      <c r="DN84">
        <v>0</v>
      </c>
      <c r="DO84">
        <v>0</v>
      </c>
      <c r="DP84">
        <v>1</v>
      </c>
      <c r="DQ84">
        <v>1</v>
      </c>
      <c r="DU84">
        <v>1003</v>
      </c>
      <c r="DV84" t="s">
        <v>20</v>
      </c>
      <c r="DW84" t="s">
        <v>20</v>
      </c>
      <c r="DX84">
        <v>100</v>
      </c>
      <c r="DZ84" t="s">
        <v>3</v>
      </c>
      <c r="EA84" t="s">
        <v>3</v>
      </c>
      <c r="EB84" t="s">
        <v>3</v>
      </c>
      <c r="EC84" t="s">
        <v>3</v>
      </c>
      <c r="EE84">
        <v>71753531</v>
      </c>
      <c r="EF84">
        <v>1</v>
      </c>
      <c r="EG84" t="s">
        <v>22</v>
      </c>
      <c r="EH84">
        <v>0</v>
      </c>
      <c r="EI84" t="s">
        <v>3</v>
      </c>
      <c r="EJ84">
        <v>4</v>
      </c>
      <c r="EK84">
        <v>0</v>
      </c>
      <c r="EL84" t="s">
        <v>23</v>
      </c>
      <c r="EM84" t="s">
        <v>24</v>
      </c>
      <c r="EO84" t="s">
        <v>3</v>
      </c>
      <c r="EQ84">
        <v>0</v>
      </c>
      <c r="ER84">
        <v>10793.11</v>
      </c>
      <c r="ES84">
        <v>5842.15</v>
      </c>
      <c r="ET84">
        <v>376.99</v>
      </c>
      <c r="EU84">
        <v>8.8699999999999992</v>
      </c>
      <c r="EV84">
        <v>4573.97</v>
      </c>
      <c r="EW84">
        <v>16.91</v>
      </c>
      <c r="EX84">
        <v>0</v>
      </c>
      <c r="EY84">
        <v>0</v>
      </c>
      <c r="FQ84">
        <v>0</v>
      </c>
      <c r="FR84">
        <f t="shared" si="106"/>
        <v>0</v>
      </c>
      <c r="FS84">
        <v>0</v>
      </c>
      <c r="FX84">
        <v>70</v>
      </c>
      <c r="FY84">
        <v>10</v>
      </c>
      <c r="GA84" t="s">
        <v>3</v>
      </c>
      <c r="GD84">
        <v>0</v>
      </c>
      <c r="GF84">
        <v>631304529</v>
      </c>
      <c r="GG84">
        <v>2</v>
      </c>
      <c r="GH84">
        <v>1</v>
      </c>
      <c r="GI84">
        <v>-2</v>
      </c>
      <c r="GJ84">
        <v>0</v>
      </c>
      <c r="GK84">
        <f>ROUND(R84*(R12)/100,2)</f>
        <v>6.23</v>
      </c>
      <c r="GL84">
        <f t="shared" si="107"/>
        <v>0</v>
      </c>
      <c r="GM84">
        <f t="shared" si="108"/>
        <v>9405.99</v>
      </c>
      <c r="GN84">
        <f t="shared" si="109"/>
        <v>0</v>
      </c>
      <c r="GO84">
        <f t="shared" si="110"/>
        <v>0</v>
      </c>
      <c r="GP84">
        <f t="shared" si="111"/>
        <v>9405.99</v>
      </c>
      <c r="GR84">
        <v>0</v>
      </c>
      <c r="GS84">
        <v>3</v>
      </c>
      <c r="GT84">
        <v>0</v>
      </c>
      <c r="GU84" t="s">
        <v>3</v>
      </c>
      <c r="GV84">
        <f t="shared" si="112"/>
        <v>0</v>
      </c>
      <c r="GW84">
        <v>1</v>
      </c>
      <c r="GX84">
        <f t="shared" si="113"/>
        <v>0</v>
      </c>
      <c r="HA84">
        <v>0</v>
      </c>
      <c r="HB84">
        <v>0</v>
      </c>
      <c r="HC84">
        <f t="shared" si="114"/>
        <v>0</v>
      </c>
      <c r="HE84" t="s">
        <v>3</v>
      </c>
      <c r="HF84" t="s">
        <v>3</v>
      </c>
      <c r="HM84" t="s">
        <v>3</v>
      </c>
      <c r="HN84" t="s">
        <v>3</v>
      </c>
      <c r="HO84" t="s">
        <v>3</v>
      </c>
      <c r="HP84" t="s">
        <v>3</v>
      </c>
      <c r="HQ84" t="s">
        <v>3</v>
      </c>
      <c r="IK84">
        <v>0</v>
      </c>
    </row>
    <row r="85" spans="1:245" x14ac:dyDescent="0.2">
      <c r="A85">
        <v>17</v>
      </c>
      <c r="B85">
        <v>1</v>
      </c>
      <c r="D85">
        <f>ROW(EtalonRes!A72)</f>
        <v>72</v>
      </c>
      <c r="E85" t="s">
        <v>151</v>
      </c>
      <c r="F85" t="s">
        <v>152</v>
      </c>
      <c r="G85" t="s">
        <v>153</v>
      </c>
      <c r="H85" t="s">
        <v>33</v>
      </c>
      <c r="I85">
        <v>0.04</v>
      </c>
      <c r="J85">
        <v>0</v>
      </c>
      <c r="K85">
        <v>0.04</v>
      </c>
      <c r="O85">
        <f t="shared" si="75"/>
        <v>1287.1600000000001</v>
      </c>
      <c r="P85">
        <f t="shared" si="76"/>
        <v>487.54</v>
      </c>
      <c r="Q85">
        <f t="shared" si="77"/>
        <v>0</v>
      </c>
      <c r="R85">
        <f t="shared" si="78"/>
        <v>0</v>
      </c>
      <c r="S85">
        <f t="shared" si="79"/>
        <v>799.62</v>
      </c>
      <c r="T85">
        <f t="shared" si="80"/>
        <v>0</v>
      </c>
      <c r="U85">
        <f t="shared" si="81"/>
        <v>3.1143999999999998</v>
      </c>
      <c r="V85">
        <f t="shared" si="82"/>
        <v>0</v>
      </c>
      <c r="W85">
        <f t="shared" si="83"/>
        <v>0</v>
      </c>
      <c r="X85">
        <f t="shared" si="84"/>
        <v>559.73</v>
      </c>
      <c r="Y85">
        <f t="shared" si="85"/>
        <v>79.959999999999994</v>
      </c>
      <c r="AA85">
        <v>72192302</v>
      </c>
      <c r="AB85">
        <f t="shared" si="86"/>
        <v>32178.99</v>
      </c>
      <c r="AC85">
        <f t="shared" si="87"/>
        <v>12188.43</v>
      </c>
      <c r="AD85">
        <f t="shared" si="88"/>
        <v>0</v>
      </c>
      <c r="AE85">
        <f t="shared" si="89"/>
        <v>0</v>
      </c>
      <c r="AF85">
        <f t="shared" si="90"/>
        <v>19990.560000000001</v>
      </c>
      <c r="AG85">
        <f t="shared" si="91"/>
        <v>0</v>
      </c>
      <c r="AH85">
        <f t="shared" si="92"/>
        <v>77.86</v>
      </c>
      <c r="AI85">
        <f t="shared" si="93"/>
        <v>0</v>
      </c>
      <c r="AJ85">
        <f t="shared" si="94"/>
        <v>0</v>
      </c>
      <c r="AK85">
        <v>32178.99</v>
      </c>
      <c r="AL85">
        <v>12188.43</v>
      </c>
      <c r="AM85">
        <v>0</v>
      </c>
      <c r="AN85">
        <v>0</v>
      </c>
      <c r="AO85">
        <v>19990.560000000001</v>
      </c>
      <c r="AP85">
        <v>0</v>
      </c>
      <c r="AQ85">
        <v>77.86</v>
      </c>
      <c r="AR85">
        <v>0</v>
      </c>
      <c r="AS85">
        <v>0</v>
      </c>
      <c r="AT85">
        <v>70</v>
      </c>
      <c r="AU85">
        <v>10</v>
      </c>
      <c r="AV85">
        <v>1</v>
      </c>
      <c r="AW85">
        <v>1</v>
      </c>
      <c r="AZ85">
        <v>1</v>
      </c>
      <c r="BA85">
        <v>1</v>
      </c>
      <c r="BB85">
        <v>1</v>
      </c>
      <c r="BC85">
        <v>1</v>
      </c>
      <c r="BD85" t="s">
        <v>3</v>
      </c>
      <c r="BE85" t="s">
        <v>3</v>
      </c>
      <c r="BF85" t="s">
        <v>3</v>
      </c>
      <c r="BG85" t="s">
        <v>3</v>
      </c>
      <c r="BH85">
        <v>0</v>
      </c>
      <c r="BI85">
        <v>4</v>
      </c>
      <c r="BJ85" t="s">
        <v>154</v>
      </c>
      <c r="BM85">
        <v>0</v>
      </c>
      <c r="BN85">
        <v>0</v>
      </c>
      <c r="BO85" t="s">
        <v>3</v>
      </c>
      <c r="BP85">
        <v>0</v>
      </c>
      <c r="BQ85">
        <v>1</v>
      </c>
      <c r="BR85">
        <v>0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 t="s">
        <v>3</v>
      </c>
      <c r="BZ85">
        <v>70</v>
      </c>
      <c r="CA85">
        <v>10</v>
      </c>
      <c r="CB85" t="s">
        <v>3</v>
      </c>
      <c r="CE85">
        <v>0</v>
      </c>
      <c r="CF85">
        <v>0</v>
      </c>
      <c r="CG85">
        <v>0</v>
      </c>
      <c r="CM85">
        <v>0</v>
      </c>
      <c r="CN85" t="s">
        <v>3</v>
      </c>
      <c r="CO85">
        <v>0</v>
      </c>
      <c r="CP85">
        <f t="shared" si="95"/>
        <v>1287.1600000000001</v>
      </c>
      <c r="CQ85">
        <f t="shared" si="96"/>
        <v>12188.43</v>
      </c>
      <c r="CR85">
        <f t="shared" si="97"/>
        <v>0</v>
      </c>
      <c r="CS85">
        <f t="shared" si="98"/>
        <v>0</v>
      </c>
      <c r="CT85">
        <f t="shared" si="99"/>
        <v>19990.560000000001</v>
      </c>
      <c r="CU85">
        <f t="shared" si="100"/>
        <v>0</v>
      </c>
      <c r="CV85">
        <f t="shared" si="101"/>
        <v>77.86</v>
      </c>
      <c r="CW85">
        <f t="shared" si="102"/>
        <v>0</v>
      </c>
      <c r="CX85">
        <f t="shared" si="103"/>
        <v>0</v>
      </c>
      <c r="CY85">
        <f t="shared" si="104"/>
        <v>559.73400000000004</v>
      </c>
      <c r="CZ85">
        <f t="shared" si="105"/>
        <v>79.962000000000003</v>
      </c>
      <c r="DC85" t="s">
        <v>3</v>
      </c>
      <c r="DD85" t="s">
        <v>3</v>
      </c>
      <c r="DE85" t="s">
        <v>3</v>
      </c>
      <c r="DF85" t="s">
        <v>3</v>
      </c>
      <c r="DG85" t="s">
        <v>3</v>
      </c>
      <c r="DH85" t="s">
        <v>3</v>
      </c>
      <c r="DI85" t="s">
        <v>3</v>
      </c>
      <c r="DJ85" t="s">
        <v>3</v>
      </c>
      <c r="DK85" t="s">
        <v>3</v>
      </c>
      <c r="DL85" t="s">
        <v>3</v>
      </c>
      <c r="DM85" t="s">
        <v>3</v>
      </c>
      <c r="DN85">
        <v>0</v>
      </c>
      <c r="DO85">
        <v>0</v>
      </c>
      <c r="DP85">
        <v>1</v>
      </c>
      <c r="DQ85">
        <v>1</v>
      </c>
      <c r="DU85">
        <v>1010</v>
      </c>
      <c r="DV85" t="s">
        <v>33</v>
      </c>
      <c r="DW85" t="s">
        <v>33</v>
      </c>
      <c r="DX85">
        <v>100</v>
      </c>
      <c r="DZ85" t="s">
        <v>3</v>
      </c>
      <c r="EA85" t="s">
        <v>3</v>
      </c>
      <c r="EB85" t="s">
        <v>3</v>
      </c>
      <c r="EC85" t="s">
        <v>3</v>
      </c>
      <c r="EE85">
        <v>71753531</v>
      </c>
      <c r="EF85">
        <v>1</v>
      </c>
      <c r="EG85" t="s">
        <v>22</v>
      </c>
      <c r="EH85">
        <v>0</v>
      </c>
      <c r="EI85" t="s">
        <v>3</v>
      </c>
      <c r="EJ85">
        <v>4</v>
      </c>
      <c r="EK85">
        <v>0</v>
      </c>
      <c r="EL85" t="s">
        <v>23</v>
      </c>
      <c r="EM85" t="s">
        <v>24</v>
      </c>
      <c r="EO85" t="s">
        <v>3</v>
      </c>
      <c r="EQ85">
        <v>0</v>
      </c>
      <c r="ER85">
        <v>32178.99</v>
      </c>
      <c r="ES85">
        <v>12188.43</v>
      </c>
      <c r="ET85">
        <v>0</v>
      </c>
      <c r="EU85">
        <v>0</v>
      </c>
      <c r="EV85">
        <v>19990.560000000001</v>
      </c>
      <c r="EW85">
        <v>77.86</v>
      </c>
      <c r="EX85">
        <v>0</v>
      </c>
      <c r="EY85">
        <v>0</v>
      </c>
      <c r="FQ85">
        <v>0</v>
      </c>
      <c r="FR85">
        <f t="shared" si="106"/>
        <v>0</v>
      </c>
      <c r="FS85">
        <v>0</v>
      </c>
      <c r="FX85">
        <v>70</v>
      </c>
      <c r="FY85">
        <v>10</v>
      </c>
      <c r="GA85" t="s">
        <v>3</v>
      </c>
      <c r="GD85">
        <v>0</v>
      </c>
      <c r="GF85">
        <v>-1457482948</v>
      </c>
      <c r="GG85">
        <v>2</v>
      </c>
      <c r="GH85">
        <v>1</v>
      </c>
      <c r="GI85">
        <v>-2</v>
      </c>
      <c r="GJ85">
        <v>0</v>
      </c>
      <c r="GK85">
        <f>ROUND(R85*(R12)/100,2)</f>
        <v>0</v>
      </c>
      <c r="GL85">
        <f t="shared" si="107"/>
        <v>0</v>
      </c>
      <c r="GM85">
        <f t="shared" si="108"/>
        <v>1926.85</v>
      </c>
      <c r="GN85">
        <f t="shared" si="109"/>
        <v>0</v>
      </c>
      <c r="GO85">
        <f t="shared" si="110"/>
        <v>0</v>
      </c>
      <c r="GP85">
        <f t="shared" si="111"/>
        <v>1926.85</v>
      </c>
      <c r="GR85">
        <v>0</v>
      </c>
      <c r="GS85">
        <v>3</v>
      </c>
      <c r="GT85">
        <v>0</v>
      </c>
      <c r="GU85" t="s">
        <v>3</v>
      </c>
      <c r="GV85">
        <f t="shared" si="112"/>
        <v>0</v>
      </c>
      <c r="GW85">
        <v>1</v>
      </c>
      <c r="GX85">
        <f t="shared" si="113"/>
        <v>0</v>
      </c>
      <c r="HA85">
        <v>0</v>
      </c>
      <c r="HB85">
        <v>0</v>
      </c>
      <c r="HC85">
        <f t="shared" si="114"/>
        <v>0</v>
      </c>
      <c r="HE85" t="s">
        <v>3</v>
      </c>
      <c r="HF85" t="s">
        <v>3</v>
      </c>
      <c r="HM85" t="s">
        <v>3</v>
      </c>
      <c r="HN85" t="s">
        <v>3</v>
      </c>
      <c r="HO85" t="s">
        <v>3</v>
      </c>
      <c r="HP85" t="s">
        <v>3</v>
      </c>
      <c r="HQ85" t="s">
        <v>3</v>
      </c>
      <c r="IK85">
        <v>0</v>
      </c>
    </row>
    <row r="86" spans="1:245" x14ac:dyDescent="0.2">
      <c r="A86">
        <v>18</v>
      </c>
      <c r="B86">
        <v>1</v>
      </c>
      <c r="E86" t="s">
        <v>155</v>
      </c>
      <c r="F86" t="s">
        <v>156</v>
      </c>
      <c r="G86" s="46" t="s">
        <v>776</v>
      </c>
      <c r="H86" t="s">
        <v>51</v>
      </c>
      <c r="I86">
        <f>I85*J86</f>
        <v>4</v>
      </c>
      <c r="J86">
        <v>100</v>
      </c>
      <c r="K86">
        <v>100</v>
      </c>
      <c r="O86">
        <f t="shared" si="75"/>
        <v>34180.199999999997</v>
      </c>
      <c r="P86">
        <f t="shared" si="76"/>
        <v>34180.199999999997</v>
      </c>
      <c r="Q86">
        <f t="shared" si="77"/>
        <v>0</v>
      </c>
      <c r="R86">
        <f t="shared" si="78"/>
        <v>0</v>
      </c>
      <c r="S86">
        <f t="shared" si="79"/>
        <v>0</v>
      </c>
      <c r="T86">
        <f t="shared" si="80"/>
        <v>0</v>
      </c>
      <c r="U86">
        <f t="shared" si="81"/>
        <v>0</v>
      </c>
      <c r="V86">
        <f t="shared" si="82"/>
        <v>0</v>
      </c>
      <c r="W86">
        <f t="shared" si="83"/>
        <v>0</v>
      </c>
      <c r="X86">
        <f t="shared" si="84"/>
        <v>0</v>
      </c>
      <c r="Y86">
        <f t="shared" si="85"/>
        <v>0</v>
      </c>
      <c r="AA86">
        <v>72192302</v>
      </c>
      <c r="AB86">
        <f t="shared" si="86"/>
        <v>8545.0499999999993</v>
      </c>
      <c r="AC86">
        <f t="shared" si="87"/>
        <v>8545.0499999999993</v>
      </c>
      <c r="AD86">
        <f t="shared" si="88"/>
        <v>0</v>
      </c>
      <c r="AE86">
        <f t="shared" si="89"/>
        <v>0</v>
      </c>
      <c r="AF86">
        <f t="shared" si="90"/>
        <v>0</v>
      </c>
      <c r="AG86">
        <f t="shared" si="91"/>
        <v>0</v>
      </c>
      <c r="AH86">
        <f t="shared" si="92"/>
        <v>0</v>
      </c>
      <c r="AI86">
        <f t="shared" si="93"/>
        <v>0</v>
      </c>
      <c r="AJ86">
        <f t="shared" si="94"/>
        <v>0</v>
      </c>
      <c r="AK86">
        <v>8545.0499999999993</v>
      </c>
      <c r="AL86">
        <v>8545.0499999999993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70</v>
      </c>
      <c r="AU86">
        <v>10</v>
      </c>
      <c r="AV86">
        <v>1</v>
      </c>
      <c r="AW86">
        <v>1</v>
      </c>
      <c r="AZ86">
        <v>1</v>
      </c>
      <c r="BA86">
        <v>1</v>
      </c>
      <c r="BB86">
        <v>1</v>
      </c>
      <c r="BC86">
        <v>1</v>
      </c>
      <c r="BD86" t="s">
        <v>3</v>
      </c>
      <c r="BE86" t="s">
        <v>3</v>
      </c>
      <c r="BF86" t="s">
        <v>3</v>
      </c>
      <c r="BG86" t="s">
        <v>3</v>
      </c>
      <c r="BH86">
        <v>3</v>
      </c>
      <c r="BI86">
        <v>4</v>
      </c>
      <c r="BJ86" t="s">
        <v>3</v>
      </c>
      <c r="BM86">
        <v>0</v>
      </c>
      <c r="BN86">
        <v>0</v>
      </c>
      <c r="BO86" t="s">
        <v>3</v>
      </c>
      <c r="BP86">
        <v>0</v>
      </c>
      <c r="BQ86">
        <v>1</v>
      </c>
      <c r="BR86">
        <v>0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 t="s">
        <v>3</v>
      </c>
      <c r="BZ86">
        <v>70</v>
      </c>
      <c r="CA86">
        <v>10</v>
      </c>
      <c r="CB86" t="s">
        <v>3</v>
      </c>
      <c r="CE86">
        <v>0</v>
      </c>
      <c r="CF86">
        <v>0</v>
      </c>
      <c r="CG86">
        <v>0</v>
      </c>
      <c r="CM86">
        <v>0</v>
      </c>
      <c r="CN86" t="s">
        <v>3</v>
      </c>
      <c r="CO86">
        <v>0</v>
      </c>
      <c r="CP86">
        <f t="shared" si="95"/>
        <v>34180.199999999997</v>
      </c>
      <c r="CQ86">
        <f t="shared" si="96"/>
        <v>8545.0499999999993</v>
      </c>
      <c r="CR86">
        <f t="shared" si="97"/>
        <v>0</v>
      </c>
      <c r="CS86">
        <f t="shared" si="98"/>
        <v>0</v>
      </c>
      <c r="CT86">
        <f t="shared" si="99"/>
        <v>0</v>
      </c>
      <c r="CU86">
        <f t="shared" si="100"/>
        <v>0</v>
      </c>
      <c r="CV86">
        <f t="shared" si="101"/>
        <v>0</v>
      </c>
      <c r="CW86">
        <f t="shared" si="102"/>
        <v>0</v>
      </c>
      <c r="CX86">
        <f t="shared" si="103"/>
        <v>0</v>
      </c>
      <c r="CY86">
        <f t="shared" si="104"/>
        <v>0</v>
      </c>
      <c r="CZ86">
        <f t="shared" si="105"/>
        <v>0</v>
      </c>
      <c r="DC86" t="s">
        <v>3</v>
      </c>
      <c r="DD86" t="s">
        <v>3</v>
      </c>
      <c r="DE86" t="s">
        <v>3</v>
      </c>
      <c r="DF86" t="s">
        <v>3</v>
      </c>
      <c r="DG86" t="s">
        <v>3</v>
      </c>
      <c r="DH86" t="s">
        <v>3</v>
      </c>
      <c r="DI86" t="s">
        <v>3</v>
      </c>
      <c r="DJ86" t="s">
        <v>3</v>
      </c>
      <c r="DK86" t="s">
        <v>3</v>
      </c>
      <c r="DL86" t="s">
        <v>3</v>
      </c>
      <c r="DM86" t="s">
        <v>3</v>
      </c>
      <c r="DN86">
        <v>0</v>
      </c>
      <c r="DO86">
        <v>0</v>
      </c>
      <c r="DP86">
        <v>1</v>
      </c>
      <c r="DQ86">
        <v>1</v>
      </c>
      <c r="DU86">
        <v>1010</v>
      </c>
      <c r="DV86" t="s">
        <v>51</v>
      </c>
      <c r="DW86" t="s">
        <v>51</v>
      </c>
      <c r="DX86">
        <v>1</v>
      </c>
      <c r="DZ86" t="s">
        <v>3</v>
      </c>
      <c r="EA86" t="s">
        <v>3</v>
      </c>
      <c r="EB86" t="s">
        <v>3</v>
      </c>
      <c r="EC86" t="s">
        <v>3</v>
      </c>
      <c r="EE86">
        <v>71753531</v>
      </c>
      <c r="EF86">
        <v>1</v>
      </c>
      <c r="EG86" t="s">
        <v>22</v>
      </c>
      <c r="EH86">
        <v>0</v>
      </c>
      <c r="EI86" t="s">
        <v>3</v>
      </c>
      <c r="EJ86">
        <v>4</v>
      </c>
      <c r="EK86">
        <v>0</v>
      </c>
      <c r="EL86" t="s">
        <v>23</v>
      </c>
      <c r="EM86" t="s">
        <v>24</v>
      </c>
      <c r="EO86" t="s">
        <v>3</v>
      </c>
      <c r="EQ86">
        <v>0</v>
      </c>
      <c r="ER86">
        <v>8545.0499999999993</v>
      </c>
      <c r="ES86">
        <v>8545.0499999999993</v>
      </c>
      <c r="ET86">
        <v>0</v>
      </c>
      <c r="EU86">
        <v>0</v>
      </c>
      <c r="EV86">
        <v>0</v>
      </c>
      <c r="EW86">
        <v>0</v>
      </c>
      <c r="EX86">
        <v>0</v>
      </c>
      <c r="FQ86">
        <v>0</v>
      </c>
      <c r="FR86">
        <f t="shared" si="106"/>
        <v>0</v>
      </c>
      <c r="FS86">
        <v>0</v>
      </c>
      <c r="FX86">
        <v>70</v>
      </c>
      <c r="FY86">
        <v>10</v>
      </c>
      <c r="GA86" t="s">
        <v>3</v>
      </c>
      <c r="GD86">
        <v>0</v>
      </c>
      <c r="GF86">
        <v>1111623754</v>
      </c>
      <c r="GG86">
        <v>2</v>
      </c>
      <c r="GH86">
        <v>0</v>
      </c>
      <c r="GI86">
        <v>-2</v>
      </c>
      <c r="GJ86">
        <v>0</v>
      </c>
      <c r="GK86">
        <f>ROUND(R86*(R12)/100,2)</f>
        <v>0</v>
      </c>
      <c r="GL86">
        <f t="shared" si="107"/>
        <v>0</v>
      </c>
      <c r="GM86">
        <f t="shared" si="108"/>
        <v>34180.199999999997</v>
      </c>
      <c r="GN86">
        <f t="shared" si="109"/>
        <v>0</v>
      </c>
      <c r="GO86">
        <f t="shared" si="110"/>
        <v>0</v>
      </c>
      <c r="GP86">
        <f t="shared" si="111"/>
        <v>34180.199999999997</v>
      </c>
      <c r="GR86">
        <v>0</v>
      </c>
      <c r="GS86">
        <v>0</v>
      </c>
      <c r="GT86">
        <v>0</v>
      </c>
      <c r="GU86" t="s">
        <v>3</v>
      </c>
      <c r="GV86">
        <f t="shared" si="112"/>
        <v>0</v>
      </c>
      <c r="GW86">
        <v>1</v>
      </c>
      <c r="GX86">
        <f t="shared" si="113"/>
        <v>0</v>
      </c>
      <c r="HA86">
        <v>0</v>
      </c>
      <c r="HB86">
        <v>0</v>
      </c>
      <c r="HC86">
        <f t="shared" si="114"/>
        <v>0</v>
      </c>
      <c r="HE86" t="s">
        <v>3</v>
      </c>
      <c r="HF86" t="s">
        <v>3</v>
      </c>
      <c r="HM86" t="s">
        <v>3</v>
      </c>
      <c r="HN86" t="s">
        <v>3</v>
      </c>
      <c r="HO86" t="s">
        <v>3</v>
      </c>
      <c r="HP86" t="s">
        <v>3</v>
      </c>
      <c r="HQ86" t="s">
        <v>3</v>
      </c>
      <c r="IK86">
        <v>0</v>
      </c>
    </row>
    <row r="88" spans="1:245" x14ac:dyDescent="0.2">
      <c r="A88" s="2">
        <v>51</v>
      </c>
      <c r="B88" s="2">
        <f>B73</f>
        <v>1</v>
      </c>
      <c r="C88" s="2">
        <f>A73</f>
        <v>5</v>
      </c>
      <c r="D88" s="2">
        <f>ROW(A73)</f>
        <v>73</v>
      </c>
      <c r="E88" s="2"/>
      <c r="F88" s="2" t="str">
        <f>IF(F73&lt;&gt;"",F73,"")</f>
        <v>Новый подраздел</v>
      </c>
      <c r="G88" s="2" t="str">
        <f>IF(G73&lt;&gt;"",G73,"")</f>
        <v>1.2 Ремонтно-строительные работы</v>
      </c>
      <c r="H88" s="2">
        <v>0</v>
      </c>
      <c r="I88" s="2"/>
      <c r="J88" s="2"/>
      <c r="K88" s="2"/>
      <c r="L88" s="2"/>
      <c r="M88" s="2"/>
      <c r="N88" s="2"/>
      <c r="O88" s="2">
        <f t="shared" ref="O88:T88" si="115">ROUND(AB88,2)</f>
        <v>531337.61</v>
      </c>
      <c r="P88" s="2">
        <f t="shared" si="115"/>
        <v>194371.06</v>
      </c>
      <c r="Q88" s="2">
        <f t="shared" si="115"/>
        <v>16302.94</v>
      </c>
      <c r="R88" s="2">
        <f t="shared" si="115"/>
        <v>14252.71</v>
      </c>
      <c r="S88" s="2">
        <f t="shared" si="115"/>
        <v>320663.61</v>
      </c>
      <c r="T88" s="2">
        <f t="shared" si="115"/>
        <v>0</v>
      </c>
      <c r="U88" s="2">
        <f>AH88</f>
        <v>1068.9519400000001</v>
      </c>
      <c r="V88" s="2">
        <f>AI88</f>
        <v>0</v>
      </c>
      <c r="W88" s="2">
        <f>ROUND(AJ88,2)</f>
        <v>0</v>
      </c>
      <c r="X88" s="2">
        <f>ROUND(AK88,2)</f>
        <v>224464.53</v>
      </c>
      <c r="Y88" s="2">
        <f>ROUND(AL88,2)</f>
        <v>32066.35</v>
      </c>
      <c r="Z88" s="2"/>
      <c r="AA88" s="2"/>
      <c r="AB88" s="2">
        <f>ROUND(SUMIF(AA77:AA86,"=72192302",O77:O86),2)</f>
        <v>531337.61</v>
      </c>
      <c r="AC88" s="2">
        <f>ROUND(SUMIF(AA77:AA86,"=72192302",P77:P86),2)</f>
        <v>194371.06</v>
      </c>
      <c r="AD88" s="2">
        <f>ROUND(SUMIF(AA77:AA86,"=72192302",Q77:Q86),2)</f>
        <v>16302.94</v>
      </c>
      <c r="AE88" s="2">
        <f>ROUND(SUMIF(AA77:AA86,"=72192302",R77:R86),2)</f>
        <v>14252.71</v>
      </c>
      <c r="AF88" s="2">
        <f>ROUND(SUMIF(AA77:AA86,"=72192302",S77:S86),2)</f>
        <v>320663.61</v>
      </c>
      <c r="AG88" s="2">
        <f>ROUND(SUMIF(AA77:AA86,"=72192302",T77:T86),2)</f>
        <v>0</v>
      </c>
      <c r="AH88" s="2">
        <f>SUMIF(AA77:AA86,"=72192302",U77:U86)</f>
        <v>1068.9519400000001</v>
      </c>
      <c r="AI88" s="2">
        <f>SUMIF(AA77:AA86,"=72192302",V77:V86)</f>
        <v>0</v>
      </c>
      <c r="AJ88" s="2">
        <f>ROUND(SUMIF(AA77:AA86,"=72192302",W77:W86),2)</f>
        <v>0</v>
      </c>
      <c r="AK88" s="2">
        <f>ROUND(SUMIF(AA77:AA86,"=72192302",X77:X86),2)</f>
        <v>224464.53</v>
      </c>
      <c r="AL88" s="2">
        <f>ROUND(SUMIF(AA77:AA86,"=72192302",Y77:Y86),2)</f>
        <v>32066.35</v>
      </c>
      <c r="AM88" s="2"/>
      <c r="AN88" s="2"/>
      <c r="AO88" s="2">
        <f t="shared" ref="AO88:BD88" si="116">ROUND(BX88,2)</f>
        <v>0</v>
      </c>
      <c r="AP88" s="2">
        <f t="shared" si="116"/>
        <v>0</v>
      </c>
      <c r="AQ88" s="2">
        <f t="shared" si="116"/>
        <v>0</v>
      </c>
      <c r="AR88" s="2">
        <f t="shared" si="116"/>
        <v>803261.41</v>
      </c>
      <c r="AS88" s="2">
        <f t="shared" si="116"/>
        <v>0</v>
      </c>
      <c r="AT88" s="2">
        <f t="shared" si="116"/>
        <v>0</v>
      </c>
      <c r="AU88" s="2">
        <f t="shared" si="116"/>
        <v>803261.41</v>
      </c>
      <c r="AV88" s="2">
        <f t="shared" si="116"/>
        <v>194371.06</v>
      </c>
      <c r="AW88" s="2">
        <f t="shared" si="116"/>
        <v>194371.06</v>
      </c>
      <c r="AX88" s="2">
        <f t="shared" si="116"/>
        <v>0</v>
      </c>
      <c r="AY88" s="2">
        <f t="shared" si="116"/>
        <v>194371.06</v>
      </c>
      <c r="AZ88" s="2">
        <f t="shared" si="116"/>
        <v>0</v>
      </c>
      <c r="BA88" s="2">
        <f t="shared" si="116"/>
        <v>0</v>
      </c>
      <c r="BB88" s="2">
        <f t="shared" si="116"/>
        <v>0</v>
      </c>
      <c r="BC88" s="2">
        <f t="shared" si="116"/>
        <v>0</v>
      </c>
      <c r="BD88" s="2">
        <f t="shared" si="116"/>
        <v>0</v>
      </c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>
        <f>ROUND(SUMIF(AA77:AA86,"=72192302",FQ77:FQ86),2)</f>
        <v>0</v>
      </c>
      <c r="BY88" s="2">
        <f>ROUND(SUMIF(AA77:AA86,"=72192302",FR77:FR86),2)</f>
        <v>0</v>
      </c>
      <c r="BZ88" s="2">
        <f>ROUND(SUMIF(AA77:AA86,"=72192302",GL77:GL86),2)</f>
        <v>0</v>
      </c>
      <c r="CA88" s="2">
        <f>ROUND(SUMIF(AA77:AA86,"=72192302",GM77:GM86),2)</f>
        <v>803261.41</v>
      </c>
      <c r="CB88" s="2">
        <f>ROUND(SUMIF(AA77:AA86,"=72192302",GN77:GN86),2)</f>
        <v>0</v>
      </c>
      <c r="CC88" s="2">
        <f>ROUND(SUMIF(AA77:AA86,"=72192302",GO77:GO86),2)</f>
        <v>0</v>
      </c>
      <c r="CD88" s="2">
        <f>ROUND(SUMIF(AA77:AA86,"=72192302",GP77:GP86),2)</f>
        <v>803261.41</v>
      </c>
      <c r="CE88" s="2">
        <f>AC88-BX88</f>
        <v>194371.06</v>
      </c>
      <c r="CF88" s="2">
        <f>AC88-BY88</f>
        <v>194371.06</v>
      </c>
      <c r="CG88" s="2">
        <f>BX88-BZ88</f>
        <v>0</v>
      </c>
      <c r="CH88" s="2">
        <f>AC88-BX88-BY88+BZ88</f>
        <v>194371.06</v>
      </c>
      <c r="CI88" s="2">
        <f>BY88-BZ88</f>
        <v>0</v>
      </c>
      <c r="CJ88" s="2">
        <f>ROUND(SUMIF(AA77:AA86,"=72192302",GX77:GX86),2)</f>
        <v>0</v>
      </c>
      <c r="CK88" s="2">
        <f>ROUND(SUMIF(AA77:AA86,"=72192302",GY77:GY86),2)</f>
        <v>0</v>
      </c>
      <c r="CL88" s="2">
        <f>ROUND(SUMIF(AA77:AA86,"=72192302",GZ77:GZ86),2)</f>
        <v>0</v>
      </c>
      <c r="CM88" s="2">
        <f>ROUND(SUMIF(AA77:AA86,"=72192302",HD77:HD86),2)</f>
        <v>0</v>
      </c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>
        <v>0</v>
      </c>
    </row>
    <row r="90" spans="1:245" x14ac:dyDescent="0.2">
      <c r="A90" s="4">
        <v>50</v>
      </c>
      <c r="B90" s="4">
        <v>0</v>
      </c>
      <c r="C90" s="4">
        <v>0</v>
      </c>
      <c r="D90" s="4">
        <v>1</v>
      </c>
      <c r="E90" s="4">
        <v>201</v>
      </c>
      <c r="F90" s="4">
        <f>ROUND(Source!O88,O90)</f>
        <v>531337.61</v>
      </c>
      <c r="G90" s="4" t="s">
        <v>64</v>
      </c>
      <c r="H90" s="4" t="s">
        <v>65</v>
      </c>
      <c r="I90" s="4"/>
      <c r="J90" s="4"/>
      <c r="K90" s="4">
        <v>201</v>
      </c>
      <c r="L90" s="4">
        <v>1</v>
      </c>
      <c r="M90" s="4">
        <v>3</v>
      </c>
      <c r="N90" s="4" t="s">
        <v>3</v>
      </c>
      <c r="O90" s="4">
        <v>2</v>
      </c>
      <c r="P90" s="4"/>
      <c r="Q90" s="4"/>
      <c r="R90" s="4"/>
      <c r="S90" s="4"/>
      <c r="T90" s="4"/>
      <c r="U90" s="4"/>
      <c r="V90" s="4"/>
      <c r="W90" s="4">
        <v>531337.61</v>
      </c>
      <c r="X90" s="4">
        <v>1</v>
      </c>
      <c r="Y90" s="4">
        <v>531337.61</v>
      </c>
      <c r="Z90" s="4"/>
      <c r="AA90" s="4"/>
      <c r="AB90" s="4"/>
    </row>
    <row r="91" spans="1:245" x14ac:dyDescent="0.2">
      <c r="A91" s="4">
        <v>50</v>
      </c>
      <c r="B91" s="4">
        <v>0</v>
      </c>
      <c r="C91" s="4">
        <v>0</v>
      </c>
      <c r="D91" s="4">
        <v>1</v>
      </c>
      <c r="E91" s="4">
        <v>202</v>
      </c>
      <c r="F91" s="4">
        <f>ROUND(Source!P88,O91)</f>
        <v>194371.06</v>
      </c>
      <c r="G91" s="4" t="s">
        <v>66</v>
      </c>
      <c r="H91" s="4" t="s">
        <v>67</v>
      </c>
      <c r="I91" s="4"/>
      <c r="J91" s="4"/>
      <c r="K91" s="4">
        <v>202</v>
      </c>
      <c r="L91" s="4">
        <v>2</v>
      </c>
      <c r="M91" s="4">
        <v>3</v>
      </c>
      <c r="N91" s="4" t="s">
        <v>3</v>
      </c>
      <c r="O91" s="4">
        <v>2</v>
      </c>
      <c r="P91" s="4"/>
      <c r="Q91" s="4"/>
      <c r="R91" s="4"/>
      <c r="S91" s="4"/>
      <c r="T91" s="4"/>
      <c r="U91" s="4"/>
      <c r="V91" s="4"/>
      <c r="W91" s="4">
        <v>194371.06</v>
      </c>
      <c r="X91" s="4">
        <v>1</v>
      </c>
      <c r="Y91" s="4">
        <v>194371.06</v>
      </c>
      <c r="Z91" s="4"/>
      <c r="AA91" s="4"/>
      <c r="AB91" s="4"/>
    </row>
    <row r="92" spans="1:245" x14ac:dyDescent="0.2">
      <c r="A92" s="4">
        <v>50</v>
      </c>
      <c r="B92" s="4">
        <v>0</v>
      </c>
      <c r="C92" s="4">
        <v>0</v>
      </c>
      <c r="D92" s="4">
        <v>1</v>
      </c>
      <c r="E92" s="4">
        <v>222</v>
      </c>
      <c r="F92" s="4">
        <f>ROUND(Source!AO88,O92)</f>
        <v>0</v>
      </c>
      <c r="G92" s="4" t="s">
        <v>68</v>
      </c>
      <c r="H92" s="4" t="s">
        <v>69</v>
      </c>
      <c r="I92" s="4"/>
      <c r="J92" s="4"/>
      <c r="K92" s="4">
        <v>222</v>
      </c>
      <c r="L92" s="4">
        <v>3</v>
      </c>
      <c r="M92" s="4">
        <v>3</v>
      </c>
      <c r="N92" s="4" t="s">
        <v>3</v>
      </c>
      <c r="O92" s="4">
        <v>2</v>
      </c>
      <c r="P92" s="4"/>
      <c r="Q92" s="4"/>
      <c r="R92" s="4"/>
      <c r="S92" s="4"/>
      <c r="T92" s="4"/>
      <c r="U92" s="4"/>
      <c r="V92" s="4"/>
      <c r="W92" s="4">
        <v>0</v>
      </c>
      <c r="X92" s="4">
        <v>1</v>
      </c>
      <c r="Y92" s="4">
        <v>0</v>
      </c>
      <c r="Z92" s="4"/>
      <c r="AA92" s="4"/>
      <c r="AB92" s="4"/>
    </row>
    <row r="93" spans="1:245" x14ac:dyDescent="0.2">
      <c r="A93" s="4">
        <v>50</v>
      </c>
      <c r="B93" s="4">
        <v>0</v>
      </c>
      <c r="C93" s="4">
        <v>0</v>
      </c>
      <c r="D93" s="4">
        <v>1</v>
      </c>
      <c r="E93" s="4">
        <v>225</v>
      </c>
      <c r="F93" s="4">
        <f>ROUND(Source!AV88,O93)</f>
        <v>194371.06</v>
      </c>
      <c r="G93" s="4" t="s">
        <v>70</v>
      </c>
      <c r="H93" s="4" t="s">
        <v>71</v>
      </c>
      <c r="I93" s="4"/>
      <c r="J93" s="4"/>
      <c r="K93" s="4">
        <v>225</v>
      </c>
      <c r="L93" s="4">
        <v>4</v>
      </c>
      <c r="M93" s="4">
        <v>3</v>
      </c>
      <c r="N93" s="4" t="s">
        <v>3</v>
      </c>
      <c r="O93" s="4">
        <v>2</v>
      </c>
      <c r="P93" s="4"/>
      <c r="Q93" s="4"/>
      <c r="R93" s="4"/>
      <c r="S93" s="4"/>
      <c r="T93" s="4"/>
      <c r="U93" s="4"/>
      <c r="V93" s="4"/>
      <c r="W93" s="4">
        <v>194371.06</v>
      </c>
      <c r="X93" s="4">
        <v>1</v>
      </c>
      <c r="Y93" s="4">
        <v>194371.06</v>
      </c>
      <c r="Z93" s="4"/>
      <c r="AA93" s="4"/>
      <c r="AB93" s="4"/>
    </row>
    <row r="94" spans="1:245" x14ac:dyDescent="0.2">
      <c r="A94" s="4">
        <v>50</v>
      </c>
      <c r="B94" s="4">
        <v>0</v>
      </c>
      <c r="C94" s="4">
        <v>0</v>
      </c>
      <c r="D94" s="4">
        <v>1</v>
      </c>
      <c r="E94" s="4">
        <v>226</v>
      </c>
      <c r="F94" s="4">
        <f>ROUND(Source!AW88,O94)</f>
        <v>194371.06</v>
      </c>
      <c r="G94" s="4" t="s">
        <v>72</v>
      </c>
      <c r="H94" s="4" t="s">
        <v>73</v>
      </c>
      <c r="I94" s="4"/>
      <c r="J94" s="4"/>
      <c r="K94" s="4">
        <v>226</v>
      </c>
      <c r="L94" s="4">
        <v>5</v>
      </c>
      <c r="M94" s="4">
        <v>3</v>
      </c>
      <c r="N94" s="4" t="s">
        <v>3</v>
      </c>
      <c r="O94" s="4">
        <v>2</v>
      </c>
      <c r="P94" s="4"/>
      <c r="Q94" s="4"/>
      <c r="R94" s="4"/>
      <c r="S94" s="4"/>
      <c r="T94" s="4"/>
      <c r="U94" s="4"/>
      <c r="V94" s="4"/>
      <c r="W94" s="4">
        <v>194371.06</v>
      </c>
      <c r="X94" s="4">
        <v>1</v>
      </c>
      <c r="Y94" s="4">
        <v>194371.06</v>
      </c>
      <c r="Z94" s="4"/>
      <c r="AA94" s="4"/>
      <c r="AB94" s="4"/>
    </row>
    <row r="95" spans="1:245" x14ac:dyDescent="0.2">
      <c r="A95" s="4">
        <v>50</v>
      </c>
      <c r="B95" s="4">
        <v>0</v>
      </c>
      <c r="C95" s="4">
        <v>0</v>
      </c>
      <c r="D95" s="4">
        <v>1</v>
      </c>
      <c r="E95" s="4">
        <v>227</v>
      </c>
      <c r="F95" s="4">
        <f>ROUND(Source!AX88,O95)</f>
        <v>0</v>
      </c>
      <c r="G95" s="4" t="s">
        <v>74</v>
      </c>
      <c r="H95" s="4" t="s">
        <v>75</v>
      </c>
      <c r="I95" s="4"/>
      <c r="J95" s="4"/>
      <c r="K95" s="4">
        <v>227</v>
      </c>
      <c r="L95" s="4">
        <v>6</v>
      </c>
      <c r="M95" s="4">
        <v>3</v>
      </c>
      <c r="N95" s="4" t="s">
        <v>3</v>
      </c>
      <c r="O95" s="4">
        <v>2</v>
      </c>
      <c r="P95" s="4"/>
      <c r="Q95" s="4"/>
      <c r="R95" s="4"/>
      <c r="S95" s="4"/>
      <c r="T95" s="4"/>
      <c r="U95" s="4"/>
      <c r="V95" s="4"/>
      <c r="W95" s="4">
        <v>0</v>
      </c>
      <c r="X95" s="4">
        <v>1</v>
      </c>
      <c r="Y95" s="4">
        <v>0</v>
      </c>
      <c r="Z95" s="4"/>
      <c r="AA95" s="4"/>
      <c r="AB95" s="4"/>
    </row>
    <row r="96" spans="1:245" x14ac:dyDescent="0.2">
      <c r="A96" s="4">
        <v>50</v>
      </c>
      <c r="B96" s="4">
        <v>0</v>
      </c>
      <c r="C96" s="4">
        <v>0</v>
      </c>
      <c r="D96" s="4">
        <v>1</v>
      </c>
      <c r="E96" s="4">
        <v>228</v>
      </c>
      <c r="F96" s="4">
        <f>ROUND(Source!AY88,O96)</f>
        <v>194371.06</v>
      </c>
      <c r="G96" s="4" t="s">
        <v>76</v>
      </c>
      <c r="H96" s="4" t="s">
        <v>77</v>
      </c>
      <c r="I96" s="4"/>
      <c r="J96" s="4"/>
      <c r="K96" s="4">
        <v>228</v>
      </c>
      <c r="L96" s="4">
        <v>7</v>
      </c>
      <c r="M96" s="4">
        <v>3</v>
      </c>
      <c r="N96" s="4" t="s">
        <v>3</v>
      </c>
      <c r="O96" s="4">
        <v>2</v>
      </c>
      <c r="P96" s="4"/>
      <c r="Q96" s="4"/>
      <c r="R96" s="4"/>
      <c r="S96" s="4"/>
      <c r="T96" s="4"/>
      <c r="U96" s="4"/>
      <c r="V96" s="4"/>
      <c r="W96" s="4">
        <v>194371.06</v>
      </c>
      <c r="X96" s="4">
        <v>1</v>
      </c>
      <c r="Y96" s="4">
        <v>194371.06</v>
      </c>
      <c r="Z96" s="4"/>
      <c r="AA96" s="4"/>
      <c r="AB96" s="4"/>
    </row>
    <row r="97" spans="1:28" x14ac:dyDescent="0.2">
      <c r="A97" s="4">
        <v>50</v>
      </c>
      <c r="B97" s="4">
        <v>0</v>
      </c>
      <c r="C97" s="4">
        <v>0</v>
      </c>
      <c r="D97" s="4">
        <v>1</v>
      </c>
      <c r="E97" s="4">
        <v>216</v>
      </c>
      <c r="F97" s="4">
        <f>ROUND(Source!AP88,O97)</f>
        <v>0</v>
      </c>
      <c r="G97" s="4" t="s">
        <v>78</v>
      </c>
      <c r="H97" s="4" t="s">
        <v>79</v>
      </c>
      <c r="I97" s="4"/>
      <c r="J97" s="4"/>
      <c r="K97" s="4">
        <v>216</v>
      </c>
      <c r="L97" s="4">
        <v>8</v>
      </c>
      <c r="M97" s="4">
        <v>3</v>
      </c>
      <c r="N97" s="4" t="s">
        <v>3</v>
      </c>
      <c r="O97" s="4">
        <v>2</v>
      </c>
      <c r="P97" s="4"/>
      <c r="Q97" s="4"/>
      <c r="R97" s="4"/>
      <c r="S97" s="4"/>
      <c r="T97" s="4"/>
      <c r="U97" s="4"/>
      <c r="V97" s="4"/>
      <c r="W97" s="4">
        <v>0</v>
      </c>
      <c r="X97" s="4">
        <v>1</v>
      </c>
      <c r="Y97" s="4">
        <v>0</v>
      </c>
      <c r="Z97" s="4"/>
      <c r="AA97" s="4"/>
      <c r="AB97" s="4"/>
    </row>
    <row r="98" spans="1:28" x14ac:dyDescent="0.2">
      <c r="A98" s="4">
        <v>50</v>
      </c>
      <c r="B98" s="4">
        <v>0</v>
      </c>
      <c r="C98" s="4">
        <v>0</v>
      </c>
      <c r="D98" s="4">
        <v>1</v>
      </c>
      <c r="E98" s="4">
        <v>223</v>
      </c>
      <c r="F98" s="4">
        <f>ROUND(Source!AQ88,O98)</f>
        <v>0</v>
      </c>
      <c r="G98" s="4" t="s">
        <v>80</v>
      </c>
      <c r="H98" s="4" t="s">
        <v>81</v>
      </c>
      <c r="I98" s="4"/>
      <c r="J98" s="4"/>
      <c r="K98" s="4">
        <v>223</v>
      </c>
      <c r="L98" s="4">
        <v>9</v>
      </c>
      <c r="M98" s="4">
        <v>3</v>
      </c>
      <c r="N98" s="4" t="s">
        <v>3</v>
      </c>
      <c r="O98" s="4">
        <v>2</v>
      </c>
      <c r="P98" s="4"/>
      <c r="Q98" s="4"/>
      <c r="R98" s="4"/>
      <c r="S98" s="4"/>
      <c r="T98" s="4"/>
      <c r="U98" s="4"/>
      <c r="V98" s="4"/>
      <c r="W98" s="4">
        <v>0</v>
      </c>
      <c r="X98" s="4">
        <v>1</v>
      </c>
      <c r="Y98" s="4">
        <v>0</v>
      </c>
      <c r="Z98" s="4"/>
      <c r="AA98" s="4"/>
      <c r="AB98" s="4"/>
    </row>
    <row r="99" spans="1:28" x14ac:dyDescent="0.2">
      <c r="A99" s="4">
        <v>50</v>
      </c>
      <c r="B99" s="4">
        <v>0</v>
      </c>
      <c r="C99" s="4">
        <v>0</v>
      </c>
      <c r="D99" s="4">
        <v>1</v>
      </c>
      <c r="E99" s="4">
        <v>229</v>
      </c>
      <c r="F99" s="4">
        <f>ROUND(Source!AZ88,O99)</f>
        <v>0</v>
      </c>
      <c r="G99" s="4" t="s">
        <v>82</v>
      </c>
      <c r="H99" s="4" t="s">
        <v>83</v>
      </c>
      <c r="I99" s="4"/>
      <c r="J99" s="4"/>
      <c r="K99" s="4">
        <v>229</v>
      </c>
      <c r="L99" s="4">
        <v>10</v>
      </c>
      <c r="M99" s="4">
        <v>3</v>
      </c>
      <c r="N99" s="4" t="s">
        <v>3</v>
      </c>
      <c r="O99" s="4">
        <v>2</v>
      </c>
      <c r="P99" s="4"/>
      <c r="Q99" s="4"/>
      <c r="R99" s="4"/>
      <c r="S99" s="4"/>
      <c r="T99" s="4"/>
      <c r="U99" s="4"/>
      <c r="V99" s="4"/>
      <c r="W99" s="4">
        <v>0</v>
      </c>
      <c r="X99" s="4">
        <v>1</v>
      </c>
      <c r="Y99" s="4">
        <v>0</v>
      </c>
      <c r="Z99" s="4"/>
      <c r="AA99" s="4"/>
      <c r="AB99" s="4"/>
    </row>
    <row r="100" spans="1:28" x14ac:dyDescent="0.2">
      <c r="A100" s="4">
        <v>50</v>
      </c>
      <c r="B100" s="4">
        <v>0</v>
      </c>
      <c r="C100" s="4">
        <v>0</v>
      </c>
      <c r="D100" s="4">
        <v>1</v>
      </c>
      <c r="E100" s="4">
        <v>203</v>
      </c>
      <c r="F100" s="4">
        <f>ROUND(Source!Q88,O100)</f>
        <v>16302.94</v>
      </c>
      <c r="G100" s="4" t="s">
        <v>84</v>
      </c>
      <c r="H100" s="4" t="s">
        <v>85</v>
      </c>
      <c r="I100" s="4"/>
      <c r="J100" s="4"/>
      <c r="K100" s="4">
        <v>203</v>
      </c>
      <c r="L100" s="4">
        <v>11</v>
      </c>
      <c r="M100" s="4">
        <v>3</v>
      </c>
      <c r="N100" s="4" t="s">
        <v>3</v>
      </c>
      <c r="O100" s="4">
        <v>2</v>
      </c>
      <c r="P100" s="4"/>
      <c r="Q100" s="4"/>
      <c r="R100" s="4"/>
      <c r="S100" s="4"/>
      <c r="T100" s="4"/>
      <c r="U100" s="4"/>
      <c r="V100" s="4"/>
      <c r="W100" s="4">
        <v>16302.94</v>
      </c>
      <c r="X100" s="4">
        <v>1</v>
      </c>
      <c r="Y100" s="4">
        <v>16302.94</v>
      </c>
      <c r="Z100" s="4"/>
      <c r="AA100" s="4"/>
      <c r="AB100" s="4"/>
    </row>
    <row r="101" spans="1:28" x14ac:dyDescent="0.2">
      <c r="A101" s="4">
        <v>50</v>
      </c>
      <c r="B101" s="4">
        <v>0</v>
      </c>
      <c r="C101" s="4">
        <v>0</v>
      </c>
      <c r="D101" s="4">
        <v>1</v>
      </c>
      <c r="E101" s="4">
        <v>231</v>
      </c>
      <c r="F101" s="4">
        <f>ROUND(Source!BB88,O101)</f>
        <v>0</v>
      </c>
      <c r="G101" s="4" t="s">
        <v>86</v>
      </c>
      <c r="H101" s="4" t="s">
        <v>87</v>
      </c>
      <c r="I101" s="4"/>
      <c r="J101" s="4"/>
      <c r="K101" s="4">
        <v>231</v>
      </c>
      <c r="L101" s="4">
        <v>12</v>
      </c>
      <c r="M101" s="4">
        <v>3</v>
      </c>
      <c r="N101" s="4" t="s">
        <v>3</v>
      </c>
      <c r="O101" s="4">
        <v>2</v>
      </c>
      <c r="P101" s="4"/>
      <c r="Q101" s="4"/>
      <c r="R101" s="4"/>
      <c r="S101" s="4"/>
      <c r="T101" s="4"/>
      <c r="U101" s="4"/>
      <c r="V101" s="4"/>
      <c r="W101" s="4">
        <v>0</v>
      </c>
      <c r="X101" s="4">
        <v>1</v>
      </c>
      <c r="Y101" s="4">
        <v>0</v>
      </c>
      <c r="Z101" s="4"/>
      <c r="AA101" s="4"/>
      <c r="AB101" s="4"/>
    </row>
    <row r="102" spans="1:28" x14ac:dyDescent="0.2">
      <c r="A102" s="4">
        <v>50</v>
      </c>
      <c r="B102" s="4">
        <v>0</v>
      </c>
      <c r="C102" s="4">
        <v>0</v>
      </c>
      <c r="D102" s="4">
        <v>1</v>
      </c>
      <c r="E102" s="4">
        <v>204</v>
      </c>
      <c r="F102" s="4">
        <f>ROUND(Source!R88,O102)</f>
        <v>14252.71</v>
      </c>
      <c r="G102" s="4" t="s">
        <v>88</v>
      </c>
      <c r="H102" s="4" t="s">
        <v>89</v>
      </c>
      <c r="I102" s="4"/>
      <c r="J102" s="4"/>
      <c r="K102" s="4">
        <v>204</v>
      </c>
      <c r="L102" s="4">
        <v>13</v>
      </c>
      <c r="M102" s="4">
        <v>3</v>
      </c>
      <c r="N102" s="4" t="s">
        <v>3</v>
      </c>
      <c r="O102" s="4">
        <v>2</v>
      </c>
      <c r="P102" s="4"/>
      <c r="Q102" s="4"/>
      <c r="R102" s="4"/>
      <c r="S102" s="4"/>
      <c r="T102" s="4"/>
      <c r="U102" s="4"/>
      <c r="V102" s="4"/>
      <c r="W102" s="4">
        <v>14252.71</v>
      </c>
      <c r="X102" s="4">
        <v>1</v>
      </c>
      <c r="Y102" s="4">
        <v>14252.71</v>
      </c>
      <c r="Z102" s="4"/>
      <c r="AA102" s="4"/>
      <c r="AB102" s="4"/>
    </row>
    <row r="103" spans="1:28" x14ac:dyDescent="0.2">
      <c r="A103" s="4">
        <v>50</v>
      </c>
      <c r="B103" s="4">
        <v>0</v>
      </c>
      <c r="C103" s="4">
        <v>0</v>
      </c>
      <c r="D103" s="4">
        <v>1</v>
      </c>
      <c r="E103" s="4">
        <v>205</v>
      </c>
      <c r="F103" s="4">
        <f>ROUND(Source!S88,O103)</f>
        <v>320663.61</v>
      </c>
      <c r="G103" s="4" t="s">
        <v>90</v>
      </c>
      <c r="H103" s="4" t="s">
        <v>91</v>
      </c>
      <c r="I103" s="4"/>
      <c r="J103" s="4"/>
      <c r="K103" s="4">
        <v>205</v>
      </c>
      <c r="L103" s="4">
        <v>14</v>
      </c>
      <c r="M103" s="4">
        <v>3</v>
      </c>
      <c r="N103" s="4" t="s">
        <v>3</v>
      </c>
      <c r="O103" s="4">
        <v>2</v>
      </c>
      <c r="P103" s="4"/>
      <c r="Q103" s="4"/>
      <c r="R103" s="4"/>
      <c r="S103" s="4"/>
      <c r="T103" s="4"/>
      <c r="U103" s="4"/>
      <c r="V103" s="4"/>
      <c r="W103" s="4">
        <v>320663.61</v>
      </c>
      <c r="X103" s="4">
        <v>1</v>
      </c>
      <c r="Y103" s="4">
        <v>320663.61</v>
      </c>
      <c r="Z103" s="4"/>
      <c r="AA103" s="4"/>
      <c r="AB103" s="4"/>
    </row>
    <row r="104" spans="1:28" x14ac:dyDescent="0.2">
      <c r="A104" s="4">
        <v>50</v>
      </c>
      <c r="B104" s="4">
        <v>0</v>
      </c>
      <c r="C104" s="4">
        <v>0</v>
      </c>
      <c r="D104" s="4">
        <v>1</v>
      </c>
      <c r="E104" s="4">
        <v>232</v>
      </c>
      <c r="F104" s="4">
        <f>ROUND(Source!BC88,O104)</f>
        <v>0</v>
      </c>
      <c r="G104" s="4" t="s">
        <v>92</v>
      </c>
      <c r="H104" s="4" t="s">
        <v>93</v>
      </c>
      <c r="I104" s="4"/>
      <c r="J104" s="4"/>
      <c r="K104" s="4">
        <v>232</v>
      </c>
      <c r="L104" s="4">
        <v>15</v>
      </c>
      <c r="M104" s="4">
        <v>3</v>
      </c>
      <c r="N104" s="4" t="s">
        <v>3</v>
      </c>
      <c r="O104" s="4">
        <v>2</v>
      </c>
      <c r="P104" s="4"/>
      <c r="Q104" s="4"/>
      <c r="R104" s="4"/>
      <c r="S104" s="4"/>
      <c r="T104" s="4"/>
      <c r="U104" s="4"/>
      <c r="V104" s="4"/>
      <c r="W104" s="4">
        <v>0</v>
      </c>
      <c r="X104" s="4">
        <v>1</v>
      </c>
      <c r="Y104" s="4">
        <v>0</v>
      </c>
      <c r="Z104" s="4"/>
      <c r="AA104" s="4"/>
      <c r="AB104" s="4"/>
    </row>
    <row r="105" spans="1:28" x14ac:dyDescent="0.2">
      <c r="A105" s="4">
        <v>50</v>
      </c>
      <c r="B105" s="4">
        <v>0</v>
      </c>
      <c r="C105" s="4">
        <v>0</v>
      </c>
      <c r="D105" s="4">
        <v>1</v>
      </c>
      <c r="E105" s="4">
        <v>214</v>
      </c>
      <c r="F105" s="4">
        <f>ROUND(Source!AS88,O105)</f>
        <v>0</v>
      </c>
      <c r="G105" s="4" t="s">
        <v>94</v>
      </c>
      <c r="H105" s="4" t="s">
        <v>95</v>
      </c>
      <c r="I105" s="4"/>
      <c r="J105" s="4"/>
      <c r="K105" s="4">
        <v>214</v>
      </c>
      <c r="L105" s="4">
        <v>16</v>
      </c>
      <c r="M105" s="4">
        <v>3</v>
      </c>
      <c r="N105" s="4" t="s">
        <v>3</v>
      </c>
      <c r="O105" s="4">
        <v>2</v>
      </c>
      <c r="P105" s="4"/>
      <c r="Q105" s="4"/>
      <c r="R105" s="4"/>
      <c r="S105" s="4"/>
      <c r="T105" s="4"/>
      <c r="U105" s="4"/>
      <c r="V105" s="4"/>
      <c r="W105" s="4">
        <v>0</v>
      </c>
      <c r="X105" s="4">
        <v>1</v>
      </c>
      <c r="Y105" s="4">
        <v>0</v>
      </c>
      <c r="Z105" s="4"/>
      <c r="AA105" s="4"/>
      <c r="AB105" s="4"/>
    </row>
    <row r="106" spans="1:28" x14ac:dyDescent="0.2">
      <c r="A106" s="4">
        <v>50</v>
      </c>
      <c r="B106" s="4">
        <v>0</v>
      </c>
      <c r="C106" s="4">
        <v>0</v>
      </c>
      <c r="D106" s="4">
        <v>1</v>
      </c>
      <c r="E106" s="4">
        <v>215</v>
      </c>
      <c r="F106" s="4">
        <f>ROUND(Source!AT88,O106)</f>
        <v>0</v>
      </c>
      <c r="G106" s="4" t="s">
        <v>96</v>
      </c>
      <c r="H106" s="4" t="s">
        <v>97</v>
      </c>
      <c r="I106" s="4"/>
      <c r="J106" s="4"/>
      <c r="K106" s="4">
        <v>215</v>
      </c>
      <c r="L106" s="4">
        <v>17</v>
      </c>
      <c r="M106" s="4">
        <v>3</v>
      </c>
      <c r="N106" s="4" t="s">
        <v>3</v>
      </c>
      <c r="O106" s="4">
        <v>2</v>
      </c>
      <c r="P106" s="4"/>
      <c r="Q106" s="4"/>
      <c r="R106" s="4"/>
      <c r="S106" s="4"/>
      <c r="T106" s="4"/>
      <c r="U106" s="4"/>
      <c r="V106" s="4"/>
      <c r="W106" s="4">
        <v>0</v>
      </c>
      <c r="X106" s="4">
        <v>1</v>
      </c>
      <c r="Y106" s="4">
        <v>0</v>
      </c>
      <c r="Z106" s="4"/>
      <c r="AA106" s="4"/>
      <c r="AB106" s="4"/>
    </row>
    <row r="107" spans="1:28" x14ac:dyDescent="0.2">
      <c r="A107" s="4">
        <v>50</v>
      </c>
      <c r="B107" s="4">
        <v>0</v>
      </c>
      <c r="C107" s="4">
        <v>0</v>
      </c>
      <c r="D107" s="4">
        <v>1</v>
      </c>
      <c r="E107" s="4">
        <v>217</v>
      </c>
      <c r="F107" s="4">
        <f>ROUND(Source!AU88,O107)</f>
        <v>803261.41</v>
      </c>
      <c r="G107" s="4" t="s">
        <v>98</v>
      </c>
      <c r="H107" s="4" t="s">
        <v>99</v>
      </c>
      <c r="I107" s="4"/>
      <c r="J107" s="4"/>
      <c r="K107" s="4">
        <v>217</v>
      </c>
      <c r="L107" s="4">
        <v>18</v>
      </c>
      <c r="M107" s="4">
        <v>3</v>
      </c>
      <c r="N107" s="4" t="s">
        <v>3</v>
      </c>
      <c r="O107" s="4">
        <v>2</v>
      </c>
      <c r="P107" s="4"/>
      <c r="Q107" s="4"/>
      <c r="R107" s="4"/>
      <c r="S107" s="4"/>
      <c r="T107" s="4"/>
      <c r="U107" s="4"/>
      <c r="V107" s="4"/>
      <c r="W107" s="4">
        <v>803261.41</v>
      </c>
      <c r="X107" s="4">
        <v>1</v>
      </c>
      <c r="Y107" s="4">
        <v>803261.41</v>
      </c>
      <c r="Z107" s="4"/>
      <c r="AA107" s="4"/>
      <c r="AB107" s="4"/>
    </row>
    <row r="108" spans="1:28" x14ac:dyDescent="0.2">
      <c r="A108" s="4">
        <v>50</v>
      </c>
      <c r="B108" s="4">
        <v>0</v>
      </c>
      <c r="C108" s="4">
        <v>0</v>
      </c>
      <c r="D108" s="4">
        <v>1</v>
      </c>
      <c r="E108" s="4">
        <v>230</v>
      </c>
      <c r="F108" s="4">
        <f>ROUND(Source!BA88,O108)</f>
        <v>0</v>
      </c>
      <c r="G108" s="4" t="s">
        <v>100</v>
      </c>
      <c r="H108" s="4" t="s">
        <v>101</v>
      </c>
      <c r="I108" s="4"/>
      <c r="J108" s="4"/>
      <c r="K108" s="4">
        <v>230</v>
      </c>
      <c r="L108" s="4">
        <v>19</v>
      </c>
      <c r="M108" s="4">
        <v>3</v>
      </c>
      <c r="N108" s="4" t="s">
        <v>3</v>
      </c>
      <c r="O108" s="4">
        <v>2</v>
      </c>
      <c r="P108" s="4"/>
      <c r="Q108" s="4"/>
      <c r="R108" s="4"/>
      <c r="S108" s="4"/>
      <c r="T108" s="4"/>
      <c r="U108" s="4"/>
      <c r="V108" s="4"/>
      <c r="W108" s="4">
        <v>0</v>
      </c>
      <c r="X108" s="4">
        <v>1</v>
      </c>
      <c r="Y108" s="4">
        <v>0</v>
      </c>
      <c r="Z108" s="4"/>
      <c r="AA108" s="4"/>
      <c r="AB108" s="4"/>
    </row>
    <row r="109" spans="1:28" x14ac:dyDescent="0.2">
      <c r="A109" s="4">
        <v>50</v>
      </c>
      <c r="B109" s="4">
        <v>0</v>
      </c>
      <c r="C109" s="4">
        <v>0</v>
      </c>
      <c r="D109" s="4">
        <v>1</v>
      </c>
      <c r="E109" s="4">
        <v>206</v>
      </c>
      <c r="F109" s="4">
        <f>ROUND(Source!T88,O109)</f>
        <v>0</v>
      </c>
      <c r="G109" s="4" t="s">
        <v>102</v>
      </c>
      <c r="H109" s="4" t="s">
        <v>103</v>
      </c>
      <c r="I109" s="4"/>
      <c r="J109" s="4"/>
      <c r="K109" s="4">
        <v>206</v>
      </c>
      <c r="L109" s="4">
        <v>20</v>
      </c>
      <c r="M109" s="4">
        <v>3</v>
      </c>
      <c r="N109" s="4" t="s">
        <v>3</v>
      </c>
      <c r="O109" s="4">
        <v>2</v>
      </c>
      <c r="P109" s="4"/>
      <c r="Q109" s="4"/>
      <c r="R109" s="4"/>
      <c r="S109" s="4"/>
      <c r="T109" s="4"/>
      <c r="U109" s="4"/>
      <c r="V109" s="4"/>
      <c r="W109" s="4">
        <v>0</v>
      </c>
      <c r="X109" s="4">
        <v>1</v>
      </c>
      <c r="Y109" s="4">
        <v>0</v>
      </c>
      <c r="Z109" s="4"/>
      <c r="AA109" s="4"/>
      <c r="AB109" s="4"/>
    </row>
    <row r="110" spans="1:28" x14ac:dyDescent="0.2">
      <c r="A110" s="4">
        <v>50</v>
      </c>
      <c r="B110" s="4">
        <v>0</v>
      </c>
      <c r="C110" s="4">
        <v>0</v>
      </c>
      <c r="D110" s="4">
        <v>1</v>
      </c>
      <c r="E110" s="4">
        <v>207</v>
      </c>
      <c r="F110" s="4">
        <f>Source!U88</f>
        <v>1068.9519400000001</v>
      </c>
      <c r="G110" s="4" t="s">
        <v>104</v>
      </c>
      <c r="H110" s="4" t="s">
        <v>105</v>
      </c>
      <c r="I110" s="4"/>
      <c r="J110" s="4"/>
      <c r="K110" s="4">
        <v>207</v>
      </c>
      <c r="L110" s="4">
        <v>21</v>
      </c>
      <c r="M110" s="4">
        <v>3</v>
      </c>
      <c r="N110" s="4" t="s">
        <v>3</v>
      </c>
      <c r="O110" s="4">
        <v>-1</v>
      </c>
      <c r="P110" s="4"/>
      <c r="Q110" s="4"/>
      <c r="R110" s="4"/>
      <c r="S110" s="4"/>
      <c r="T110" s="4"/>
      <c r="U110" s="4"/>
      <c r="V110" s="4"/>
      <c r="W110" s="4">
        <v>1068.9519399999999</v>
      </c>
      <c r="X110" s="4">
        <v>1</v>
      </c>
      <c r="Y110" s="4">
        <v>1068.9519399999999</v>
      </c>
      <c r="Z110" s="4"/>
      <c r="AA110" s="4"/>
      <c r="AB110" s="4"/>
    </row>
    <row r="111" spans="1:28" x14ac:dyDescent="0.2">
      <c r="A111" s="4">
        <v>50</v>
      </c>
      <c r="B111" s="4">
        <v>0</v>
      </c>
      <c r="C111" s="4">
        <v>0</v>
      </c>
      <c r="D111" s="4">
        <v>1</v>
      </c>
      <c r="E111" s="4">
        <v>208</v>
      </c>
      <c r="F111" s="4">
        <f>Source!V88</f>
        <v>0</v>
      </c>
      <c r="G111" s="4" t="s">
        <v>106</v>
      </c>
      <c r="H111" s="4" t="s">
        <v>107</v>
      </c>
      <c r="I111" s="4"/>
      <c r="J111" s="4"/>
      <c r="K111" s="4">
        <v>208</v>
      </c>
      <c r="L111" s="4">
        <v>22</v>
      </c>
      <c r="M111" s="4">
        <v>3</v>
      </c>
      <c r="N111" s="4" t="s">
        <v>3</v>
      </c>
      <c r="O111" s="4">
        <v>-1</v>
      </c>
      <c r="P111" s="4"/>
      <c r="Q111" s="4"/>
      <c r="R111" s="4"/>
      <c r="S111" s="4"/>
      <c r="T111" s="4"/>
      <c r="U111" s="4"/>
      <c r="V111" s="4"/>
      <c r="W111" s="4">
        <v>0</v>
      </c>
      <c r="X111" s="4">
        <v>1</v>
      </c>
      <c r="Y111" s="4">
        <v>0</v>
      </c>
      <c r="Z111" s="4"/>
      <c r="AA111" s="4"/>
      <c r="AB111" s="4"/>
    </row>
    <row r="112" spans="1:28" x14ac:dyDescent="0.2">
      <c r="A112" s="4">
        <v>50</v>
      </c>
      <c r="B112" s="4">
        <v>0</v>
      </c>
      <c r="C112" s="4">
        <v>0</v>
      </c>
      <c r="D112" s="4">
        <v>1</v>
      </c>
      <c r="E112" s="4">
        <v>209</v>
      </c>
      <c r="F112" s="4">
        <f>ROUND(Source!W88,O112)</f>
        <v>0</v>
      </c>
      <c r="G112" s="4" t="s">
        <v>108</v>
      </c>
      <c r="H112" s="4" t="s">
        <v>109</v>
      </c>
      <c r="I112" s="4"/>
      <c r="J112" s="4"/>
      <c r="K112" s="4">
        <v>209</v>
      </c>
      <c r="L112" s="4">
        <v>23</v>
      </c>
      <c r="M112" s="4">
        <v>3</v>
      </c>
      <c r="N112" s="4" t="s">
        <v>3</v>
      </c>
      <c r="O112" s="4">
        <v>2</v>
      </c>
      <c r="P112" s="4"/>
      <c r="Q112" s="4"/>
      <c r="R112" s="4"/>
      <c r="S112" s="4"/>
      <c r="T112" s="4"/>
      <c r="U112" s="4"/>
      <c r="V112" s="4"/>
      <c r="W112" s="4">
        <v>0</v>
      </c>
      <c r="X112" s="4">
        <v>1</v>
      </c>
      <c r="Y112" s="4">
        <v>0</v>
      </c>
      <c r="Z112" s="4"/>
      <c r="AA112" s="4"/>
      <c r="AB112" s="4"/>
    </row>
    <row r="113" spans="1:245" x14ac:dyDescent="0.2">
      <c r="A113" s="4">
        <v>50</v>
      </c>
      <c r="B113" s="4">
        <v>0</v>
      </c>
      <c r="C113" s="4">
        <v>0</v>
      </c>
      <c r="D113" s="4">
        <v>1</v>
      </c>
      <c r="E113" s="4">
        <v>233</v>
      </c>
      <c r="F113" s="4">
        <f>ROUND(Source!BD88,O113)</f>
        <v>0</v>
      </c>
      <c r="G113" s="4" t="s">
        <v>110</v>
      </c>
      <c r="H113" s="4" t="s">
        <v>111</v>
      </c>
      <c r="I113" s="4"/>
      <c r="J113" s="4"/>
      <c r="K113" s="4">
        <v>233</v>
      </c>
      <c r="L113" s="4">
        <v>24</v>
      </c>
      <c r="M113" s="4">
        <v>3</v>
      </c>
      <c r="N113" s="4" t="s">
        <v>3</v>
      </c>
      <c r="O113" s="4">
        <v>2</v>
      </c>
      <c r="P113" s="4"/>
      <c r="Q113" s="4"/>
      <c r="R113" s="4"/>
      <c r="S113" s="4"/>
      <c r="T113" s="4"/>
      <c r="U113" s="4"/>
      <c r="V113" s="4"/>
      <c r="W113" s="4">
        <v>0</v>
      </c>
      <c r="X113" s="4">
        <v>1</v>
      </c>
      <c r="Y113" s="4">
        <v>0</v>
      </c>
      <c r="Z113" s="4"/>
      <c r="AA113" s="4"/>
      <c r="AB113" s="4"/>
    </row>
    <row r="114" spans="1:245" x14ac:dyDescent="0.2">
      <c r="A114" s="4">
        <v>50</v>
      </c>
      <c r="B114" s="4">
        <v>0</v>
      </c>
      <c r="C114" s="4">
        <v>0</v>
      </c>
      <c r="D114" s="4">
        <v>1</v>
      </c>
      <c r="E114" s="4">
        <v>210</v>
      </c>
      <c r="F114" s="4">
        <f>ROUND(Source!X88,O114)</f>
        <v>224464.53</v>
      </c>
      <c r="G114" s="4" t="s">
        <v>112</v>
      </c>
      <c r="H114" s="4" t="s">
        <v>113</v>
      </c>
      <c r="I114" s="4"/>
      <c r="J114" s="4"/>
      <c r="K114" s="4">
        <v>210</v>
      </c>
      <c r="L114" s="4">
        <v>25</v>
      </c>
      <c r="M114" s="4">
        <v>3</v>
      </c>
      <c r="N114" s="4" t="s">
        <v>3</v>
      </c>
      <c r="O114" s="4">
        <v>2</v>
      </c>
      <c r="P114" s="4"/>
      <c r="Q114" s="4"/>
      <c r="R114" s="4"/>
      <c r="S114" s="4"/>
      <c r="T114" s="4"/>
      <c r="U114" s="4"/>
      <c r="V114" s="4"/>
      <c r="W114" s="4">
        <v>224464.53</v>
      </c>
      <c r="X114" s="4">
        <v>1</v>
      </c>
      <c r="Y114" s="4">
        <v>224464.53</v>
      </c>
      <c r="Z114" s="4"/>
      <c r="AA114" s="4"/>
      <c r="AB114" s="4"/>
    </row>
    <row r="115" spans="1:245" x14ac:dyDescent="0.2">
      <c r="A115" s="4">
        <v>50</v>
      </c>
      <c r="B115" s="4">
        <v>0</v>
      </c>
      <c r="C115" s="4">
        <v>0</v>
      </c>
      <c r="D115" s="4">
        <v>1</v>
      </c>
      <c r="E115" s="4">
        <v>211</v>
      </c>
      <c r="F115" s="4">
        <f>ROUND(Source!Y88,O115)</f>
        <v>32066.35</v>
      </c>
      <c r="G115" s="4" t="s">
        <v>114</v>
      </c>
      <c r="H115" s="4" t="s">
        <v>115</v>
      </c>
      <c r="I115" s="4"/>
      <c r="J115" s="4"/>
      <c r="K115" s="4">
        <v>211</v>
      </c>
      <c r="L115" s="4">
        <v>26</v>
      </c>
      <c r="M115" s="4">
        <v>3</v>
      </c>
      <c r="N115" s="4" t="s">
        <v>3</v>
      </c>
      <c r="O115" s="4">
        <v>2</v>
      </c>
      <c r="P115" s="4"/>
      <c r="Q115" s="4"/>
      <c r="R115" s="4"/>
      <c r="S115" s="4"/>
      <c r="T115" s="4"/>
      <c r="U115" s="4"/>
      <c r="V115" s="4"/>
      <c r="W115" s="4">
        <v>32066.35</v>
      </c>
      <c r="X115" s="4">
        <v>1</v>
      </c>
      <c r="Y115" s="4">
        <v>32066.35</v>
      </c>
      <c r="Z115" s="4"/>
      <c r="AA115" s="4"/>
      <c r="AB115" s="4"/>
    </row>
    <row r="116" spans="1:245" x14ac:dyDescent="0.2">
      <c r="A116" s="4">
        <v>50</v>
      </c>
      <c r="B116" s="4">
        <v>0</v>
      </c>
      <c r="C116" s="4">
        <v>0</v>
      </c>
      <c r="D116" s="4">
        <v>1</v>
      </c>
      <c r="E116" s="4">
        <v>224</v>
      </c>
      <c r="F116" s="4">
        <f>ROUND(Source!AR88,O116)</f>
        <v>803261.41</v>
      </c>
      <c r="G116" s="4" t="s">
        <v>116</v>
      </c>
      <c r="H116" s="4" t="s">
        <v>117</v>
      </c>
      <c r="I116" s="4"/>
      <c r="J116" s="4"/>
      <c r="K116" s="4">
        <v>224</v>
      </c>
      <c r="L116" s="4">
        <v>27</v>
      </c>
      <c r="M116" s="4">
        <v>3</v>
      </c>
      <c r="N116" s="4" t="s">
        <v>3</v>
      </c>
      <c r="O116" s="4">
        <v>2</v>
      </c>
      <c r="P116" s="4"/>
      <c r="Q116" s="4"/>
      <c r="R116" s="4"/>
      <c r="S116" s="4"/>
      <c r="T116" s="4"/>
      <c r="U116" s="4"/>
      <c r="V116" s="4"/>
      <c r="W116" s="4">
        <v>803261.41</v>
      </c>
      <c r="X116" s="4">
        <v>1</v>
      </c>
      <c r="Y116" s="4">
        <v>803261.41</v>
      </c>
      <c r="Z116" s="4"/>
      <c r="AA116" s="4"/>
      <c r="AB116" s="4"/>
    </row>
    <row r="118" spans="1:245" x14ac:dyDescent="0.2">
      <c r="A118" s="1">
        <v>5</v>
      </c>
      <c r="B118" s="1">
        <v>1</v>
      </c>
      <c r="C118" s="1"/>
      <c r="D118" s="1">
        <f>ROW(A140)</f>
        <v>140</v>
      </c>
      <c r="E118" s="1"/>
      <c r="F118" s="1" t="s">
        <v>15</v>
      </c>
      <c r="G118" s="1" t="s">
        <v>158</v>
      </c>
      <c r="H118" s="1" t="s">
        <v>3</v>
      </c>
      <c r="I118" s="1">
        <v>0</v>
      </c>
      <c r="J118" s="1"/>
      <c r="K118" s="1">
        <v>0</v>
      </c>
      <c r="L118" s="1"/>
      <c r="M118" s="1" t="s">
        <v>3</v>
      </c>
      <c r="N118" s="1"/>
      <c r="O118" s="1"/>
      <c r="P118" s="1"/>
      <c r="Q118" s="1"/>
      <c r="R118" s="1"/>
      <c r="S118" s="1">
        <v>0</v>
      </c>
      <c r="T118" s="1"/>
      <c r="U118" s="1" t="s">
        <v>3</v>
      </c>
      <c r="V118" s="1">
        <v>0</v>
      </c>
      <c r="W118" s="1"/>
      <c r="X118" s="1"/>
      <c r="Y118" s="1"/>
      <c r="Z118" s="1"/>
      <c r="AA118" s="1"/>
      <c r="AB118" s="1" t="s">
        <v>3</v>
      </c>
      <c r="AC118" s="1" t="s">
        <v>3</v>
      </c>
      <c r="AD118" s="1" t="s">
        <v>3</v>
      </c>
      <c r="AE118" s="1" t="s">
        <v>3</v>
      </c>
      <c r="AF118" s="1" t="s">
        <v>3</v>
      </c>
      <c r="AG118" s="1" t="s">
        <v>3</v>
      </c>
      <c r="AH118" s="1"/>
      <c r="AI118" s="1"/>
      <c r="AJ118" s="1"/>
      <c r="AK118" s="1"/>
      <c r="AL118" s="1"/>
      <c r="AM118" s="1"/>
      <c r="AN118" s="1"/>
      <c r="AO118" s="1"/>
      <c r="AP118" s="1" t="s">
        <v>3</v>
      </c>
      <c r="AQ118" s="1" t="s">
        <v>3</v>
      </c>
      <c r="AR118" s="1" t="s">
        <v>3</v>
      </c>
      <c r="AS118" s="1"/>
      <c r="AT118" s="1"/>
      <c r="AU118" s="1"/>
      <c r="AV118" s="1"/>
      <c r="AW118" s="1"/>
      <c r="AX118" s="1"/>
      <c r="AY118" s="1"/>
      <c r="AZ118" s="1" t="s">
        <v>3</v>
      </c>
      <c r="BA118" s="1"/>
      <c r="BB118" s="1" t="s">
        <v>3</v>
      </c>
      <c r="BC118" s="1" t="s">
        <v>3</v>
      </c>
      <c r="BD118" s="1" t="s">
        <v>3</v>
      </c>
      <c r="BE118" s="1" t="s">
        <v>3</v>
      </c>
      <c r="BF118" s="1" t="s">
        <v>3</v>
      </c>
      <c r="BG118" s="1" t="s">
        <v>3</v>
      </c>
      <c r="BH118" s="1" t="s">
        <v>3</v>
      </c>
      <c r="BI118" s="1" t="s">
        <v>3</v>
      </c>
      <c r="BJ118" s="1" t="s">
        <v>3</v>
      </c>
      <c r="BK118" s="1" t="s">
        <v>3</v>
      </c>
      <c r="BL118" s="1" t="s">
        <v>3</v>
      </c>
      <c r="BM118" s="1" t="s">
        <v>3</v>
      </c>
      <c r="BN118" s="1" t="s">
        <v>3</v>
      </c>
      <c r="BO118" s="1" t="s">
        <v>3</v>
      </c>
      <c r="BP118" s="1" t="s">
        <v>3</v>
      </c>
      <c r="BQ118" s="1"/>
      <c r="BR118" s="1"/>
      <c r="BS118" s="1"/>
      <c r="BT118" s="1"/>
      <c r="BU118" s="1"/>
      <c r="BV118" s="1"/>
      <c r="BW118" s="1"/>
      <c r="BX118" s="1">
        <v>0</v>
      </c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>
        <v>0</v>
      </c>
    </row>
    <row r="120" spans="1:245" x14ac:dyDescent="0.2">
      <c r="A120" s="2">
        <v>52</v>
      </c>
      <c r="B120" s="2">
        <f t="shared" ref="B120:G120" si="117">B140</f>
        <v>1</v>
      </c>
      <c r="C120" s="2">
        <f t="shared" si="117"/>
        <v>5</v>
      </c>
      <c r="D120" s="2">
        <f t="shared" si="117"/>
        <v>118</v>
      </c>
      <c r="E120" s="2">
        <f t="shared" si="117"/>
        <v>0</v>
      </c>
      <c r="F120" s="2" t="str">
        <f t="shared" si="117"/>
        <v>Новый подраздел</v>
      </c>
      <c r="G120" s="2" t="str">
        <f t="shared" si="117"/>
        <v>1.3 Сантехнические работы</v>
      </c>
      <c r="H120" s="2"/>
      <c r="I120" s="2"/>
      <c r="J120" s="2"/>
      <c r="K120" s="2"/>
      <c r="L120" s="2"/>
      <c r="M120" s="2"/>
      <c r="N120" s="2"/>
      <c r="O120" s="2">
        <f t="shared" ref="O120:AT120" si="118">O140</f>
        <v>418403.53</v>
      </c>
      <c r="P120" s="2">
        <f t="shared" si="118"/>
        <v>391109.9</v>
      </c>
      <c r="Q120" s="2">
        <f t="shared" si="118"/>
        <v>8.64</v>
      </c>
      <c r="R120" s="2">
        <f t="shared" si="118"/>
        <v>0.35</v>
      </c>
      <c r="S120" s="2">
        <f t="shared" si="118"/>
        <v>27284.99</v>
      </c>
      <c r="T120" s="2">
        <f t="shared" si="118"/>
        <v>0</v>
      </c>
      <c r="U120" s="2">
        <f t="shared" si="118"/>
        <v>84.708481200000008</v>
      </c>
      <c r="V120" s="2">
        <f t="shared" si="118"/>
        <v>0</v>
      </c>
      <c r="W120" s="2">
        <f t="shared" si="118"/>
        <v>0</v>
      </c>
      <c r="X120" s="2">
        <f t="shared" si="118"/>
        <v>19099.490000000002</v>
      </c>
      <c r="Y120" s="2">
        <f t="shared" si="118"/>
        <v>2728.5</v>
      </c>
      <c r="Z120" s="2">
        <f t="shared" si="118"/>
        <v>0</v>
      </c>
      <c r="AA120" s="2">
        <f t="shared" si="118"/>
        <v>0</v>
      </c>
      <c r="AB120" s="2">
        <f t="shared" si="118"/>
        <v>418403.53</v>
      </c>
      <c r="AC120" s="2">
        <f t="shared" si="118"/>
        <v>391109.9</v>
      </c>
      <c r="AD120" s="2">
        <f t="shared" si="118"/>
        <v>8.64</v>
      </c>
      <c r="AE120" s="2">
        <f t="shared" si="118"/>
        <v>0.35</v>
      </c>
      <c r="AF120" s="2">
        <f t="shared" si="118"/>
        <v>27284.99</v>
      </c>
      <c r="AG120" s="2">
        <f t="shared" si="118"/>
        <v>0</v>
      </c>
      <c r="AH120" s="2">
        <f t="shared" si="118"/>
        <v>84.708481200000008</v>
      </c>
      <c r="AI120" s="2">
        <f t="shared" si="118"/>
        <v>0</v>
      </c>
      <c r="AJ120" s="2">
        <f t="shared" si="118"/>
        <v>0</v>
      </c>
      <c r="AK120" s="2">
        <f t="shared" si="118"/>
        <v>19099.490000000002</v>
      </c>
      <c r="AL120" s="2">
        <f t="shared" si="118"/>
        <v>2728.5</v>
      </c>
      <c r="AM120" s="2">
        <f t="shared" si="118"/>
        <v>0</v>
      </c>
      <c r="AN120" s="2">
        <f t="shared" si="118"/>
        <v>0</v>
      </c>
      <c r="AO120" s="2">
        <f t="shared" si="118"/>
        <v>0</v>
      </c>
      <c r="AP120" s="2">
        <f t="shared" si="118"/>
        <v>0</v>
      </c>
      <c r="AQ120" s="2">
        <f t="shared" si="118"/>
        <v>0</v>
      </c>
      <c r="AR120" s="2">
        <f t="shared" si="118"/>
        <v>440231.9</v>
      </c>
      <c r="AS120" s="2">
        <f t="shared" si="118"/>
        <v>0</v>
      </c>
      <c r="AT120" s="2">
        <f t="shared" si="118"/>
        <v>0</v>
      </c>
      <c r="AU120" s="2">
        <f t="shared" ref="AU120:BZ120" si="119">AU140</f>
        <v>440231.9</v>
      </c>
      <c r="AV120" s="2">
        <f t="shared" si="119"/>
        <v>391109.9</v>
      </c>
      <c r="AW120" s="2">
        <f t="shared" si="119"/>
        <v>391109.9</v>
      </c>
      <c r="AX120" s="2">
        <f t="shared" si="119"/>
        <v>0</v>
      </c>
      <c r="AY120" s="2">
        <f t="shared" si="119"/>
        <v>391109.9</v>
      </c>
      <c r="AZ120" s="2">
        <f t="shared" si="119"/>
        <v>0</v>
      </c>
      <c r="BA120" s="2">
        <f t="shared" si="119"/>
        <v>0</v>
      </c>
      <c r="BB120" s="2">
        <f t="shared" si="119"/>
        <v>0</v>
      </c>
      <c r="BC120" s="2">
        <f t="shared" si="119"/>
        <v>0</v>
      </c>
      <c r="BD120" s="2">
        <f t="shared" si="119"/>
        <v>0</v>
      </c>
      <c r="BE120" s="2">
        <f t="shared" si="119"/>
        <v>0</v>
      </c>
      <c r="BF120" s="2">
        <f t="shared" si="119"/>
        <v>0</v>
      </c>
      <c r="BG120" s="2">
        <f t="shared" si="119"/>
        <v>0</v>
      </c>
      <c r="BH120" s="2">
        <f t="shared" si="119"/>
        <v>0</v>
      </c>
      <c r="BI120" s="2">
        <f t="shared" si="119"/>
        <v>0</v>
      </c>
      <c r="BJ120" s="2">
        <f t="shared" si="119"/>
        <v>0</v>
      </c>
      <c r="BK120" s="2">
        <f t="shared" si="119"/>
        <v>0</v>
      </c>
      <c r="BL120" s="2">
        <f t="shared" si="119"/>
        <v>0</v>
      </c>
      <c r="BM120" s="2">
        <f t="shared" si="119"/>
        <v>0</v>
      </c>
      <c r="BN120" s="2">
        <f t="shared" si="119"/>
        <v>0</v>
      </c>
      <c r="BO120" s="2">
        <f t="shared" si="119"/>
        <v>0</v>
      </c>
      <c r="BP120" s="2">
        <f t="shared" si="119"/>
        <v>0</v>
      </c>
      <c r="BQ120" s="2">
        <f t="shared" si="119"/>
        <v>0</v>
      </c>
      <c r="BR120" s="2">
        <f t="shared" si="119"/>
        <v>0</v>
      </c>
      <c r="BS120" s="2">
        <f t="shared" si="119"/>
        <v>0</v>
      </c>
      <c r="BT120" s="2">
        <f t="shared" si="119"/>
        <v>0</v>
      </c>
      <c r="BU120" s="2">
        <f t="shared" si="119"/>
        <v>0</v>
      </c>
      <c r="BV120" s="2">
        <f t="shared" si="119"/>
        <v>0</v>
      </c>
      <c r="BW120" s="2">
        <f t="shared" si="119"/>
        <v>0</v>
      </c>
      <c r="BX120" s="2">
        <f t="shared" si="119"/>
        <v>0</v>
      </c>
      <c r="BY120" s="2">
        <f t="shared" si="119"/>
        <v>0</v>
      </c>
      <c r="BZ120" s="2">
        <f t="shared" si="119"/>
        <v>0</v>
      </c>
      <c r="CA120" s="2">
        <f t="shared" ref="CA120:DF120" si="120">CA140</f>
        <v>440231.9</v>
      </c>
      <c r="CB120" s="2">
        <f t="shared" si="120"/>
        <v>0</v>
      </c>
      <c r="CC120" s="2">
        <f t="shared" si="120"/>
        <v>0</v>
      </c>
      <c r="CD120" s="2">
        <f t="shared" si="120"/>
        <v>440231.9</v>
      </c>
      <c r="CE120" s="2">
        <f t="shared" si="120"/>
        <v>391109.9</v>
      </c>
      <c r="CF120" s="2">
        <f t="shared" si="120"/>
        <v>391109.9</v>
      </c>
      <c r="CG120" s="2">
        <f t="shared" si="120"/>
        <v>0</v>
      </c>
      <c r="CH120" s="2">
        <f t="shared" si="120"/>
        <v>391109.9</v>
      </c>
      <c r="CI120" s="2">
        <f t="shared" si="120"/>
        <v>0</v>
      </c>
      <c r="CJ120" s="2">
        <f t="shared" si="120"/>
        <v>0</v>
      </c>
      <c r="CK120" s="2">
        <f t="shared" si="120"/>
        <v>0</v>
      </c>
      <c r="CL120" s="2">
        <f t="shared" si="120"/>
        <v>0</v>
      </c>
      <c r="CM120" s="2">
        <f t="shared" si="120"/>
        <v>0</v>
      </c>
      <c r="CN120" s="2">
        <f t="shared" si="120"/>
        <v>0</v>
      </c>
      <c r="CO120" s="2">
        <f t="shared" si="120"/>
        <v>0</v>
      </c>
      <c r="CP120" s="2">
        <f t="shared" si="120"/>
        <v>0</v>
      </c>
      <c r="CQ120" s="2">
        <f t="shared" si="120"/>
        <v>0</v>
      </c>
      <c r="CR120" s="2">
        <f t="shared" si="120"/>
        <v>0</v>
      </c>
      <c r="CS120" s="2">
        <f t="shared" si="120"/>
        <v>0</v>
      </c>
      <c r="CT120" s="2">
        <f t="shared" si="120"/>
        <v>0</v>
      </c>
      <c r="CU120" s="2">
        <f t="shared" si="120"/>
        <v>0</v>
      </c>
      <c r="CV120" s="2">
        <f t="shared" si="120"/>
        <v>0</v>
      </c>
      <c r="CW120" s="2">
        <f t="shared" si="120"/>
        <v>0</v>
      </c>
      <c r="CX120" s="2">
        <f t="shared" si="120"/>
        <v>0</v>
      </c>
      <c r="CY120" s="2">
        <f t="shared" si="120"/>
        <v>0</v>
      </c>
      <c r="CZ120" s="2">
        <f t="shared" si="120"/>
        <v>0</v>
      </c>
      <c r="DA120" s="2">
        <f t="shared" si="120"/>
        <v>0</v>
      </c>
      <c r="DB120" s="2">
        <f t="shared" si="120"/>
        <v>0</v>
      </c>
      <c r="DC120" s="2">
        <f t="shared" si="120"/>
        <v>0</v>
      </c>
      <c r="DD120" s="2">
        <f t="shared" si="120"/>
        <v>0</v>
      </c>
      <c r="DE120" s="2">
        <f t="shared" si="120"/>
        <v>0</v>
      </c>
      <c r="DF120" s="2">
        <f t="shared" si="120"/>
        <v>0</v>
      </c>
      <c r="DG120" s="3">
        <f t="shared" ref="DG120:EL120" si="121">DG140</f>
        <v>0</v>
      </c>
      <c r="DH120" s="3">
        <f t="shared" si="121"/>
        <v>0</v>
      </c>
      <c r="DI120" s="3">
        <f t="shared" si="121"/>
        <v>0</v>
      </c>
      <c r="DJ120" s="3">
        <f t="shared" si="121"/>
        <v>0</v>
      </c>
      <c r="DK120" s="3">
        <f t="shared" si="121"/>
        <v>0</v>
      </c>
      <c r="DL120" s="3">
        <f t="shared" si="121"/>
        <v>0</v>
      </c>
      <c r="DM120" s="3">
        <f t="shared" si="121"/>
        <v>0</v>
      </c>
      <c r="DN120" s="3">
        <f t="shared" si="121"/>
        <v>0</v>
      </c>
      <c r="DO120" s="3">
        <f t="shared" si="121"/>
        <v>0</v>
      </c>
      <c r="DP120" s="3">
        <f t="shared" si="121"/>
        <v>0</v>
      </c>
      <c r="DQ120" s="3">
        <f t="shared" si="121"/>
        <v>0</v>
      </c>
      <c r="DR120" s="3">
        <f t="shared" si="121"/>
        <v>0</v>
      </c>
      <c r="DS120" s="3">
        <f t="shared" si="121"/>
        <v>0</v>
      </c>
      <c r="DT120" s="3">
        <f t="shared" si="121"/>
        <v>0</v>
      </c>
      <c r="DU120" s="3">
        <f t="shared" si="121"/>
        <v>0</v>
      </c>
      <c r="DV120" s="3">
        <f t="shared" si="121"/>
        <v>0</v>
      </c>
      <c r="DW120" s="3">
        <f t="shared" si="121"/>
        <v>0</v>
      </c>
      <c r="DX120" s="3">
        <f t="shared" si="121"/>
        <v>0</v>
      </c>
      <c r="DY120" s="3">
        <f t="shared" si="121"/>
        <v>0</v>
      </c>
      <c r="DZ120" s="3">
        <f t="shared" si="121"/>
        <v>0</v>
      </c>
      <c r="EA120" s="3">
        <f t="shared" si="121"/>
        <v>0</v>
      </c>
      <c r="EB120" s="3">
        <f t="shared" si="121"/>
        <v>0</v>
      </c>
      <c r="EC120" s="3">
        <f t="shared" si="121"/>
        <v>0</v>
      </c>
      <c r="ED120" s="3">
        <f t="shared" si="121"/>
        <v>0</v>
      </c>
      <c r="EE120" s="3">
        <f t="shared" si="121"/>
        <v>0</v>
      </c>
      <c r="EF120" s="3">
        <f t="shared" si="121"/>
        <v>0</v>
      </c>
      <c r="EG120" s="3">
        <f t="shared" si="121"/>
        <v>0</v>
      </c>
      <c r="EH120" s="3">
        <f t="shared" si="121"/>
        <v>0</v>
      </c>
      <c r="EI120" s="3">
        <f t="shared" si="121"/>
        <v>0</v>
      </c>
      <c r="EJ120" s="3">
        <f t="shared" si="121"/>
        <v>0</v>
      </c>
      <c r="EK120" s="3">
        <f t="shared" si="121"/>
        <v>0</v>
      </c>
      <c r="EL120" s="3">
        <f t="shared" si="121"/>
        <v>0</v>
      </c>
      <c r="EM120" s="3">
        <f t="shared" ref="EM120:FR120" si="122">EM140</f>
        <v>0</v>
      </c>
      <c r="EN120" s="3">
        <f t="shared" si="122"/>
        <v>0</v>
      </c>
      <c r="EO120" s="3">
        <f t="shared" si="122"/>
        <v>0</v>
      </c>
      <c r="EP120" s="3">
        <f t="shared" si="122"/>
        <v>0</v>
      </c>
      <c r="EQ120" s="3">
        <f t="shared" si="122"/>
        <v>0</v>
      </c>
      <c r="ER120" s="3">
        <f t="shared" si="122"/>
        <v>0</v>
      </c>
      <c r="ES120" s="3">
        <f t="shared" si="122"/>
        <v>0</v>
      </c>
      <c r="ET120" s="3">
        <f t="shared" si="122"/>
        <v>0</v>
      </c>
      <c r="EU120" s="3">
        <f t="shared" si="122"/>
        <v>0</v>
      </c>
      <c r="EV120" s="3">
        <f t="shared" si="122"/>
        <v>0</v>
      </c>
      <c r="EW120" s="3">
        <f t="shared" si="122"/>
        <v>0</v>
      </c>
      <c r="EX120" s="3">
        <f t="shared" si="122"/>
        <v>0</v>
      </c>
      <c r="EY120" s="3">
        <f t="shared" si="122"/>
        <v>0</v>
      </c>
      <c r="EZ120" s="3">
        <f t="shared" si="122"/>
        <v>0</v>
      </c>
      <c r="FA120" s="3">
        <f t="shared" si="122"/>
        <v>0</v>
      </c>
      <c r="FB120" s="3">
        <f t="shared" si="122"/>
        <v>0</v>
      </c>
      <c r="FC120" s="3">
        <f t="shared" si="122"/>
        <v>0</v>
      </c>
      <c r="FD120" s="3">
        <f t="shared" si="122"/>
        <v>0</v>
      </c>
      <c r="FE120" s="3">
        <f t="shared" si="122"/>
        <v>0</v>
      </c>
      <c r="FF120" s="3">
        <f t="shared" si="122"/>
        <v>0</v>
      </c>
      <c r="FG120" s="3">
        <f t="shared" si="122"/>
        <v>0</v>
      </c>
      <c r="FH120" s="3">
        <f t="shared" si="122"/>
        <v>0</v>
      </c>
      <c r="FI120" s="3">
        <f t="shared" si="122"/>
        <v>0</v>
      </c>
      <c r="FJ120" s="3">
        <f t="shared" si="122"/>
        <v>0</v>
      </c>
      <c r="FK120" s="3">
        <f t="shared" si="122"/>
        <v>0</v>
      </c>
      <c r="FL120" s="3">
        <f t="shared" si="122"/>
        <v>0</v>
      </c>
      <c r="FM120" s="3">
        <f t="shared" si="122"/>
        <v>0</v>
      </c>
      <c r="FN120" s="3">
        <f t="shared" si="122"/>
        <v>0</v>
      </c>
      <c r="FO120" s="3">
        <f t="shared" si="122"/>
        <v>0</v>
      </c>
      <c r="FP120" s="3">
        <f t="shared" si="122"/>
        <v>0</v>
      </c>
      <c r="FQ120" s="3">
        <f t="shared" si="122"/>
        <v>0</v>
      </c>
      <c r="FR120" s="3">
        <f t="shared" si="122"/>
        <v>0</v>
      </c>
      <c r="FS120" s="3">
        <f t="shared" ref="FS120:GX120" si="123">FS140</f>
        <v>0</v>
      </c>
      <c r="FT120" s="3">
        <f t="shared" si="123"/>
        <v>0</v>
      </c>
      <c r="FU120" s="3">
        <f t="shared" si="123"/>
        <v>0</v>
      </c>
      <c r="FV120" s="3">
        <f t="shared" si="123"/>
        <v>0</v>
      </c>
      <c r="FW120" s="3">
        <f t="shared" si="123"/>
        <v>0</v>
      </c>
      <c r="FX120" s="3">
        <f t="shared" si="123"/>
        <v>0</v>
      </c>
      <c r="FY120" s="3">
        <f t="shared" si="123"/>
        <v>0</v>
      </c>
      <c r="FZ120" s="3">
        <f t="shared" si="123"/>
        <v>0</v>
      </c>
      <c r="GA120" s="3">
        <f t="shared" si="123"/>
        <v>0</v>
      </c>
      <c r="GB120" s="3">
        <f t="shared" si="123"/>
        <v>0</v>
      </c>
      <c r="GC120" s="3">
        <f t="shared" si="123"/>
        <v>0</v>
      </c>
      <c r="GD120" s="3">
        <f t="shared" si="123"/>
        <v>0</v>
      </c>
      <c r="GE120" s="3">
        <f t="shared" si="123"/>
        <v>0</v>
      </c>
      <c r="GF120" s="3">
        <f t="shared" si="123"/>
        <v>0</v>
      </c>
      <c r="GG120" s="3">
        <f t="shared" si="123"/>
        <v>0</v>
      </c>
      <c r="GH120" s="3">
        <f t="shared" si="123"/>
        <v>0</v>
      </c>
      <c r="GI120" s="3">
        <f t="shared" si="123"/>
        <v>0</v>
      </c>
      <c r="GJ120" s="3">
        <f t="shared" si="123"/>
        <v>0</v>
      </c>
      <c r="GK120" s="3">
        <f t="shared" si="123"/>
        <v>0</v>
      </c>
      <c r="GL120" s="3">
        <f t="shared" si="123"/>
        <v>0</v>
      </c>
      <c r="GM120" s="3">
        <f t="shared" si="123"/>
        <v>0</v>
      </c>
      <c r="GN120" s="3">
        <f t="shared" si="123"/>
        <v>0</v>
      </c>
      <c r="GO120" s="3">
        <f t="shared" si="123"/>
        <v>0</v>
      </c>
      <c r="GP120" s="3">
        <f t="shared" si="123"/>
        <v>0</v>
      </c>
      <c r="GQ120" s="3">
        <f t="shared" si="123"/>
        <v>0</v>
      </c>
      <c r="GR120" s="3">
        <f t="shared" si="123"/>
        <v>0</v>
      </c>
      <c r="GS120" s="3">
        <f t="shared" si="123"/>
        <v>0</v>
      </c>
      <c r="GT120" s="3">
        <f t="shared" si="123"/>
        <v>0</v>
      </c>
      <c r="GU120" s="3">
        <f t="shared" si="123"/>
        <v>0</v>
      </c>
      <c r="GV120" s="3">
        <f t="shared" si="123"/>
        <v>0</v>
      </c>
      <c r="GW120" s="3">
        <f t="shared" si="123"/>
        <v>0</v>
      </c>
      <c r="GX120" s="3">
        <f t="shared" si="123"/>
        <v>0</v>
      </c>
    </row>
    <row r="122" spans="1:245" x14ac:dyDescent="0.2">
      <c r="A122">
        <v>17</v>
      </c>
      <c r="B122">
        <v>1</v>
      </c>
      <c r="D122">
        <f>ROW(EtalonRes!A78)</f>
        <v>78</v>
      </c>
      <c r="E122" t="s">
        <v>159</v>
      </c>
      <c r="F122" t="s">
        <v>160</v>
      </c>
      <c r="G122" t="s">
        <v>161</v>
      </c>
      <c r="H122" t="s">
        <v>162</v>
      </c>
      <c r="I122">
        <f>ROUND(1.96*26/100,9)</f>
        <v>0.50960000000000005</v>
      </c>
      <c r="J122">
        <v>0</v>
      </c>
      <c r="K122">
        <f>ROUND(1.96*26/100,9)</f>
        <v>0.50960000000000005</v>
      </c>
      <c r="O122">
        <f t="shared" ref="O122:O138" si="124">ROUND(CP122,2)</f>
        <v>405450.16</v>
      </c>
      <c r="P122">
        <f t="shared" ref="P122:P138" si="125">ROUND(CQ122*I122,2)</f>
        <v>395006.03</v>
      </c>
      <c r="Q122">
        <f t="shared" ref="Q122:Q138" si="126">ROUND(CR122*I122,2)</f>
        <v>1.07</v>
      </c>
      <c r="R122">
        <f t="shared" ref="R122:R138" si="127">ROUND(CS122*I122,2)</f>
        <v>0.16</v>
      </c>
      <c r="S122">
        <f t="shared" ref="S122:S138" si="128">ROUND(CT122*I122,2)</f>
        <v>10443.06</v>
      </c>
      <c r="T122">
        <f t="shared" ref="T122:T138" si="129">ROUND(CU122*I122,2)</f>
        <v>0</v>
      </c>
      <c r="U122">
        <f t="shared" ref="U122:U138" si="130">CV122*I122</f>
        <v>34.632415999999999</v>
      </c>
      <c r="V122">
        <f t="shared" ref="V122:V138" si="131">CW122*I122</f>
        <v>0</v>
      </c>
      <c r="W122">
        <f t="shared" ref="W122:W138" si="132">ROUND(CX122*I122,2)</f>
        <v>0</v>
      </c>
      <c r="X122">
        <f t="shared" ref="X122:X138" si="133">ROUND(CY122,2)</f>
        <v>7310.14</v>
      </c>
      <c r="Y122">
        <f t="shared" ref="Y122:Y138" si="134">ROUND(CZ122,2)</f>
        <v>1044.31</v>
      </c>
      <c r="AA122">
        <v>72192302</v>
      </c>
      <c r="AB122">
        <f t="shared" ref="AB122:AB138" si="135">ROUND((AC122+AD122+AF122),6)</f>
        <v>795624.33</v>
      </c>
      <c r="AC122">
        <f t="shared" ref="AC122:AC138" si="136">ROUND((ES122),6)</f>
        <v>775129.57</v>
      </c>
      <c r="AD122">
        <f t="shared" ref="AD122:AD138" si="137">ROUND((((ET122)-(EU122))+AE122),6)</f>
        <v>2.1</v>
      </c>
      <c r="AE122">
        <f t="shared" ref="AE122:AE138" si="138">ROUND((EU122),6)</f>
        <v>0.32</v>
      </c>
      <c r="AF122">
        <f t="shared" ref="AF122:AF138" si="139">ROUND((EV122),6)</f>
        <v>20492.66</v>
      </c>
      <c r="AG122">
        <f t="shared" ref="AG122:AG138" si="140">ROUND((AP122),6)</f>
        <v>0</v>
      </c>
      <c r="AH122">
        <f t="shared" ref="AH122:AH138" si="141">(EW122)</f>
        <v>67.959999999999994</v>
      </c>
      <c r="AI122">
        <f t="shared" ref="AI122:AI138" si="142">(EX122)</f>
        <v>0</v>
      </c>
      <c r="AJ122">
        <f t="shared" ref="AJ122:AJ138" si="143">(AS122)</f>
        <v>0</v>
      </c>
      <c r="AK122">
        <v>795624.33</v>
      </c>
      <c r="AL122">
        <v>775129.57</v>
      </c>
      <c r="AM122">
        <v>2.1</v>
      </c>
      <c r="AN122">
        <v>0.32</v>
      </c>
      <c r="AO122">
        <v>20492.66</v>
      </c>
      <c r="AP122">
        <v>0</v>
      </c>
      <c r="AQ122">
        <v>67.959999999999994</v>
      </c>
      <c r="AR122">
        <v>0</v>
      </c>
      <c r="AS122">
        <v>0</v>
      </c>
      <c r="AT122">
        <v>70</v>
      </c>
      <c r="AU122">
        <v>10</v>
      </c>
      <c r="AV122">
        <v>1</v>
      </c>
      <c r="AW122">
        <v>1</v>
      </c>
      <c r="AZ122">
        <v>1</v>
      </c>
      <c r="BA122">
        <v>1</v>
      </c>
      <c r="BB122">
        <v>1</v>
      </c>
      <c r="BC122">
        <v>1</v>
      </c>
      <c r="BD122" t="s">
        <v>3</v>
      </c>
      <c r="BE122" t="s">
        <v>3</v>
      </c>
      <c r="BF122" t="s">
        <v>3</v>
      </c>
      <c r="BG122" t="s">
        <v>3</v>
      </c>
      <c r="BH122">
        <v>0</v>
      </c>
      <c r="BI122">
        <v>4</v>
      </c>
      <c r="BJ122" t="s">
        <v>163</v>
      </c>
      <c r="BM122">
        <v>0</v>
      </c>
      <c r="BN122">
        <v>0</v>
      </c>
      <c r="BO122" t="s">
        <v>3</v>
      </c>
      <c r="BP122">
        <v>0</v>
      </c>
      <c r="BQ122">
        <v>1</v>
      </c>
      <c r="BR122">
        <v>0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 t="s">
        <v>3</v>
      </c>
      <c r="BZ122">
        <v>70</v>
      </c>
      <c r="CA122">
        <v>10</v>
      </c>
      <c r="CB122" t="s">
        <v>3</v>
      </c>
      <c r="CE122">
        <v>0</v>
      </c>
      <c r="CF122">
        <v>0</v>
      </c>
      <c r="CG122">
        <v>0</v>
      </c>
      <c r="CM122">
        <v>0</v>
      </c>
      <c r="CN122" t="s">
        <v>3</v>
      </c>
      <c r="CO122">
        <v>0</v>
      </c>
      <c r="CP122">
        <f t="shared" ref="CP122:CP138" si="144">(P122+Q122+S122)</f>
        <v>405450.16000000003</v>
      </c>
      <c r="CQ122">
        <f t="shared" ref="CQ122:CQ138" si="145">(AC122*BC122*AW122)</f>
        <v>775129.57</v>
      </c>
      <c r="CR122">
        <f t="shared" ref="CR122:CR138" si="146">((((ET122)*BB122-(EU122)*BS122)+AE122*BS122)*AV122)</f>
        <v>2.1</v>
      </c>
      <c r="CS122">
        <f t="shared" ref="CS122:CS138" si="147">(AE122*BS122*AV122)</f>
        <v>0.32</v>
      </c>
      <c r="CT122">
        <f t="shared" ref="CT122:CT138" si="148">(AF122*BA122*AV122)</f>
        <v>20492.66</v>
      </c>
      <c r="CU122">
        <f t="shared" ref="CU122:CU138" si="149">AG122</f>
        <v>0</v>
      </c>
      <c r="CV122">
        <f t="shared" ref="CV122:CV138" si="150">(AH122*AV122)</f>
        <v>67.959999999999994</v>
      </c>
      <c r="CW122">
        <f t="shared" ref="CW122:CW138" si="151">AI122</f>
        <v>0</v>
      </c>
      <c r="CX122">
        <f t="shared" ref="CX122:CX138" si="152">AJ122</f>
        <v>0</v>
      </c>
      <c r="CY122">
        <f t="shared" ref="CY122:CY138" si="153">((S122*BZ122)/100)</f>
        <v>7310.1419999999998</v>
      </c>
      <c r="CZ122">
        <f t="shared" ref="CZ122:CZ138" si="154">((S122*CA122)/100)</f>
        <v>1044.3059999999998</v>
      </c>
      <c r="DC122" t="s">
        <v>3</v>
      </c>
      <c r="DD122" t="s">
        <v>3</v>
      </c>
      <c r="DE122" t="s">
        <v>3</v>
      </c>
      <c r="DF122" t="s">
        <v>3</v>
      </c>
      <c r="DG122" t="s">
        <v>3</v>
      </c>
      <c r="DH122" t="s">
        <v>3</v>
      </c>
      <c r="DI122" t="s">
        <v>3</v>
      </c>
      <c r="DJ122" t="s">
        <v>3</v>
      </c>
      <c r="DK122" t="s">
        <v>3</v>
      </c>
      <c r="DL122" t="s">
        <v>3</v>
      </c>
      <c r="DM122" t="s">
        <v>3</v>
      </c>
      <c r="DN122">
        <v>0</v>
      </c>
      <c r="DO122">
        <v>0</v>
      </c>
      <c r="DP122">
        <v>1</v>
      </c>
      <c r="DQ122">
        <v>1</v>
      </c>
      <c r="DU122">
        <v>1013</v>
      </c>
      <c r="DV122" t="s">
        <v>162</v>
      </c>
      <c r="DW122" t="s">
        <v>162</v>
      </c>
      <c r="DX122">
        <v>1</v>
      </c>
      <c r="DZ122" t="s">
        <v>3</v>
      </c>
      <c r="EA122" t="s">
        <v>3</v>
      </c>
      <c r="EB122" t="s">
        <v>3</v>
      </c>
      <c r="EC122" t="s">
        <v>3</v>
      </c>
      <c r="EE122">
        <v>71753531</v>
      </c>
      <c r="EF122">
        <v>1</v>
      </c>
      <c r="EG122" t="s">
        <v>22</v>
      </c>
      <c r="EH122">
        <v>0</v>
      </c>
      <c r="EI122" t="s">
        <v>3</v>
      </c>
      <c r="EJ122">
        <v>4</v>
      </c>
      <c r="EK122">
        <v>0</v>
      </c>
      <c r="EL122" t="s">
        <v>23</v>
      </c>
      <c r="EM122" t="s">
        <v>24</v>
      </c>
      <c r="EO122" t="s">
        <v>3</v>
      </c>
      <c r="EQ122">
        <v>0</v>
      </c>
      <c r="ER122">
        <v>795624.33</v>
      </c>
      <c r="ES122">
        <v>775129.57</v>
      </c>
      <c r="ET122">
        <v>2.1</v>
      </c>
      <c r="EU122">
        <v>0.32</v>
      </c>
      <c r="EV122">
        <v>20492.66</v>
      </c>
      <c r="EW122">
        <v>67.959999999999994</v>
      </c>
      <c r="EX122">
        <v>0</v>
      </c>
      <c r="EY122">
        <v>0</v>
      </c>
      <c r="FQ122">
        <v>0</v>
      </c>
      <c r="FR122">
        <f t="shared" ref="FR122:FR138" si="155">ROUND(IF(BI122=3,GM122,0),2)</f>
        <v>0</v>
      </c>
      <c r="FS122">
        <v>0</v>
      </c>
      <c r="FX122">
        <v>70</v>
      </c>
      <c r="FY122">
        <v>10</v>
      </c>
      <c r="GA122" t="s">
        <v>3</v>
      </c>
      <c r="GD122">
        <v>0</v>
      </c>
      <c r="GF122">
        <v>1046146772</v>
      </c>
      <c r="GG122">
        <v>2</v>
      </c>
      <c r="GH122">
        <v>1</v>
      </c>
      <c r="GI122">
        <v>-2</v>
      </c>
      <c r="GJ122">
        <v>0</v>
      </c>
      <c r="GK122">
        <f>ROUND(R122*(R12)/100,2)</f>
        <v>0.17</v>
      </c>
      <c r="GL122">
        <f t="shared" ref="GL122:GL138" si="156">ROUND(IF(AND(BH122=3,BI122=3,FS122&lt;&gt;0),P122,0),2)</f>
        <v>0</v>
      </c>
      <c r="GM122">
        <f t="shared" ref="GM122:GM138" si="157">ROUND(O122+X122+Y122+GK122,2)+GX122</f>
        <v>413804.78</v>
      </c>
      <c r="GN122">
        <f t="shared" ref="GN122:GN138" si="158">IF(OR(BI122=0,BI122=1),GM122,0)</f>
        <v>0</v>
      </c>
      <c r="GO122">
        <f t="shared" ref="GO122:GO138" si="159">IF(BI122=2,GM122,0)</f>
        <v>0</v>
      </c>
      <c r="GP122">
        <f t="shared" ref="GP122:GP138" si="160">IF(BI122=4,GM122+GX122,0)</f>
        <v>413804.78</v>
      </c>
      <c r="GR122">
        <v>0</v>
      </c>
      <c r="GS122">
        <v>3</v>
      </c>
      <c r="GT122">
        <v>0</v>
      </c>
      <c r="GU122" t="s">
        <v>3</v>
      </c>
      <c r="GV122">
        <f t="shared" ref="GV122:GV138" si="161">ROUND((GT122),6)</f>
        <v>0</v>
      </c>
      <c r="GW122">
        <v>1</v>
      </c>
      <c r="GX122">
        <f t="shared" ref="GX122:GX138" si="162">ROUND(HC122*I122,2)</f>
        <v>0</v>
      </c>
      <c r="HA122">
        <v>0</v>
      </c>
      <c r="HB122">
        <v>0</v>
      </c>
      <c r="HC122">
        <f t="shared" ref="HC122:HC138" si="163">GV122*GW122</f>
        <v>0</v>
      </c>
      <c r="HE122" t="s">
        <v>3</v>
      </c>
      <c r="HF122" t="s">
        <v>3</v>
      </c>
      <c r="HM122" t="s">
        <v>3</v>
      </c>
      <c r="HN122" t="s">
        <v>3</v>
      </c>
      <c r="HO122" t="s">
        <v>3</v>
      </c>
      <c r="HP122" t="s">
        <v>3</v>
      </c>
      <c r="HQ122" t="s">
        <v>3</v>
      </c>
      <c r="IK122">
        <v>0</v>
      </c>
    </row>
    <row r="123" spans="1:245" x14ac:dyDescent="0.2">
      <c r="A123">
        <v>18</v>
      </c>
      <c r="B123">
        <v>1</v>
      </c>
      <c r="E123" t="s">
        <v>164</v>
      </c>
      <c r="F123" t="s">
        <v>165</v>
      </c>
      <c r="G123" t="s">
        <v>166</v>
      </c>
      <c r="H123" t="s">
        <v>51</v>
      </c>
      <c r="I123">
        <f>I122*J123</f>
        <v>-50.455495999999997</v>
      </c>
      <c r="J123">
        <v>-99.009999999999977</v>
      </c>
      <c r="K123">
        <v>-99.01</v>
      </c>
      <c r="O123">
        <f t="shared" si="124"/>
        <v>-391446.86</v>
      </c>
      <c r="P123">
        <f t="shared" si="125"/>
        <v>-391446.86</v>
      </c>
      <c r="Q123">
        <f t="shared" si="126"/>
        <v>0</v>
      </c>
      <c r="R123">
        <f t="shared" si="127"/>
        <v>0</v>
      </c>
      <c r="S123">
        <f t="shared" si="128"/>
        <v>0</v>
      </c>
      <c r="T123">
        <f t="shared" si="129"/>
        <v>0</v>
      </c>
      <c r="U123">
        <f t="shared" si="130"/>
        <v>0</v>
      </c>
      <c r="V123">
        <f t="shared" si="131"/>
        <v>0</v>
      </c>
      <c r="W123">
        <f t="shared" si="132"/>
        <v>0</v>
      </c>
      <c r="X123">
        <f t="shared" si="133"/>
        <v>0</v>
      </c>
      <c r="Y123">
        <f t="shared" si="134"/>
        <v>0</v>
      </c>
      <c r="AA123">
        <v>72192302</v>
      </c>
      <c r="AB123">
        <f t="shared" si="135"/>
        <v>7758.26</v>
      </c>
      <c r="AC123">
        <f t="shared" si="136"/>
        <v>7758.26</v>
      </c>
      <c r="AD123">
        <f t="shared" si="137"/>
        <v>0</v>
      </c>
      <c r="AE123">
        <f t="shared" si="138"/>
        <v>0</v>
      </c>
      <c r="AF123">
        <f t="shared" si="139"/>
        <v>0</v>
      </c>
      <c r="AG123">
        <f t="shared" si="140"/>
        <v>0</v>
      </c>
      <c r="AH123">
        <f t="shared" si="141"/>
        <v>0</v>
      </c>
      <c r="AI123">
        <f t="shared" si="142"/>
        <v>0</v>
      </c>
      <c r="AJ123">
        <f t="shared" si="143"/>
        <v>0</v>
      </c>
      <c r="AK123">
        <v>7758.26</v>
      </c>
      <c r="AL123">
        <v>7758.26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70</v>
      </c>
      <c r="AU123">
        <v>10</v>
      </c>
      <c r="AV123">
        <v>1</v>
      </c>
      <c r="AW123">
        <v>1</v>
      </c>
      <c r="AZ123">
        <v>1</v>
      </c>
      <c r="BA123">
        <v>1</v>
      </c>
      <c r="BB123">
        <v>1</v>
      </c>
      <c r="BC123">
        <v>1</v>
      </c>
      <c r="BD123" t="s">
        <v>3</v>
      </c>
      <c r="BE123" t="s">
        <v>3</v>
      </c>
      <c r="BF123" t="s">
        <v>3</v>
      </c>
      <c r="BG123" t="s">
        <v>3</v>
      </c>
      <c r="BH123">
        <v>3</v>
      </c>
      <c r="BI123">
        <v>4</v>
      </c>
      <c r="BJ123" t="s">
        <v>167</v>
      </c>
      <c r="BM123">
        <v>0</v>
      </c>
      <c r="BN123">
        <v>0</v>
      </c>
      <c r="BO123" t="s">
        <v>3</v>
      </c>
      <c r="BP123">
        <v>0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 t="s">
        <v>3</v>
      </c>
      <c r="BZ123">
        <v>70</v>
      </c>
      <c r="CA123">
        <v>10</v>
      </c>
      <c r="CB123" t="s">
        <v>3</v>
      </c>
      <c r="CE123">
        <v>0</v>
      </c>
      <c r="CF123">
        <v>0</v>
      </c>
      <c r="CG123">
        <v>0</v>
      </c>
      <c r="CM123">
        <v>0</v>
      </c>
      <c r="CN123" t="s">
        <v>3</v>
      </c>
      <c r="CO123">
        <v>0</v>
      </c>
      <c r="CP123">
        <f t="shared" si="144"/>
        <v>-391446.86</v>
      </c>
      <c r="CQ123">
        <f t="shared" si="145"/>
        <v>7758.26</v>
      </c>
      <c r="CR123">
        <f t="shared" si="146"/>
        <v>0</v>
      </c>
      <c r="CS123">
        <f t="shared" si="147"/>
        <v>0</v>
      </c>
      <c r="CT123">
        <f t="shared" si="148"/>
        <v>0</v>
      </c>
      <c r="CU123">
        <f t="shared" si="149"/>
        <v>0</v>
      </c>
      <c r="CV123">
        <f t="shared" si="150"/>
        <v>0</v>
      </c>
      <c r="CW123">
        <f t="shared" si="151"/>
        <v>0</v>
      </c>
      <c r="CX123">
        <f t="shared" si="152"/>
        <v>0</v>
      </c>
      <c r="CY123">
        <f t="shared" si="153"/>
        <v>0</v>
      </c>
      <c r="CZ123">
        <f t="shared" si="154"/>
        <v>0</v>
      </c>
      <c r="DC123" t="s">
        <v>3</v>
      </c>
      <c r="DD123" t="s">
        <v>3</v>
      </c>
      <c r="DE123" t="s">
        <v>3</v>
      </c>
      <c r="DF123" t="s">
        <v>3</v>
      </c>
      <c r="DG123" t="s">
        <v>3</v>
      </c>
      <c r="DH123" t="s">
        <v>3</v>
      </c>
      <c r="DI123" t="s">
        <v>3</v>
      </c>
      <c r="DJ123" t="s">
        <v>3</v>
      </c>
      <c r="DK123" t="s">
        <v>3</v>
      </c>
      <c r="DL123" t="s">
        <v>3</v>
      </c>
      <c r="DM123" t="s">
        <v>3</v>
      </c>
      <c r="DN123">
        <v>0</v>
      </c>
      <c r="DO123">
        <v>0</v>
      </c>
      <c r="DP123">
        <v>1</v>
      </c>
      <c r="DQ123">
        <v>1</v>
      </c>
      <c r="DU123">
        <v>1010</v>
      </c>
      <c r="DV123" t="s">
        <v>51</v>
      </c>
      <c r="DW123" t="s">
        <v>51</v>
      </c>
      <c r="DX123">
        <v>1</v>
      </c>
      <c r="DZ123" t="s">
        <v>3</v>
      </c>
      <c r="EA123" t="s">
        <v>3</v>
      </c>
      <c r="EB123" t="s">
        <v>3</v>
      </c>
      <c r="EC123" t="s">
        <v>3</v>
      </c>
      <c r="EE123">
        <v>71753531</v>
      </c>
      <c r="EF123">
        <v>1</v>
      </c>
      <c r="EG123" t="s">
        <v>22</v>
      </c>
      <c r="EH123">
        <v>0</v>
      </c>
      <c r="EI123" t="s">
        <v>3</v>
      </c>
      <c r="EJ123">
        <v>4</v>
      </c>
      <c r="EK123">
        <v>0</v>
      </c>
      <c r="EL123" t="s">
        <v>23</v>
      </c>
      <c r="EM123" t="s">
        <v>24</v>
      </c>
      <c r="EO123" t="s">
        <v>3</v>
      </c>
      <c r="EQ123">
        <v>32768</v>
      </c>
      <c r="ER123">
        <v>7758.26</v>
      </c>
      <c r="ES123">
        <v>7758.26</v>
      </c>
      <c r="ET123">
        <v>0</v>
      </c>
      <c r="EU123">
        <v>0</v>
      </c>
      <c r="EV123">
        <v>0</v>
      </c>
      <c r="EW123">
        <v>0</v>
      </c>
      <c r="EX123">
        <v>0</v>
      </c>
      <c r="FQ123">
        <v>0</v>
      </c>
      <c r="FR123">
        <f t="shared" si="155"/>
        <v>0</v>
      </c>
      <c r="FS123">
        <v>0</v>
      </c>
      <c r="FX123">
        <v>70</v>
      </c>
      <c r="FY123">
        <v>10</v>
      </c>
      <c r="GA123" t="s">
        <v>3</v>
      </c>
      <c r="GD123">
        <v>0</v>
      </c>
      <c r="GF123">
        <v>-572927986</v>
      </c>
      <c r="GG123">
        <v>2</v>
      </c>
      <c r="GH123">
        <v>1</v>
      </c>
      <c r="GI123">
        <v>-2</v>
      </c>
      <c r="GJ123">
        <v>0</v>
      </c>
      <c r="GK123">
        <f>ROUND(R123*(R12)/100,2)</f>
        <v>0</v>
      </c>
      <c r="GL123">
        <f t="shared" si="156"/>
        <v>0</v>
      </c>
      <c r="GM123">
        <f t="shared" si="157"/>
        <v>-391446.86</v>
      </c>
      <c r="GN123">
        <f t="shared" si="158"/>
        <v>0</v>
      </c>
      <c r="GO123">
        <f t="shared" si="159"/>
        <v>0</v>
      </c>
      <c r="GP123">
        <f t="shared" si="160"/>
        <v>-391446.86</v>
      </c>
      <c r="GR123">
        <v>0</v>
      </c>
      <c r="GS123">
        <v>3</v>
      </c>
      <c r="GT123">
        <v>0</v>
      </c>
      <c r="GU123" t="s">
        <v>3</v>
      </c>
      <c r="GV123">
        <f t="shared" si="161"/>
        <v>0</v>
      </c>
      <c r="GW123">
        <v>1</v>
      </c>
      <c r="GX123">
        <f t="shared" si="162"/>
        <v>0</v>
      </c>
      <c r="HA123">
        <v>0</v>
      </c>
      <c r="HB123">
        <v>0</v>
      </c>
      <c r="HC123">
        <f t="shared" si="163"/>
        <v>0</v>
      </c>
      <c r="HE123" t="s">
        <v>3</v>
      </c>
      <c r="HF123" t="s">
        <v>3</v>
      </c>
      <c r="HM123" t="s">
        <v>3</v>
      </c>
      <c r="HN123" t="s">
        <v>3</v>
      </c>
      <c r="HO123" t="s">
        <v>3</v>
      </c>
      <c r="HP123" t="s">
        <v>3</v>
      </c>
      <c r="HQ123" t="s">
        <v>3</v>
      </c>
      <c r="IK123">
        <v>0</v>
      </c>
    </row>
    <row r="124" spans="1:245" x14ac:dyDescent="0.2">
      <c r="A124">
        <v>18</v>
      </c>
      <c r="B124">
        <v>1</v>
      </c>
      <c r="E124" t="s">
        <v>168</v>
      </c>
      <c r="F124" t="s">
        <v>156</v>
      </c>
      <c r="G124" s="46" t="s">
        <v>777</v>
      </c>
      <c r="H124" t="s">
        <v>51</v>
      </c>
      <c r="I124">
        <f>I122*J124</f>
        <v>26</v>
      </c>
      <c r="J124">
        <v>51.020408163265301</v>
      </c>
      <c r="K124">
        <v>51.020408000000003</v>
      </c>
      <c r="O124">
        <f t="shared" si="124"/>
        <v>329511</v>
      </c>
      <c r="P124">
        <f t="shared" si="125"/>
        <v>329511</v>
      </c>
      <c r="Q124">
        <f t="shared" si="126"/>
        <v>0</v>
      </c>
      <c r="R124">
        <f t="shared" si="127"/>
        <v>0</v>
      </c>
      <c r="S124">
        <f t="shared" si="128"/>
        <v>0</v>
      </c>
      <c r="T124">
        <f t="shared" si="129"/>
        <v>0</v>
      </c>
      <c r="U124">
        <f t="shared" si="130"/>
        <v>0</v>
      </c>
      <c r="V124">
        <f t="shared" si="131"/>
        <v>0</v>
      </c>
      <c r="W124">
        <f t="shared" si="132"/>
        <v>0</v>
      </c>
      <c r="X124">
        <f t="shared" si="133"/>
        <v>0</v>
      </c>
      <c r="Y124">
        <f t="shared" si="134"/>
        <v>0</v>
      </c>
      <c r="AA124">
        <v>72192302</v>
      </c>
      <c r="AB124">
        <f t="shared" si="135"/>
        <v>12673.5</v>
      </c>
      <c r="AC124">
        <f t="shared" si="136"/>
        <v>12673.5</v>
      </c>
      <c r="AD124">
        <f t="shared" si="137"/>
        <v>0</v>
      </c>
      <c r="AE124">
        <f t="shared" si="138"/>
        <v>0</v>
      </c>
      <c r="AF124">
        <f t="shared" si="139"/>
        <v>0</v>
      </c>
      <c r="AG124">
        <f t="shared" si="140"/>
        <v>0</v>
      </c>
      <c r="AH124">
        <f t="shared" si="141"/>
        <v>0</v>
      </c>
      <c r="AI124">
        <f t="shared" si="142"/>
        <v>0</v>
      </c>
      <c r="AJ124">
        <f t="shared" si="143"/>
        <v>0</v>
      </c>
      <c r="AK124">
        <v>12673.5</v>
      </c>
      <c r="AL124">
        <v>12673.5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70</v>
      </c>
      <c r="AU124">
        <v>10</v>
      </c>
      <c r="AV124">
        <v>1</v>
      </c>
      <c r="AW124">
        <v>1</v>
      </c>
      <c r="AZ124">
        <v>1</v>
      </c>
      <c r="BA124">
        <v>1</v>
      </c>
      <c r="BB124">
        <v>1</v>
      </c>
      <c r="BC124">
        <v>1</v>
      </c>
      <c r="BD124" t="s">
        <v>3</v>
      </c>
      <c r="BE124" t="s">
        <v>3</v>
      </c>
      <c r="BF124" t="s">
        <v>3</v>
      </c>
      <c r="BG124" t="s">
        <v>3</v>
      </c>
      <c r="BH124">
        <v>3</v>
      </c>
      <c r="BI124">
        <v>4</v>
      </c>
      <c r="BJ124" t="s">
        <v>3</v>
      </c>
      <c r="BM124">
        <v>0</v>
      </c>
      <c r="BN124">
        <v>0</v>
      </c>
      <c r="BO124" t="s">
        <v>3</v>
      </c>
      <c r="BP124">
        <v>0</v>
      </c>
      <c r="BQ124">
        <v>1</v>
      </c>
      <c r="BR124">
        <v>0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 t="s">
        <v>3</v>
      </c>
      <c r="BZ124">
        <v>70</v>
      </c>
      <c r="CA124">
        <v>10</v>
      </c>
      <c r="CB124" t="s">
        <v>3</v>
      </c>
      <c r="CE124">
        <v>0</v>
      </c>
      <c r="CF124">
        <v>0</v>
      </c>
      <c r="CG124">
        <v>0</v>
      </c>
      <c r="CM124">
        <v>0</v>
      </c>
      <c r="CN124" t="s">
        <v>3</v>
      </c>
      <c r="CO124">
        <v>0</v>
      </c>
      <c r="CP124">
        <f t="shared" si="144"/>
        <v>329511</v>
      </c>
      <c r="CQ124">
        <f t="shared" si="145"/>
        <v>12673.5</v>
      </c>
      <c r="CR124">
        <f t="shared" si="146"/>
        <v>0</v>
      </c>
      <c r="CS124">
        <f t="shared" si="147"/>
        <v>0</v>
      </c>
      <c r="CT124">
        <f t="shared" si="148"/>
        <v>0</v>
      </c>
      <c r="CU124">
        <f t="shared" si="149"/>
        <v>0</v>
      </c>
      <c r="CV124">
        <f t="shared" si="150"/>
        <v>0</v>
      </c>
      <c r="CW124">
        <f t="shared" si="151"/>
        <v>0</v>
      </c>
      <c r="CX124">
        <f t="shared" si="152"/>
        <v>0</v>
      </c>
      <c r="CY124">
        <f t="shared" si="153"/>
        <v>0</v>
      </c>
      <c r="CZ124">
        <f t="shared" si="154"/>
        <v>0</v>
      </c>
      <c r="DC124" t="s">
        <v>3</v>
      </c>
      <c r="DD124" t="s">
        <v>3</v>
      </c>
      <c r="DE124" t="s">
        <v>3</v>
      </c>
      <c r="DF124" t="s">
        <v>3</v>
      </c>
      <c r="DG124" t="s">
        <v>3</v>
      </c>
      <c r="DH124" t="s">
        <v>3</v>
      </c>
      <c r="DI124" t="s">
        <v>3</v>
      </c>
      <c r="DJ124" t="s">
        <v>3</v>
      </c>
      <c r="DK124" t="s">
        <v>3</v>
      </c>
      <c r="DL124" t="s">
        <v>3</v>
      </c>
      <c r="DM124" t="s">
        <v>3</v>
      </c>
      <c r="DN124">
        <v>0</v>
      </c>
      <c r="DO124">
        <v>0</v>
      </c>
      <c r="DP124">
        <v>1</v>
      </c>
      <c r="DQ124">
        <v>1</v>
      </c>
      <c r="DU124">
        <v>1010</v>
      </c>
      <c r="DV124" t="s">
        <v>51</v>
      </c>
      <c r="DW124" t="s">
        <v>51</v>
      </c>
      <c r="DX124">
        <v>1</v>
      </c>
      <c r="DZ124" t="s">
        <v>3</v>
      </c>
      <c r="EA124" t="s">
        <v>3</v>
      </c>
      <c r="EB124" t="s">
        <v>3</v>
      </c>
      <c r="EC124" t="s">
        <v>3</v>
      </c>
      <c r="EE124">
        <v>71753531</v>
      </c>
      <c r="EF124">
        <v>1</v>
      </c>
      <c r="EG124" t="s">
        <v>22</v>
      </c>
      <c r="EH124">
        <v>0</v>
      </c>
      <c r="EI124" t="s">
        <v>3</v>
      </c>
      <c r="EJ124">
        <v>4</v>
      </c>
      <c r="EK124">
        <v>0</v>
      </c>
      <c r="EL124" t="s">
        <v>23</v>
      </c>
      <c r="EM124" t="s">
        <v>24</v>
      </c>
      <c r="EO124" t="s">
        <v>3</v>
      </c>
      <c r="EQ124">
        <v>0</v>
      </c>
      <c r="ER124">
        <v>12673.5</v>
      </c>
      <c r="ES124">
        <v>12673.5</v>
      </c>
      <c r="ET124">
        <v>0</v>
      </c>
      <c r="EU124">
        <v>0</v>
      </c>
      <c r="EV124">
        <v>0</v>
      </c>
      <c r="EW124">
        <v>0</v>
      </c>
      <c r="EX124">
        <v>0</v>
      </c>
      <c r="FQ124">
        <v>0</v>
      </c>
      <c r="FR124">
        <f t="shared" si="155"/>
        <v>0</v>
      </c>
      <c r="FS124">
        <v>0</v>
      </c>
      <c r="FX124">
        <v>70</v>
      </c>
      <c r="FY124">
        <v>10</v>
      </c>
      <c r="GA124" t="s">
        <v>3</v>
      </c>
      <c r="GD124">
        <v>0</v>
      </c>
      <c r="GF124">
        <v>195406401</v>
      </c>
      <c r="GG124">
        <v>2</v>
      </c>
      <c r="GH124">
        <v>0</v>
      </c>
      <c r="GI124">
        <v>-2</v>
      </c>
      <c r="GJ124">
        <v>0</v>
      </c>
      <c r="GK124">
        <f>ROUND(R124*(R12)/100,2)</f>
        <v>0</v>
      </c>
      <c r="GL124">
        <f t="shared" si="156"/>
        <v>0</v>
      </c>
      <c r="GM124">
        <f t="shared" si="157"/>
        <v>329511</v>
      </c>
      <c r="GN124">
        <f t="shared" si="158"/>
        <v>0</v>
      </c>
      <c r="GO124">
        <f t="shared" si="159"/>
        <v>0</v>
      </c>
      <c r="GP124">
        <f t="shared" si="160"/>
        <v>329511</v>
      </c>
      <c r="GR124">
        <v>0</v>
      </c>
      <c r="GS124">
        <v>0</v>
      </c>
      <c r="GT124">
        <v>0</v>
      </c>
      <c r="GU124" t="s">
        <v>3</v>
      </c>
      <c r="GV124">
        <f t="shared" si="161"/>
        <v>0</v>
      </c>
      <c r="GW124">
        <v>1</v>
      </c>
      <c r="GX124">
        <f t="shared" si="162"/>
        <v>0</v>
      </c>
      <c r="HA124">
        <v>0</v>
      </c>
      <c r="HB124">
        <v>0</v>
      </c>
      <c r="HC124">
        <f t="shared" si="163"/>
        <v>0</v>
      </c>
      <c r="HE124" t="s">
        <v>3</v>
      </c>
      <c r="HF124" t="s">
        <v>3</v>
      </c>
      <c r="HM124" t="s">
        <v>3</v>
      </c>
      <c r="HN124" t="s">
        <v>3</v>
      </c>
      <c r="HO124" t="s">
        <v>3</v>
      </c>
      <c r="HP124" t="s">
        <v>3</v>
      </c>
      <c r="HQ124" t="s">
        <v>3</v>
      </c>
      <c r="IK124">
        <v>0</v>
      </c>
    </row>
    <row r="125" spans="1:245" x14ac:dyDescent="0.2">
      <c r="A125">
        <v>18</v>
      </c>
      <c r="B125">
        <v>1</v>
      </c>
      <c r="E125" t="s">
        <v>170</v>
      </c>
      <c r="F125" t="s">
        <v>171</v>
      </c>
      <c r="G125" t="s">
        <v>172</v>
      </c>
      <c r="H125" t="s">
        <v>173</v>
      </c>
      <c r="I125">
        <f>I122*J125</f>
        <v>-22.524319999999999</v>
      </c>
      <c r="J125">
        <v>-44.199999999999996</v>
      </c>
      <c r="K125">
        <v>-44.2</v>
      </c>
      <c r="O125">
        <f t="shared" si="124"/>
        <v>-2968.93</v>
      </c>
      <c r="P125">
        <f t="shared" si="125"/>
        <v>-2968.93</v>
      </c>
      <c r="Q125">
        <f t="shared" si="126"/>
        <v>0</v>
      </c>
      <c r="R125">
        <f t="shared" si="127"/>
        <v>0</v>
      </c>
      <c r="S125">
        <f t="shared" si="128"/>
        <v>0</v>
      </c>
      <c r="T125">
        <f t="shared" si="129"/>
        <v>0</v>
      </c>
      <c r="U125">
        <f t="shared" si="130"/>
        <v>0</v>
      </c>
      <c r="V125">
        <f t="shared" si="131"/>
        <v>0</v>
      </c>
      <c r="W125">
        <f t="shared" si="132"/>
        <v>0</v>
      </c>
      <c r="X125">
        <f t="shared" si="133"/>
        <v>0</v>
      </c>
      <c r="Y125">
        <f t="shared" si="134"/>
        <v>0</v>
      </c>
      <c r="AA125">
        <v>72192302</v>
      </c>
      <c r="AB125">
        <f t="shared" si="135"/>
        <v>131.81</v>
      </c>
      <c r="AC125">
        <f t="shared" si="136"/>
        <v>131.81</v>
      </c>
      <c r="AD125">
        <f t="shared" si="137"/>
        <v>0</v>
      </c>
      <c r="AE125">
        <f t="shared" si="138"/>
        <v>0</v>
      </c>
      <c r="AF125">
        <f t="shared" si="139"/>
        <v>0</v>
      </c>
      <c r="AG125">
        <f t="shared" si="140"/>
        <v>0</v>
      </c>
      <c r="AH125">
        <f t="shared" si="141"/>
        <v>0</v>
      </c>
      <c r="AI125">
        <f t="shared" si="142"/>
        <v>0</v>
      </c>
      <c r="AJ125">
        <f t="shared" si="143"/>
        <v>0</v>
      </c>
      <c r="AK125">
        <v>131.81</v>
      </c>
      <c r="AL125">
        <v>131.81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70</v>
      </c>
      <c r="AU125">
        <v>10</v>
      </c>
      <c r="AV125">
        <v>1</v>
      </c>
      <c r="AW125">
        <v>1</v>
      </c>
      <c r="AZ125">
        <v>1</v>
      </c>
      <c r="BA125">
        <v>1</v>
      </c>
      <c r="BB125">
        <v>1</v>
      </c>
      <c r="BC125">
        <v>1</v>
      </c>
      <c r="BD125" t="s">
        <v>3</v>
      </c>
      <c r="BE125" t="s">
        <v>3</v>
      </c>
      <c r="BF125" t="s">
        <v>3</v>
      </c>
      <c r="BG125" t="s">
        <v>3</v>
      </c>
      <c r="BH125">
        <v>3</v>
      </c>
      <c r="BI125">
        <v>4</v>
      </c>
      <c r="BJ125" t="s">
        <v>174</v>
      </c>
      <c r="BM125">
        <v>0</v>
      </c>
      <c r="BN125">
        <v>0</v>
      </c>
      <c r="BO125" t="s">
        <v>3</v>
      </c>
      <c r="BP125">
        <v>0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 t="s">
        <v>3</v>
      </c>
      <c r="BZ125">
        <v>70</v>
      </c>
      <c r="CA125">
        <v>10</v>
      </c>
      <c r="CB125" t="s">
        <v>3</v>
      </c>
      <c r="CE125">
        <v>0</v>
      </c>
      <c r="CF125">
        <v>0</v>
      </c>
      <c r="CG125">
        <v>0</v>
      </c>
      <c r="CM125">
        <v>0</v>
      </c>
      <c r="CN125" t="s">
        <v>3</v>
      </c>
      <c r="CO125">
        <v>0</v>
      </c>
      <c r="CP125">
        <f t="shared" si="144"/>
        <v>-2968.93</v>
      </c>
      <c r="CQ125">
        <f t="shared" si="145"/>
        <v>131.81</v>
      </c>
      <c r="CR125">
        <f t="shared" si="146"/>
        <v>0</v>
      </c>
      <c r="CS125">
        <f t="shared" si="147"/>
        <v>0</v>
      </c>
      <c r="CT125">
        <f t="shared" si="148"/>
        <v>0</v>
      </c>
      <c r="CU125">
        <f t="shared" si="149"/>
        <v>0</v>
      </c>
      <c r="CV125">
        <f t="shared" si="150"/>
        <v>0</v>
      </c>
      <c r="CW125">
        <f t="shared" si="151"/>
        <v>0</v>
      </c>
      <c r="CX125">
        <f t="shared" si="152"/>
        <v>0</v>
      </c>
      <c r="CY125">
        <f t="shared" si="153"/>
        <v>0</v>
      </c>
      <c r="CZ125">
        <f t="shared" si="154"/>
        <v>0</v>
      </c>
      <c r="DC125" t="s">
        <v>3</v>
      </c>
      <c r="DD125" t="s">
        <v>3</v>
      </c>
      <c r="DE125" t="s">
        <v>3</v>
      </c>
      <c r="DF125" t="s">
        <v>3</v>
      </c>
      <c r="DG125" t="s">
        <v>3</v>
      </c>
      <c r="DH125" t="s">
        <v>3</v>
      </c>
      <c r="DI125" t="s">
        <v>3</v>
      </c>
      <c r="DJ125" t="s">
        <v>3</v>
      </c>
      <c r="DK125" t="s">
        <v>3</v>
      </c>
      <c r="DL125" t="s">
        <v>3</v>
      </c>
      <c r="DM125" t="s">
        <v>3</v>
      </c>
      <c r="DN125">
        <v>0</v>
      </c>
      <c r="DO125">
        <v>0</v>
      </c>
      <c r="DP125">
        <v>1</v>
      </c>
      <c r="DQ125">
        <v>1</v>
      </c>
      <c r="DU125">
        <v>1013</v>
      </c>
      <c r="DV125" t="s">
        <v>173</v>
      </c>
      <c r="DW125" t="s">
        <v>173</v>
      </c>
      <c r="DX125">
        <v>1</v>
      </c>
      <c r="DZ125" t="s">
        <v>3</v>
      </c>
      <c r="EA125" t="s">
        <v>3</v>
      </c>
      <c r="EB125" t="s">
        <v>3</v>
      </c>
      <c r="EC125" t="s">
        <v>3</v>
      </c>
      <c r="EE125">
        <v>71753531</v>
      </c>
      <c r="EF125">
        <v>1</v>
      </c>
      <c r="EG125" t="s">
        <v>22</v>
      </c>
      <c r="EH125">
        <v>0</v>
      </c>
      <c r="EI125" t="s">
        <v>3</v>
      </c>
      <c r="EJ125">
        <v>4</v>
      </c>
      <c r="EK125">
        <v>0</v>
      </c>
      <c r="EL125" t="s">
        <v>23</v>
      </c>
      <c r="EM125" t="s">
        <v>24</v>
      </c>
      <c r="EO125" t="s">
        <v>3</v>
      </c>
      <c r="EQ125">
        <v>0</v>
      </c>
      <c r="ER125">
        <v>131.81</v>
      </c>
      <c r="ES125">
        <v>131.81</v>
      </c>
      <c r="ET125">
        <v>0</v>
      </c>
      <c r="EU125">
        <v>0</v>
      </c>
      <c r="EV125">
        <v>0</v>
      </c>
      <c r="EW125">
        <v>0</v>
      </c>
      <c r="EX125">
        <v>0</v>
      </c>
      <c r="FQ125">
        <v>0</v>
      </c>
      <c r="FR125">
        <f t="shared" si="155"/>
        <v>0</v>
      </c>
      <c r="FS125">
        <v>0</v>
      </c>
      <c r="FX125">
        <v>70</v>
      </c>
      <c r="FY125">
        <v>10</v>
      </c>
      <c r="GA125" t="s">
        <v>3</v>
      </c>
      <c r="GD125">
        <v>0</v>
      </c>
      <c r="GF125">
        <v>1263435074</v>
      </c>
      <c r="GG125">
        <v>2</v>
      </c>
      <c r="GH125">
        <v>1</v>
      </c>
      <c r="GI125">
        <v>-2</v>
      </c>
      <c r="GJ125">
        <v>0</v>
      </c>
      <c r="GK125">
        <f>ROUND(R125*(R12)/100,2)</f>
        <v>0</v>
      </c>
      <c r="GL125">
        <f t="shared" si="156"/>
        <v>0</v>
      </c>
      <c r="GM125">
        <f t="shared" si="157"/>
        <v>-2968.93</v>
      </c>
      <c r="GN125">
        <f t="shared" si="158"/>
        <v>0</v>
      </c>
      <c r="GO125">
        <f t="shared" si="159"/>
        <v>0</v>
      </c>
      <c r="GP125">
        <f t="shared" si="160"/>
        <v>-2968.93</v>
      </c>
      <c r="GR125">
        <v>0</v>
      </c>
      <c r="GS125">
        <v>3</v>
      </c>
      <c r="GT125">
        <v>0</v>
      </c>
      <c r="GU125" t="s">
        <v>3</v>
      </c>
      <c r="GV125">
        <f t="shared" si="161"/>
        <v>0</v>
      </c>
      <c r="GW125">
        <v>1</v>
      </c>
      <c r="GX125">
        <f t="shared" si="162"/>
        <v>0</v>
      </c>
      <c r="HA125">
        <v>0</v>
      </c>
      <c r="HB125">
        <v>0</v>
      </c>
      <c r="HC125">
        <f t="shared" si="163"/>
        <v>0</v>
      </c>
      <c r="HE125" t="s">
        <v>3</v>
      </c>
      <c r="HF125" t="s">
        <v>3</v>
      </c>
      <c r="HM125" t="s">
        <v>3</v>
      </c>
      <c r="HN125" t="s">
        <v>3</v>
      </c>
      <c r="HO125" t="s">
        <v>3</v>
      </c>
      <c r="HP125" t="s">
        <v>3</v>
      </c>
      <c r="HQ125" t="s">
        <v>3</v>
      </c>
      <c r="IK125">
        <v>0</v>
      </c>
    </row>
    <row r="126" spans="1:245" x14ac:dyDescent="0.2">
      <c r="A126">
        <v>18</v>
      </c>
      <c r="B126">
        <v>1</v>
      </c>
      <c r="E126" t="s">
        <v>175</v>
      </c>
      <c r="F126" t="s">
        <v>176</v>
      </c>
      <c r="G126" t="s">
        <v>177</v>
      </c>
      <c r="H126" t="s">
        <v>51</v>
      </c>
      <c r="I126">
        <f>I122*J126</f>
        <v>52</v>
      </c>
      <c r="J126">
        <v>102.0408163265306</v>
      </c>
      <c r="K126">
        <v>102.04081600000001</v>
      </c>
      <c r="O126">
        <f t="shared" si="124"/>
        <v>2663.96</v>
      </c>
      <c r="P126">
        <f t="shared" si="125"/>
        <v>2663.96</v>
      </c>
      <c r="Q126">
        <f t="shared" si="126"/>
        <v>0</v>
      </c>
      <c r="R126">
        <f t="shared" si="127"/>
        <v>0</v>
      </c>
      <c r="S126">
        <f t="shared" si="128"/>
        <v>0</v>
      </c>
      <c r="T126">
        <f t="shared" si="129"/>
        <v>0</v>
      </c>
      <c r="U126">
        <f t="shared" si="130"/>
        <v>0</v>
      </c>
      <c r="V126">
        <f t="shared" si="131"/>
        <v>0</v>
      </c>
      <c r="W126">
        <f t="shared" si="132"/>
        <v>0</v>
      </c>
      <c r="X126">
        <f t="shared" si="133"/>
        <v>0</v>
      </c>
      <c r="Y126">
        <f t="shared" si="134"/>
        <v>0</v>
      </c>
      <c r="AA126">
        <v>72192302</v>
      </c>
      <c r="AB126">
        <f t="shared" si="135"/>
        <v>51.23</v>
      </c>
      <c r="AC126">
        <f t="shared" si="136"/>
        <v>51.23</v>
      </c>
      <c r="AD126">
        <f t="shared" si="137"/>
        <v>0</v>
      </c>
      <c r="AE126">
        <f t="shared" si="138"/>
        <v>0</v>
      </c>
      <c r="AF126">
        <f t="shared" si="139"/>
        <v>0</v>
      </c>
      <c r="AG126">
        <f t="shared" si="140"/>
        <v>0</v>
      </c>
      <c r="AH126">
        <f t="shared" si="141"/>
        <v>0</v>
      </c>
      <c r="AI126">
        <f t="shared" si="142"/>
        <v>0</v>
      </c>
      <c r="AJ126">
        <f t="shared" si="143"/>
        <v>0</v>
      </c>
      <c r="AK126">
        <v>51.23</v>
      </c>
      <c r="AL126">
        <v>51.23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70</v>
      </c>
      <c r="AU126">
        <v>10</v>
      </c>
      <c r="AV126">
        <v>1</v>
      </c>
      <c r="AW126">
        <v>1</v>
      </c>
      <c r="AZ126">
        <v>1</v>
      </c>
      <c r="BA126">
        <v>1</v>
      </c>
      <c r="BB126">
        <v>1</v>
      </c>
      <c r="BC126">
        <v>1</v>
      </c>
      <c r="BD126" t="s">
        <v>3</v>
      </c>
      <c r="BE126" t="s">
        <v>3</v>
      </c>
      <c r="BF126" t="s">
        <v>3</v>
      </c>
      <c r="BG126" t="s">
        <v>3</v>
      </c>
      <c r="BH126">
        <v>3</v>
      </c>
      <c r="BI126">
        <v>4</v>
      </c>
      <c r="BJ126" t="s">
        <v>178</v>
      </c>
      <c r="BM126">
        <v>0</v>
      </c>
      <c r="BN126">
        <v>0</v>
      </c>
      <c r="BO126" t="s">
        <v>3</v>
      </c>
      <c r="BP126">
        <v>0</v>
      </c>
      <c r="BQ126">
        <v>1</v>
      </c>
      <c r="BR126">
        <v>0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 t="s">
        <v>3</v>
      </c>
      <c r="BZ126">
        <v>70</v>
      </c>
      <c r="CA126">
        <v>10</v>
      </c>
      <c r="CB126" t="s">
        <v>3</v>
      </c>
      <c r="CE126">
        <v>0</v>
      </c>
      <c r="CF126">
        <v>0</v>
      </c>
      <c r="CG126">
        <v>0</v>
      </c>
      <c r="CM126">
        <v>0</v>
      </c>
      <c r="CN126" t="s">
        <v>3</v>
      </c>
      <c r="CO126">
        <v>0</v>
      </c>
      <c r="CP126">
        <f t="shared" si="144"/>
        <v>2663.96</v>
      </c>
      <c r="CQ126">
        <f t="shared" si="145"/>
        <v>51.23</v>
      </c>
      <c r="CR126">
        <f t="shared" si="146"/>
        <v>0</v>
      </c>
      <c r="CS126">
        <f t="shared" si="147"/>
        <v>0</v>
      </c>
      <c r="CT126">
        <f t="shared" si="148"/>
        <v>0</v>
      </c>
      <c r="CU126">
        <f t="shared" si="149"/>
        <v>0</v>
      </c>
      <c r="CV126">
        <f t="shared" si="150"/>
        <v>0</v>
      </c>
      <c r="CW126">
        <f t="shared" si="151"/>
        <v>0</v>
      </c>
      <c r="CX126">
        <f t="shared" si="152"/>
        <v>0</v>
      </c>
      <c r="CY126">
        <f t="shared" si="153"/>
        <v>0</v>
      </c>
      <c r="CZ126">
        <f t="shared" si="154"/>
        <v>0</v>
      </c>
      <c r="DC126" t="s">
        <v>3</v>
      </c>
      <c r="DD126" t="s">
        <v>3</v>
      </c>
      <c r="DE126" t="s">
        <v>3</v>
      </c>
      <c r="DF126" t="s">
        <v>3</v>
      </c>
      <c r="DG126" t="s">
        <v>3</v>
      </c>
      <c r="DH126" t="s">
        <v>3</v>
      </c>
      <c r="DI126" t="s">
        <v>3</v>
      </c>
      <c r="DJ126" t="s">
        <v>3</v>
      </c>
      <c r="DK126" t="s">
        <v>3</v>
      </c>
      <c r="DL126" t="s">
        <v>3</v>
      </c>
      <c r="DM126" t="s">
        <v>3</v>
      </c>
      <c r="DN126">
        <v>0</v>
      </c>
      <c r="DO126">
        <v>0</v>
      </c>
      <c r="DP126">
        <v>1</v>
      </c>
      <c r="DQ126">
        <v>1</v>
      </c>
      <c r="DU126">
        <v>1010</v>
      </c>
      <c r="DV126" t="s">
        <v>51</v>
      </c>
      <c r="DW126" t="s">
        <v>51</v>
      </c>
      <c r="DX126">
        <v>1</v>
      </c>
      <c r="DZ126" t="s">
        <v>3</v>
      </c>
      <c r="EA126" t="s">
        <v>3</v>
      </c>
      <c r="EB126" t="s">
        <v>3</v>
      </c>
      <c r="EC126" t="s">
        <v>3</v>
      </c>
      <c r="EE126">
        <v>71753531</v>
      </c>
      <c r="EF126">
        <v>1</v>
      </c>
      <c r="EG126" t="s">
        <v>22</v>
      </c>
      <c r="EH126">
        <v>0</v>
      </c>
      <c r="EI126" t="s">
        <v>3</v>
      </c>
      <c r="EJ126">
        <v>4</v>
      </c>
      <c r="EK126">
        <v>0</v>
      </c>
      <c r="EL126" t="s">
        <v>23</v>
      </c>
      <c r="EM126" t="s">
        <v>24</v>
      </c>
      <c r="EO126" t="s">
        <v>3</v>
      </c>
      <c r="EQ126">
        <v>0</v>
      </c>
      <c r="ER126">
        <v>51.23</v>
      </c>
      <c r="ES126">
        <v>51.23</v>
      </c>
      <c r="ET126">
        <v>0</v>
      </c>
      <c r="EU126">
        <v>0</v>
      </c>
      <c r="EV126">
        <v>0</v>
      </c>
      <c r="EW126">
        <v>0</v>
      </c>
      <c r="EX126">
        <v>0</v>
      </c>
      <c r="FQ126">
        <v>0</v>
      </c>
      <c r="FR126">
        <f t="shared" si="155"/>
        <v>0</v>
      </c>
      <c r="FS126">
        <v>0</v>
      </c>
      <c r="FX126">
        <v>70</v>
      </c>
      <c r="FY126">
        <v>10</v>
      </c>
      <c r="GA126" t="s">
        <v>3</v>
      </c>
      <c r="GD126">
        <v>0</v>
      </c>
      <c r="GF126">
        <v>140294319</v>
      </c>
      <c r="GG126">
        <v>2</v>
      </c>
      <c r="GH126">
        <v>1</v>
      </c>
      <c r="GI126">
        <v>-2</v>
      </c>
      <c r="GJ126">
        <v>0</v>
      </c>
      <c r="GK126">
        <f>ROUND(R126*(R12)/100,2)</f>
        <v>0</v>
      </c>
      <c r="GL126">
        <f t="shared" si="156"/>
        <v>0</v>
      </c>
      <c r="GM126">
        <f t="shared" si="157"/>
        <v>2663.96</v>
      </c>
      <c r="GN126">
        <f t="shared" si="158"/>
        <v>0</v>
      </c>
      <c r="GO126">
        <f t="shared" si="159"/>
        <v>0</v>
      </c>
      <c r="GP126">
        <f t="shared" si="160"/>
        <v>2663.96</v>
      </c>
      <c r="GR126">
        <v>0</v>
      </c>
      <c r="GS126">
        <v>3</v>
      </c>
      <c r="GT126">
        <v>0</v>
      </c>
      <c r="GU126" t="s">
        <v>3</v>
      </c>
      <c r="GV126">
        <f t="shared" si="161"/>
        <v>0</v>
      </c>
      <c r="GW126">
        <v>1</v>
      </c>
      <c r="GX126">
        <f t="shared" si="162"/>
        <v>0</v>
      </c>
      <c r="HA126">
        <v>0</v>
      </c>
      <c r="HB126">
        <v>0</v>
      </c>
      <c r="HC126">
        <f t="shared" si="163"/>
        <v>0</v>
      </c>
      <c r="HE126" t="s">
        <v>3</v>
      </c>
      <c r="HF126" t="s">
        <v>3</v>
      </c>
      <c r="HM126" t="s">
        <v>3</v>
      </c>
      <c r="HN126" t="s">
        <v>3</v>
      </c>
      <c r="HO126" t="s">
        <v>3</v>
      </c>
      <c r="HP126" t="s">
        <v>3</v>
      </c>
      <c r="HQ126" t="s">
        <v>3</v>
      </c>
      <c r="IK126">
        <v>0</v>
      </c>
    </row>
    <row r="127" spans="1:245" x14ac:dyDescent="0.2">
      <c r="A127">
        <v>17</v>
      </c>
      <c r="B127">
        <v>1</v>
      </c>
      <c r="D127">
        <f>ROW(EtalonRes!A83)</f>
        <v>83</v>
      </c>
      <c r="E127" t="s">
        <v>179</v>
      </c>
      <c r="F127" t="s">
        <v>180</v>
      </c>
      <c r="G127" t="s">
        <v>181</v>
      </c>
      <c r="H127" t="s">
        <v>33</v>
      </c>
      <c r="I127">
        <v>0.02</v>
      </c>
      <c r="J127">
        <v>0</v>
      </c>
      <c r="K127">
        <v>0.02</v>
      </c>
      <c r="O127">
        <f t="shared" si="124"/>
        <v>8394.06</v>
      </c>
      <c r="P127">
        <f t="shared" si="125"/>
        <v>7860.79</v>
      </c>
      <c r="Q127">
        <f t="shared" si="126"/>
        <v>0.97</v>
      </c>
      <c r="R127">
        <f t="shared" si="127"/>
        <v>0</v>
      </c>
      <c r="S127">
        <f t="shared" si="128"/>
        <v>532.29999999999995</v>
      </c>
      <c r="T127">
        <f t="shared" si="129"/>
        <v>0</v>
      </c>
      <c r="U127">
        <f t="shared" si="130"/>
        <v>1.7306000000000001</v>
      </c>
      <c r="V127">
        <f t="shared" si="131"/>
        <v>0</v>
      </c>
      <c r="W127">
        <f t="shared" si="132"/>
        <v>0</v>
      </c>
      <c r="X127">
        <f t="shared" si="133"/>
        <v>372.61</v>
      </c>
      <c r="Y127">
        <f t="shared" si="134"/>
        <v>53.23</v>
      </c>
      <c r="AA127">
        <v>72192302</v>
      </c>
      <c r="AB127">
        <f t="shared" si="135"/>
        <v>419703.21</v>
      </c>
      <c r="AC127">
        <f t="shared" si="136"/>
        <v>393039.65</v>
      </c>
      <c r="AD127">
        <f t="shared" si="137"/>
        <v>48.4</v>
      </c>
      <c r="AE127">
        <f t="shared" si="138"/>
        <v>0.1</v>
      </c>
      <c r="AF127">
        <f t="shared" si="139"/>
        <v>26615.16</v>
      </c>
      <c r="AG127">
        <f t="shared" si="140"/>
        <v>0</v>
      </c>
      <c r="AH127">
        <f t="shared" si="141"/>
        <v>86.53</v>
      </c>
      <c r="AI127">
        <f t="shared" si="142"/>
        <v>0</v>
      </c>
      <c r="AJ127">
        <f t="shared" si="143"/>
        <v>0</v>
      </c>
      <c r="AK127">
        <v>419703.21</v>
      </c>
      <c r="AL127">
        <v>393039.65</v>
      </c>
      <c r="AM127">
        <v>48.4</v>
      </c>
      <c r="AN127">
        <v>0.1</v>
      </c>
      <c r="AO127">
        <v>26615.16</v>
      </c>
      <c r="AP127">
        <v>0</v>
      </c>
      <c r="AQ127">
        <v>86.53</v>
      </c>
      <c r="AR127">
        <v>0</v>
      </c>
      <c r="AS127">
        <v>0</v>
      </c>
      <c r="AT127">
        <v>70</v>
      </c>
      <c r="AU127">
        <v>10</v>
      </c>
      <c r="AV127">
        <v>1</v>
      </c>
      <c r="AW127">
        <v>1</v>
      </c>
      <c r="AZ127">
        <v>1</v>
      </c>
      <c r="BA127">
        <v>1</v>
      </c>
      <c r="BB127">
        <v>1</v>
      </c>
      <c r="BC127">
        <v>1</v>
      </c>
      <c r="BD127" t="s">
        <v>3</v>
      </c>
      <c r="BE127" t="s">
        <v>3</v>
      </c>
      <c r="BF127" t="s">
        <v>3</v>
      </c>
      <c r="BG127" t="s">
        <v>3</v>
      </c>
      <c r="BH127">
        <v>0</v>
      </c>
      <c r="BI127">
        <v>4</v>
      </c>
      <c r="BJ127" t="s">
        <v>182</v>
      </c>
      <c r="BM127">
        <v>0</v>
      </c>
      <c r="BN127">
        <v>0</v>
      </c>
      <c r="BO127" t="s">
        <v>3</v>
      </c>
      <c r="BP127">
        <v>0</v>
      </c>
      <c r="BQ127">
        <v>1</v>
      </c>
      <c r="BR127">
        <v>0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 t="s">
        <v>3</v>
      </c>
      <c r="BZ127">
        <v>70</v>
      </c>
      <c r="CA127">
        <v>10</v>
      </c>
      <c r="CB127" t="s">
        <v>3</v>
      </c>
      <c r="CE127">
        <v>0</v>
      </c>
      <c r="CF127">
        <v>0</v>
      </c>
      <c r="CG127">
        <v>0</v>
      </c>
      <c r="CM127">
        <v>0</v>
      </c>
      <c r="CN127" t="s">
        <v>3</v>
      </c>
      <c r="CO127">
        <v>0</v>
      </c>
      <c r="CP127">
        <f t="shared" si="144"/>
        <v>8394.06</v>
      </c>
      <c r="CQ127">
        <f t="shared" si="145"/>
        <v>393039.65</v>
      </c>
      <c r="CR127">
        <f t="shared" si="146"/>
        <v>48.4</v>
      </c>
      <c r="CS127">
        <f t="shared" si="147"/>
        <v>0.1</v>
      </c>
      <c r="CT127">
        <f t="shared" si="148"/>
        <v>26615.16</v>
      </c>
      <c r="CU127">
        <f t="shared" si="149"/>
        <v>0</v>
      </c>
      <c r="CV127">
        <f t="shared" si="150"/>
        <v>86.53</v>
      </c>
      <c r="CW127">
        <f t="shared" si="151"/>
        <v>0</v>
      </c>
      <c r="CX127">
        <f t="shared" si="152"/>
        <v>0</v>
      </c>
      <c r="CY127">
        <f t="shared" si="153"/>
        <v>372.61</v>
      </c>
      <c r="CZ127">
        <f t="shared" si="154"/>
        <v>53.23</v>
      </c>
      <c r="DC127" t="s">
        <v>3</v>
      </c>
      <c r="DD127" t="s">
        <v>3</v>
      </c>
      <c r="DE127" t="s">
        <v>3</v>
      </c>
      <c r="DF127" t="s">
        <v>3</v>
      </c>
      <c r="DG127" t="s">
        <v>3</v>
      </c>
      <c r="DH127" t="s">
        <v>3</v>
      </c>
      <c r="DI127" t="s">
        <v>3</v>
      </c>
      <c r="DJ127" t="s">
        <v>3</v>
      </c>
      <c r="DK127" t="s">
        <v>3</v>
      </c>
      <c r="DL127" t="s">
        <v>3</v>
      </c>
      <c r="DM127" t="s">
        <v>3</v>
      </c>
      <c r="DN127">
        <v>0</v>
      </c>
      <c r="DO127">
        <v>0</v>
      </c>
      <c r="DP127">
        <v>1</v>
      </c>
      <c r="DQ127">
        <v>1</v>
      </c>
      <c r="DU127">
        <v>1010</v>
      </c>
      <c r="DV127" t="s">
        <v>33</v>
      </c>
      <c r="DW127" t="s">
        <v>33</v>
      </c>
      <c r="DX127">
        <v>100</v>
      </c>
      <c r="DZ127" t="s">
        <v>3</v>
      </c>
      <c r="EA127" t="s">
        <v>3</v>
      </c>
      <c r="EB127" t="s">
        <v>3</v>
      </c>
      <c r="EC127" t="s">
        <v>3</v>
      </c>
      <c r="EE127">
        <v>71753531</v>
      </c>
      <c r="EF127">
        <v>1</v>
      </c>
      <c r="EG127" t="s">
        <v>22</v>
      </c>
      <c r="EH127">
        <v>0</v>
      </c>
      <c r="EI127" t="s">
        <v>3</v>
      </c>
      <c r="EJ127">
        <v>4</v>
      </c>
      <c r="EK127">
        <v>0</v>
      </c>
      <c r="EL127" t="s">
        <v>23</v>
      </c>
      <c r="EM127" t="s">
        <v>24</v>
      </c>
      <c r="EO127" t="s">
        <v>3</v>
      </c>
      <c r="EQ127">
        <v>0</v>
      </c>
      <c r="ER127">
        <v>419703.21</v>
      </c>
      <c r="ES127">
        <v>393039.65</v>
      </c>
      <c r="ET127">
        <v>48.4</v>
      </c>
      <c r="EU127">
        <v>0.1</v>
      </c>
      <c r="EV127">
        <v>26615.16</v>
      </c>
      <c r="EW127">
        <v>86.53</v>
      </c>
      <c r="EX127">
        <v>0</v>
      </c>
      <c r="EY127">
        <v>0</v>
      </c>
      <c r="FQ127">
        <v>0</v>
      </c>
      <c r="FR127">
        <f t="shared" si="155"/>
        <v>0</v>
      </c>
      <c r="FS127">
        <v>0</v>
      </c>
      <c r="FX127">
        <v>70</v>
      </c>
      <c r="FY127">
        <v>10</v>
      </c>
      <c r="GA127" t="s">
        <v>3</v>
      </c>
      <c r="GD127">
        <v>0</v>
      </c>
      <c r="GF127">
        <v>722541396</v>
      </c>
      <c r="GG127">
        <v>2</v>
      </c>
      <c r="GH127">
        <v>1</v>
      </c>
      <c r="GI127">
        <v>-2</v>
      </c>
      <c r="GJ127">
        <v>0</v>
      </c>
      <c r="GK127">
        <f>ROUND(R127*(R12)/100,2)</f>
        <v>0</v>
      </c>
      <c r="GL127">
        <f t="shared" si="156"/>
        <v>0</v>
      </c>
      <c r="GM127">
        <f t="shared" si="157"/>
        <v>8819.9</v>
      </c>
      <c r="GN127">
        <f t="shared" si="158"/>
        <v>0</v>
      </c>
      <c r="GO127">
        <f t="shared" si="159"/>
        <v>0</v>
      </c>
      <c r="GP127">
        <f t="shared" si="160"/>
        <v>8819.9</v>
      </c>
      <c r="GR127">
        <v>0</v>
      </c>
      <c r="GS127">
        <v>3</v>
      </c>
      <c r="GT127">
        <v>0</v>
      </c>
      <c r="GU127" t="s">
        <v>3</v>
      </c>
      <c r="GV127">
        <f t="shared" si="161"/>
        <v>0</v>
      </c>
      <c r="GW127">
        <v>1</v>
      </c>
      <c r="GX127">
        <f t="shared" si="162"/>
        <v>0</v>
      </c>
      <c r="HA127">
        <v>0</v>
      </c>
      <c r="HB127">
        <v>0</v>
      </c>
      <c r="HC127">
        <f t="shared" si="163"/>
        <v>0</v>
      </c>
      <c r="HE127" t="s">
        <v>3</v>
      </c>
      <c r="HF127" t="s">
        <v>3</v>
      </c>
      <c r="HM127" t="s">
        <v>3</v>
      </c>
      <c r="HN127" t="s">
        <v>3</v>
      </c>
      <c r="HO127" t="s">
        <v>3</v>
      </c>
      <c r="HP127" t="s">
        <v>3</v>
      </c>
      <c r="HQ127" t="s">
        <v>3</v>
      </c>
      <c r="IK127">
        <v>0</v>
      </c>
    </row>
    <row r="128" spans="1:245" x14ac:dyDescent="0.2">
      <c r="A128">
        <v>17</v>
      </c>
      <c r="B128">
        <v>1</v>
      </c>
      <c r="D128">
        <f>ROW(EtalonRes!A86)</f>
        <v>86</v>
      </c>
      <c r="E128" t="s">
        <v>183</v>
      </c>
      <c r="F128" t="s">
        <v>184</v>
      </c>
      <c r="G128" t="s">
        <v>185</v>
      </c>
      <c r="H128" t="s">
        <v>42</v>
      </c>
      <c r="I128">
        <v>2.188E-2</v>
      </c>
      <c r="J128">
        <v>0</v>
      </c>
      <c r="K128">
        <v>2.188E-2</v>
      </c>
      <c r="O128">
        <f t="shared" si="124"/>
        <v>556.05999999999995</v>
      </c>
      <c r="P128">
        <f t="shared" si="125"/>
        <v>65.92</v>
      </c>
      <c r="Q128">
        <f t="shared" si="126"/>
        <v>0</v>
      </c>
      <c r="R128">
        <f t="shared" si="127"/>
        <v>0</v>
      </c>
      <c r="S128">
        <f t="shared" si="128"/>
        <v>490.14</v>
      </c>
      <c r="T128">
        <f t="shared" si="129"/>
        <v>0</v>
      </c>
      <c r="U128">
        <f t="shared" si="130"/>
        <v>1.6254652000000001</v>
      </c>
      <c r="V128">
        <f t="shared" si="131"/>
        <v>0</v>
      </c>
      <c r="W128">
        <f t="shared" si="132"/>
        <v>0</v>
      </c>
      <c r="X128">
        <f t="shared" si="133"/>
        <v>343.1</v>
      </c>
      <c r="Y128">
        <f t="shared" si="134"/>
        <v>49.01</v>
      </c>
      <c r="AA128">
        <v>72192302</v>
      </c>
      <c r="AB128">
        <f t="shared" si="135"/>
        <v>25414.23</v>
      </c>
      <c r="AC128">
        <f t="shared" si="136"/>
        <v>3012.82</v>
      </c>
      <c r="AD128">
        <f t="shared" si="137"/>
        <v>0</v>
      </c>
      <c r="AE128">
        <f t="shared" si="138"/>
        <v>0</v>
      </c>
      <c r="AF128">
        <f t="shared" si="139"/>
        <v>22401.41</v>
      </c>
      <c r="AG128">
        <f t="shared" si="140"/>
        <v>0</v>
      </c>
      <c r="AH128">
        <f t="shared" si="141"/>
        <v>74.290000000000006</v>
      </c>
      <c r="AI128">
        <f t="shared" si="142"/>
        <v>0</v>
      </c>
      <c r="AJ128">
        <f t="shared" si="143"/>
        <v>0</v>
      </c>
      <c r="AK128">
        <v>25414.23</v>
      </c>
      <c r="AL128">
        <v>3012.82</v>
      </c>
      <c r="AM128">
        <v>0</v>
      </c>
      <c r="AN128">
        <v>0</v>
      </c>
      <c r="AO128">
        <v>22401.41</v>
      </c>
      <c r="AP128">
        <v>0</v>
      </c>
      <c r="AQ128">
        <v>74.290000000000006</v>
      </c>
      <c r="AR128">
        <v>0</v>
      </c>
      <c r="AS128">
        <v>0</v>
      </c>
      <c r="AT128">
        <v>70</v>
      </c>
      <c r="AU128">
        <v>10</v>
      </c>
      <c r="AV128">
        <v>1</v>
      </c>
      <c r="AW128">
        <v>1</v>
      </c>
      <c r="AZ128">
        <v>1</v>
      </c>
      <c r="BA128">
        <v>1</v>
      </c>
      <c r="BB128">
        <v>1</v>
      </c>
      <c r="BC128">
        <v>1</v>
      </c>
      <c r="BD128" t="s">
        <v>3</v>
      </c>
      <c r="BE128" t="s">
        <v>3</v>
      </c>
      <c r="BF128" t="s">
        <v>3</v>
      </c>
      <c r="BG128" t="s">
        <v>3</v>
      </c>
      <c r="BH128">
        <v>0</v>
      </c>
      <c r="BI128">
        <v>4</v>
      </c>
      <c r="BJ128" t="s">
        <v>186</v>
      </c>
      <c r="BM128">
        <v>0</v>
      </c>
      <c r="BN128">
        <v>0</v>
      </c>
      <c r="BO128" t="s">
        <v>3</v>
      </c>
      <c r="BP128">
        <v>0</v>
      </c>
      <c r="BQ128">
        <v>1</v>
      </c>
      <c r="BR128">
        <v>0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 t="s">
        <v>3</v>
      </c>
      <c r="BZ128">
        <v>70</v>
      </c>
      <c r="CA128">
        <v>10</v>
      </c>
      <c r="CB128" t="s">
        <v>3</v>
      </c>
      <c r="CE128">
        <v>0</v>
      </c>
      <c r="CF128">
        <v>0</v>
      </c>
      <c r="CG128">
        <v>0</v>
      </c>
      <c r="CM128">
        <v>0</v>
      </c>
      <c r="CN128" t="s">
        <v>3</v>
      </c>
      <c r="CO128">
        <v>0</v>
      </c>
      <c r="CP128">
        <f t="shared" si="144"/>
        <v>556.05999999999995</v>
      </c>
      <c r="CQ128">
        <f t="shared" si="145"/>
        <v>3012.82</v>
      </c>
      <c r="CR128">
        <f t="shared" si="146"/>
        <v>0</v>
      </c>
      <c r="CS128">
        <f t="shared" si="147"/>
        <v>0</v>
      </c>
      <c r="CT128">
        <f t="shared" si="148"/>
        <v>22401.41</v>
      </c>
      <c r="CU128">
        <f t="shared" si="149"/>
        <v>0</v>
      </c>
      <c r="CV128">
        <f t="shared" si="150"/>
        <v>74.290000000000006</v>
      </c>
      <c r="CW128">
        <f t="shared" si="151"/>
        <v>0</v>
      </c>
      <c r="CX128">
        <f t="shared" si="152"/>
        <v>0</v>
      </c>
      <c r="CY128">
        <f t="shared" si="153"/>
        <v>343.09799999999996</v>
      </c>
      <c r="CZ128">
        <f t="shared" si="154"/>
        <v>49.013999999999996</v>
      </c>
      <c r="DC128" t="s">
        <v>3</v>
      </c>
      <c r="DD128" t="s">
        <v>3</v>
      </c>
      <c r="DE128" t="s">
        <v>3</v>
      </c>
      <c r="DF128" t="s">
        <v>3</v>
      </c>
      <c r="DG128" t="s">
        <v>3</v>
      </c>
      <c r="DH128" t="s">
        <v>3</v>
      </c>
      <c r="DI128" t="s">
        <v>3</v>
      </c>
      <c r="DJ128" t="s">
        <v>3</v>
      </c>
      <c r="DK128" t="s">
        <v>3</v>
      </c>
      <c r="DL128" t="s">
        <v>3</v>
      </c>
      <c r="DM128" t="s">
        <v>3</v>
      </c>
      <c r="DN128">
        <v>0</v>
      </c>
      <c r="DO128">
        <v>0</v>
      </c>
      <c r="DP128">
        <v>1</v>
      </c>
      <c r="DQ128">
        <v>1</v>
      </c>
      <c r="DU128">
        <v>1005</v>
      </c>
      <c r="DV128" t="s">
        <v>42</v>
      </c>
      <c r="DW128" t="s">
        <v>42</v>
      </c>
      <c r="DX128">
        <v>100</v>
      </c>
      <c r="DZ128" t="s">
        <v>3</v>
      </c>
      <c r="EA128" t="s">
        <v>3</v>
      </c>
      <c r="EB128" t="s">
        <v>3</v>
      </c>
      <c r="EC128" t="s">
        <v>3</v>
      </c>
      <c r="EE128">
        <v>71753531</v>
      </c>
      <c r="EF128">
        <v>1</v>
      </c>
      <c r="EG128" t="s">
        <v>22</v>
      </c>
      <c r="EH128">
        <v>0</v>
      </c>
      <c r="EI128" t="s">
        <v>3</v>
      </c>
      <c r="EJ128">
        <v>4</v>
      </c>
      <c r="EK128">
        <v>0</v>
      </c>
      <c r="EL128" t="s">
        <v>23</v>
      </c>
      <c r="EM128" t="s">
        <v>24</v>
      </c>
      <c r="EO128" t="s">
        <v>3</v>
      </c>
      <c r="EQ128">
        <v>0</v>
      </c>
      <c r="ER128">
        <v>25414.23</v>
      </c>
      <c r="ES128">
        <v>3012.82</v>
      </c>
      <c r="ET128">
        <v>0</v>
      </c>
      <c r="EU128">
        <v>0</v>
      </c>
      <c r="EV128">
        <v>22401.41</v>
      </c>
      <c r="EW128">
        <v>74.290000000000006</v>
      </c>
      <c r="EX128">
        <v>0</v>
      </c>
      <c r="EY128">
        <v>0</v>
      </c>
      <c r="FQ128">
        <v>0</v>
      </c>
      <c r="FR128">
        <f t="shared" si="155"/>
        <v>0</v>
      </c>
      <c r="FS128">
        <v>0</v>
      </c>
      <c r="FX128">
        <v>70</v>
      </c>
      <c r="FY128">
        <v>10</v>
      </c>
      <c r="GA128" t="s">
        <v>3</v>
      </c>
      <c r="GD128">
        <v>0</v>
      </c>
      <c r="GF128">
        <v>1918166544</v>
      </c>
      <c r="GG128">
        <v>2</v>
      </c>
      <c r="GH128">
        <v>1</v>
      </c>
      <c r="GI128">
        <v>-2</v>
      </c>
      <c r="GJ128">
        <v>0</v>
      </c>
      <c r="GK128">
        <f>ROUND(R128*(R12)/100,2)</f>
        <v>0</v>
      </c>
      <c r="GL128">
        <f t="shared" si="156"/>
        <v>0</v>
      </c>
      <c r="GM128">
        <f t="shared" si="157"/>
        <v>948.17</v>
      </c>
      <c r="GN128">
        <f t="shared" si="158"/>
        <v>0</v>
      </c>
      <c r="GO128">
        <f t="shared" si="159"/>
        <v>0</v>
      </c>
      <c r="GP128">
        <f t="shared" si="160"/>
        <v>948.17</v>
      </c>
      <c r="GR128">
        <v>0</v>
      </c>
      <c r="GS128">
        <v>3</v>
      </c>
      <c r="GT128">
        <v>0</v>
      </c>
      <c r="GU128" t="s">
        <v>3</v>
      </c>
      <c r="GV128">
        <f t="shared" si="161"/>
        <v>0</v>
      </c>
      <c r="GW128">
        <v>1</v>
      </c>
      <c r="GX128">
        <f t="shared" si="162"/>
        <v>0</v>
      </c>
      <c r="HA128">
        <v>0</v>
      </c>
      <c r="HB128">
        <v>0</v>
      </c>
      <c r="HC128">
        <f t="shared" si="163"/>
        <v>0</v>
      </c>
      <c r="HE128" t="s">
        <v>3</v>
      </c>
      <c r="HF128" t="s">
        <v>3</v>
      </c>
      <c r="HM128" t="s">
        <v>3</v>
      </c>
      <c r="HN128" t="s">
        <v>3</v>
      </c>
      <c r="HO128" t="s">
        <v>3</v>
      </c>
      <c r="HP128" t="s">
        <v>3</v>
      </c>
      <c r="HQ128" t="s">
        <v>3</v>
      </c>
      <c r="IK128">
        <v>0</v>
      </c>
    </row>
    <row r="129" spans="1:245" x14ac:dyDescent="0.2">
      <c r="A129">
        <v>17</v>
      </c>
      <c r="B129">
        <v>1</v>
      </c>
      <c r="D129">
        <f>ROW(EtalonRes!A99)</f>
        <v>99</v>
      </c>
      <c r="E129" t="s">
        <v>187</v>
      </c>
      <c r="F129" t="s">
        <v>188</v>
      </c>
      <c r="G129" t="s">
        <v>189</v>
      </c>
      <c r="H129" t="s">
        <v>20</v>
      </c>
      <c r="I129">
        <v>0.54</v>
      </c>
      <c r="J129">
        <v>0</v>
      </c>
      <c r="K129">
        <v>0.54</v>
      </c>
      <c r="O129">
        <f t="shared" si="124"/>
        <v>24700.68</v>
      </c>
      <c r="P129">
        <f t="shared" si="125"/>
        <v>18575.740000000002</v>
      </c>
      <c r="Q129">
        <f t="shared" si="126"/>
        <v>4.24</v>
      </c>
      <c r="R129">
        <f t="shared" si="127"/>
        <v>0.12</v>
      </c>
      <c r="S129">
        <f t="shared" si="128"/>
        <v>6120.7</v>
      </c>
      <c r="T129">
        <f t="shared" si="129"/>
        <v>0</v>
      </c>
      <c r="U129">
        <f t="shared" si="130"/>
        <v>18.446400000000001</v>
      </c>
      <c r="V129">
        <f t="shared" si="131"/>
        <v>0</v>
      </c>
      <c r="W129">
        <f t="shared" si="132"/>
        <v>0</v>
      </c>
      <c r="X129">
        <f t="shared" si="133"/>
        <v>4284.49</v>
      </c>
      <c r="Y129">
        <f t="shared" si="134"/>
        <v>612.07000000000005</v>
      </c>
      <c r="AA129">
        <v>72192302</v>
      </c>
      <c r="AB129">
        <f t="shared" si="135"/>
        <v>45741.99</v>
      </c>
      <c r="AC129">
        <f t="shared" si="136"/>
        <v>34399.51</v>
      </c>
      <c r="AD129">
        <f t="shared" si="137"/>
        <v>7.85</v>
      </c>
      <c r="AE129">
        <f t="shared" si="138"/>
        <v>0.22</v>
      </c>
      <c r="AF129">
        <f t="shared" si="139"/>
        <v>11334.63</v>
      </c>
      <c r="AG129">
        <f t="shared" si="140"/>
        <v>0</v>
      </c>
      <c r="AH129">
        <f t="shared" si="141"/>
        <v>34.159999999999997</v>
      </c>
      <c r="AI129">
        <f t="shared" si="142"/>
        <v>0</v>
      </c>
      <c r="AJ129">
        <f t="shared" si="143"/>
        <v>0</v>
      </c>
      <c r="AK129">
        <v>45741.99</v>
      </c>
      <c r="AL129">
        <v>34399.51</v>
      </c>
      <c r="AM129">
        <v>7.85</v>
      </c>
      <c r="AN129">
        <v>0.22</v>
      </c>
      <c r="AO129">
        <v>11334.63</v>
      </c>
      <c r="AP129">
        <v>0</v>
      </c>
      <c r="AQ129">
        <v>34.159999999999997</v>
      </c>
      <c r="AR129">
        <v>0</v>
      </c>
      <c r="AS129">
        <v>0</v>
      </c>
      <c r="AT129">
        <v>70</v>
      </c>
      <c r="AU129">
        <v>10</v>
      </c>
      <c r="AV129">
        <v>1</v>
      </c>
      <c r="AW129">
        <v>1</v>
      </c>
      <c r="AZ129">
        <v>1</v>
      </c>
      <c r="BA129">
        <v>1</v>
      </c>
      <c r="BB129">
        <v>1</v>
      </c>
      <c r="BC129">
        <v>1</v>
      </c>
      <c r="BD129" t="s">
        <v>3</v>
      </c>
      <c r="BE129" t="s">
        <v>3</v>
      </c>
      <c r="BF129" t="s">
        <v>3</v>
      </c>
      <c r="BG129" t="s">
        <v>3</v>
      </c>
      <c r="BH129">
        <v>0</v>
      </c>
      <c r="BI129">
        <v>4</v>
      </c>
      <c r="BJ129" t="s">
        <v>190</v>
      </c>
      <c r="BM129">
        <v>0</v>
      </c>
      <c r="BN129">
        <v>0</v>
      </c>
      <c r="BO129" t="s">
        <v>3</v>
      </c>
      <c r="BP129">
        <v>0</v>
      </c>
      <c r="BQ129">
        <v>1</v>
      </c>
      <c r="BR129">
        <v>0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 t="s">
        <v>3</v>
      </c>
      <c r="BZ129">
        <v>70</v>
      </c>
      <c r="CA129">
        <v>10</v>
      </c>
      <c r="CB129" t="s">
        <v>3</v>
      </c>
      <c r="CE129">
        <v>0</v>
      </c>
      <c r="CF129">
        <v>0</v>
      </c>
      <c r="CG129">
        <v>0</v>
      </c>
      <c r="CM129">
        <v>0</v>
      </c>
      <c r="CN129" t="s">
        <v>3</v>
      </c>
      <c r="CO129">
        <v>0</v>
      </c>
      <c r="CP129">
        <f t="shared" si="144"/>
        <v>24700.680000000004</v>
      </c>
      <c r="CQ129">
        <f t="shared" si="145"/>
        <v>34399.51</v>
      </c>
      <c r="CR129">
        <f t="shared" si="146"/>
        <v>7.85</v>
      </c>
      <c r="CS129">
        <f t="shared" si="147"/>
        <v>0.22</v>
      </c>
      <c r="CT129">
        <f t="shared" si="148"/>
        <v>11334.63</v>
      </c>
      <c r="CU129">
        <f t="shared" si="149"/>
        <v>0</v>
      </c>
      <c r="CV129">
        <f t="shared" si="150"/>
        <v>34.159999999999997</v>
      </c>
      <c r="CW129">
        <f t="shared" si="151"/>
        <v>0</v>
      </c>
      <c r="CX129">
        <f t="shared" si="152"/>
        <v>0</v>
      </c>
      <c r="CY129">
        <f t="shared" si="153"/>
        <v>4284.49</v>
      </c>
      <c r="CZ129">
        <f t="shared" si="154"/>
        <v>612.07000000000005</v>
      </c>
      <c r="DC129" t="s">
        <v>3</v>
      </c>
      <c r="DD129" t="s">
        <v>3</v>
      </c>
      <c r="DE129" t="s">
        <v>3</v>
      </c>
      <c r="DF129" t="s">
        <v>3</v>
      </c>
      <c r="DG129" t="s">
        <v>3</v>
      </c>
      <c r="DH129" t="s">
        <v>3</v>
      </c>
      <c r="DI129" t="s">
        <v>3</v>
      </c>
      <c r="DJ129" t="s">
        <v>3</v>
      </c>
      <c r="DK129" t="s">
        <v>3</v>
      </c>
      <c r="DL129" t="s">
        <v>3</v>
      </c>
      <c r="DM129" t="s">
        <v>3</v>
      </c>
      <c r="DN129">
        <v>0</v>
      </c>
      <c r="DO129">
        <v>0</v>
      </c>
      <c r="DP129">
        <v>1</v>
      </c>
      <c r="DQ129">
        <v>1</v>
      </c>
      <c r="DU129">
        <v>1003</v>
      </c>
      <c r="DV129" t="s">
        <v>20</v>
      </c>
      <c r="DW129" t="s">
        <v>20</v>
      </c>
      <c r="DX129">
        <v>100</v>
      </c>
      <c r="DZ129" t="s">
        <v>3</v>
      </c>
      <c r="EA129" t="s">
        <v>3</v>
      </c>
      <c r="EB129" t="s">
        <v>3</v>
      </c>
      <c r="EC129" t="s">
        <v>3</v>
      </c>
      <c r="EE129">
        <v>71753531</v>
      </c>
      <c r="EF129">
        <v>1</v>
      </c>
      <c r="EG129" t="s">
        <v>22</v>
      </c>
      <c r="EH129">
        <v>0</v>
      </c>
      <c r="EI129" t="s">
        <v>3</v>
      </c>
      <c r="EJ129">
        <v>4</v>
      </c>
      <c r="EK129">
        <v>0</v>
      </c>
      <c r="EL129" t="s">
        <v>23</v>
      </c>
      <c r="EM129" t="s">
        <v>24</v>
      </c>
      <c r="EO129" t="s">
        <v>3</v>
      </c>
      <c r="EQ129">
        <v>0</v>
      </c>
      <c r="ER129">
        <v>45741.99</v>
      </c>
      <c r="ES129">
        <v>34399.51</v>
      </c>
      <c r="ET129">
        <v>7.85</v>
      </c>
      <c r="EU129">
        <v>0.22</v>
      </c>
      <c r="EV129">
        <v>11334.63</v>
      </c>
      <c r="EW129">
        <v>34.159999999999997</v>
      </c>
      <c r="EX129">
        <v>0</v>
      </c>
      <c r="EY129">
        <v>0</v>
      </c>
      <c r="FQ129">
        <v>0</v>
      </c>
      <c r="FR129">
        <f t="shared" si="155"/>
        <v>0</v>
      </c>
      <c r="FS129">
        <v>0</v>
      </c>
      <c r="FX129">
        <v>70</v>
      </c>
      <c r="FY129">
        <v>10</v>
      </c>
      <c r="GA129" t="s">
        <v>3</v>
      </c>
      <c r="GD129">
        <v>0</v>
      </c>
      <c r="GF129">
        <v>-1364804565</v>
      </c>
      <c r="GG129">
        <v>2</v>
      </c>
      <c r="GH129">
        <v>1</v>
      </c>
      <c r="GI129">
        <v>-2</v>
      </c>
      <c r="GJ129">
        <v>0</v>
      </c>
      <c r="GK129">
        <f>ROUND(R129*(R12)/100,2)</f>
        <v>0.13</v>
      </c>
      <c r="GL129">
        <f t="shared" si="156"/>
        <v>0</v>
      </c>
      <c r="GM129">
        <f t="shared" si="157"/>
        <v>29597.37</v>
      </c>
      <c r="GN129">
        <f t="shared" si="158"/>
        <v>0</v>
      </c>
      <c r="GO129">
        <f t="shared" si="159"/>
        <v>0</v>
      </c>
      <c r="GP129">
        <f t="shared" si="160"/>
        <v>29597.37</v>
      </c>
      <c r="GR129">
        <v>0</v>
      </c>
      <c r="GS129">
        <v>3</v>
      </c>
      <c r="GT129">
        <v>0</v>
      </c>
      <c r="GU129" t="s">
        <v>3</v>
      </c>
      <c r="GV129">
        <f t="shared" si="161"/>
        <v>0</v>
      </c>
      <c r="GW129">
        <v>1</v>
      </c>
      <c r="GX129">
        <f t="shared" si="162"/>
        <v>0</v>
      </c>
      <c r="HA129">
        <v>0</v>
      </c>
      <c r="HB129">
        <v>0</v>
      </c>
      <c r="HC129">
        <f t="shared" si="163"/>
        <v>0</v>
      </c>
      <c r="HE129" t="s">
        <v>3</v>
      </c>
      <c r="HF129" t="s">
        <v>3</v>
      </c>
      <c r="HM129" t="s">
        <v>3</v>
      </c>
      <c r="HN129" t="s">
        <v>3</v>
      </c>
      <c r="HO129" t="s">
        <v>3</v>
      </c>
      <c r="HP129" t="s">
        <v>3</v>
      </c>
      <c r="HQ129" t="s">
        <v>3</v>
      </c>
      <c r="IK129">
        <v>0</v>
      </c>
    </row>
    <row r="130" spans="1:245" x14ac:dyDescent="0.2">
      <c r="A130">
        <v>18</v>
      </c>
      <c r="B130">
        <v>1</v>
      </c>
      <c r="E130" t="s">
        <v>191</v>
      </c>
      <c r="F130" t="s">
        <v>192</v>
      </c>
      <c r="G130" t="s">
        <v>193</v>
      </c>
      <c r="H130" t="s">
        <v>38</v>
      </c>
      <c r="I130">
        <f>I129*J130</f>
        <v>7.2900000000000006E-2</v>
      </c>
      <c r="J130">
        <v>0.13500000000000001</v>
      </c>
      <c r="K130">
        <v>0.13500000000000001</v>
      </c>
      <c r="O130">
        <f t="shared" si="124"/>
        <v>5191.03</v>
      </c>
      <c r="P130">
        <f t="shared" si="125"/>
        <v>5191.03</v>
      </c>
      <c r="Q130">
        <f t="shared" si="126"/>
        <v>0</v>
      </c>
      <c r="R130">
        <f t="shared" si="127"/>
        <v>0</v>
      </c>
      <c r="S130">
        <f t="shared" si="128"/>
        <v>0</v>
      </c>
      <c r="T130">
        <f t="shared" si="129"/>
        <v>0</v>
      </c>
      <c r="U130">
        <f t="shared" si="130"/>
        <v>0</v>
      </c>
      <c r="V130">
        <f t="shared" si="131"/>
        <v>0</v>
      </c>
      <c r="W130">
        <f t="shared" si="132"/>
        <v>0</v>
      </c>
      <c r="X130">
        <f t="shared" si="133"/>
        <v>0</v>
      </c>
      <c r="Y130">
        <f t="shared" si="134"/>
        <v>0</v>
      </c>
      <c r="AA130">
        <v>72192302</v>
      </c>
      <c r="AB130">
        <f t="shared" si="135"/>
        <v>71207.520000000004</v>
      </c>
      <c r="AC130">
        <f t="shared" si="136"/>
        <v>71207.520000000004</v>
      </c>
      <c r="AD130">
        <f t="shared" si="137"/>
        <v>0</v>
      </c>
      <c r="AE130">
        <f t="shared" si="138"/>
        <v>0</v>
      </c>
      <c r="AF130">
        <f t="shared" si="139"/>
        <v>0</v>
      </c>
      <c r="AG130">
        <f t="shared" si="140"/>
        <v>0</v>
      </c>
      <c r="AH130">
        <f t="shared" si="141"/>
        <v>0</v>
      </c>
      <c r="AI130">
        <f t="shared" si="142"/>
        <v>0</v>
      </c>
      <c r="AJ130">
        <f t="shared" si="143"/>
        <v>0</v>
      </c>
      <c r="AK130">
        <v>71207.520000000004</v>
      </c>
      <c r="AL130">
        <v>71207.520000000004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70</v>
      </c>
      <c r="AU130">
        <v>10</v>
      </c>
      <c r="AV130">
        <v>1</v>
      </c>
      <c r="AW130">
        <v>1</v>
      </c>
      <c r="AZ130">
        <v>1</v>
      </c>
      <c r="BA130">
        <v>1</v>
      </c>
      <c r="BB130">
        <v>1</v>
      </c>
      <c r="BC130">
        <v>1</v>
      </c>
      <c r="BD130" t="s">
        <v>3</v>
      </c>
      <c r="BE130" t="s">
        <v>3</v>
      </c>
      <c r="BF130" t="s">
        <v>3</v>
      </c>
      <c r="BG130" t="s">
        <v>3</v>
      </c>
      <c r="BH130">
        <v>3</v>
      </c>
      <c r="BI130">
        <v>4</v>
      </c>
      <c r="BJ130" t="s">
        <v>194</v>
      </c>
      <c r="BM130">
        <v>0</v>
      </c>
      <c r="BN130">
        <v>0</v>
      </c>
      <c r="BO130" t="s">
        <v>3</v>
      </c>
      <c r="BP130">
        <v>0</v>
      </c>
      <c r="BQ130">
        <v>1</v>
      </c>
      <c r="BR130">
        <v>0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 t="s">
        <v>3</v>
      </c>
      <c r="BZ130">
        <v>70</v>
      </c>
      <c r="CA130">
        <v>10</v>
      </c>
      <c r="CB130" t="s">
        <v>3</v>
      </c>
      <c r="CE130">
        <v>0</v>
      </c>
      <c r="CF130">
        <v>0</v>
      </c>
      <c r="CG130">
        <v>0</v>
      </c>
      <c r="CM130">
        <v>0</v>
      </c>
      <c r="CN130" t="s">
        <v>3</v>
      </c>
      <c r="CO130">
        <v>0</v>
      </c>
      <c r="CP130">
        <f t="shared" si="144"/>
        <v>5191.03</v>
      </c>
      <c r="CQ130">
        <f t="shared" si="145"/>
        <v>71207.520000000004</v>
      </c>
      <c r="CR130">
        <f t="shared" si="146"/>
        <v>0</v>
      </c>
      <c r="CS130">
        <f t="shared" si="147"/>
        <v>0</v>
      </c>
      <c r="CT130">
        <f t="shared" si="148"/>
        <v>0</v>
      </c>
      <c r="CU130">
        <f t="shared" si="149"/>
        <v>0</v>
      </c>
      <c r="CV130">
        <f t="shared" si="150"/>
        <v>0</v>
      </c>
      <c r="CW130">
        <f t="shared" si="151"/>
        <v>0</v>
      </c>
      <c r="CX130">
        <f t="shared" si="152"/>
        <v>0</v>
      </c>
      <c r="CY130">
        <f t="shared" si="153"/>
        <v>0</v>
      </c>
      <c r="CZ130">
        <f t="shared" si="154"/>
        <v>0</v>
      </c>
      <c r="DC130" t="s">
        <v>3</v>
      </c>
      <c r="DD130" t="s">
        <v>3</v>
      </c>
      <c r="DE130" t="s">
        <v>3</v>
      </c>
      <c r="DF130" t="s">
        <v>3</v>
      </c>
      <c r="DG130" t="s">
        <v>3</v>
      </c>
      <c r="DH130" t="s">
        <v>3</v>
      </c>
      <c r="DI130" t="s">
        <v>3</v>
      </c>
      <c r="DJ130" t="s">
        <v>3</v>
      </c>
      <c r="DK130" t="s">
        <v>3</v>
      </c>
      <c r="DL130" t="s">
        <v>3</v>
      </c>
      <c r="DM130" t="s">
        <v>3</v>
      </c>
      <c r="DN130">
        <v>0</v>
      </c>
      <c r="DO130">
        <v>0</v>
      </c>
      <c r="DP130">
        <v>1</v>
      </c>
      <c r="DQ130">
        <v>1</v>
      </c>
      <c r="DU130">
        <v>1009</v>
      </c>
      <c r="DV130" t="s">
        <v>38</v>
      </c>
      <c r="DW130" t="s">
        <v>38</v>
      </c>
      <c r="DX130">
        <v>1000</v>
      </c>
      <c r="DZ130" t="s">
        <v>3</v>
      </c>
      <c r="EA130" t="s">
        <v>3</v>
      </c>
      <c r="EB130" t="s">
        <v>3</v>
      </c>
      <c r="EC130" t="s">
        <v>3</v>
      </c>
      <c r="EE130">
        <v>71753531</v>
      </c>
      <c r="EF130">
        <v>1</v>
      </c>
      <c r="EG130" t="s">
        <v>22</v>
      </c>
      <c r="EH130">
        <v>0</v>
      </c>
      <c r="EI130" t="s">
        <v>3</v>
      </c>
      <c r="EJ130">
        <v>4</v>
      </c>
      <c r="EK130">
        <v>0</v>
      </c>
      <c r="EL130" t="s">
        <v>23</v>
      </c>
      <c r="EM130" t="s">
        <v>24</v>
      </c>
      <c r="EO130" t="s">
        <v>3</v>
      </c>
      <c r="EQ130">
        <v>0</v>
      </c>
      <c r="ER130">
        <v>71207.520000000004</v>
      </c>
      <c r="ES130">
        <v>71207.520000000004</v>
      </c>
      <c r="ET130">
        <v>0</v>
      </c>
      <c r="EU130">
        <v>0</v>
      </c>
      <c r="EV130">
        <v>0</v>
      </c>
      <c r="EW130">
        <v>0</v>
      </c>
      <c r="EX130">
        <v>0</v>
      </c>
      <c r="FQ130">
        <v>0</v>
      </c>
      <c r="FR130">
        <f t="shared" si="155"/>
        <v>0</v>
      </c>
      <c r="FS130">
        <v>0</v>
      </c>
      <c r="FX130">
        <v>70</v>
      </c>
      <c r="FY130">
        <v>10</v>
      </c>
      <c r="GA130" t="s">
        <v>3</v>
      </c>
      <c r="GD130">
        <v>0</v>
      </c>
      <c r="GF130">
        <v>1622126655</v>
      </c>
      <c r="GG130">
        <v>2</v>
      </c>
      <c r="GH130">
        <v>1</v>
      </c>
      <c r="GI130">
        <v>-2</v>
      </c>
      <c r="GJ130">
        <v>0</v>
      </c>
      <c r="GK130">
        <f>ROUND(R130*(R12)/100,2)</f>
        <v>0</v>
      </c>
      <c r="GL130">
        <f t="shared" si="156"/>
        <v>0</v>
      </c>
      <c r="GM130">
        <f t="shared" si="157"/>
        <v>5191.03</v>
      </c>
      <c r="GN130">
        <f t="shared" si="158"/>
        <v>0</v>
      </c>
      <c r="GO130">
        <f t="shared" si="159"/>
        <v>0</v>
      </c>
      <c r="GP130">
        <f t="shared" si="160"/>
        <v>5191.03</v>
      </c>
      <c r="GR130">
        <v>0</v>
      </c>
      <c r="GS130">
        <v>3</v>
      </c>
      <c r="GT130">
        <v>0</v>
      </c>
      <c r="GU130" t="s">
        <v>3</v>
      </c>
      <c r="GV130">
        <f t="shared" si="161"/>
        <v>0</v>
      </c>
      <c r="GW130">
        <v>1</v>
      </c>
      <c r="GX130">
        <f t="shared" si="162"/>
        <v>0</v>
      </c>
      <c r="HA130">
        <v>0</v>
      </c>
      <c r="HB130">
        <v>0</v>
      </c>
      <c r="HC130">
        <f t="shared" si="163"/>
        <v>0</v>
      </c>
      <c r="HE130" t="s">
        <v>3</v>
      </c>
      <c r="HF130" t="s">
        <v>3</v>
      </c>
      <c r="HM130" t="s">
        <v>3</v>
      </c>
      <c r="HN130" t="s">
        <v>3</v>
      </c>
      <c r="HO130" t="s">
        <v>3</v>
      </c>
      <c r="HP130" t="s">
        <v>3</v>
      </c>
      <c r="HQ130" t="s">
        <v>3</v>
      </c>
      <c r="IK130">
        <v>0</v>
      </c>
    </row>
    <row r="131" spans="1:245" x14ac:dyDescent="0.2">
      <c r="A131">
        <v>17</v>
      </c>
      <c r="B131">
        <v>1</v>
      </c>
      <c r="D131">
        <f>ROW(EtalonRes!A112)</f>
        <v>112</v>
      </c>
      <c r="E131" t="s">
        <v>195</v>
      </c>
      <c r="F131" t="s">
        <v>196</v>
      </c>
      <c r="G131" t="s">
        <v>197</v>
      </c>
      <c r="H131" t="s">
        <v>20</v>
      </c>
      <c r="I131">
        <v>0.3</v>
      </c>
      <c r="J131">
        <v>0</v>
      </c>
      <c r="K131">
        <v>0.3</v>
      </c>
      <c r="O131">
        <f t="shared" si="124"/>
        <v>15425.9</v>
      </c>
      <c r="P131">
        <f t="shared" si="125"/>
        <v>12023.15</v>
      </c>
      <c r="Q131">
        <f t="shared" si="126"/>
        <v>2.36</v>
      </c>
      <c r="R131">
        <f t="shared" si="127"/>
        <v>7.0000000000000007E-2</v>
      </c>
      <c r="S131">
        <f t="shared" si="128"/>
        <v>3400.39</v>
      </c>
      <c r="T131">
        <f t="shared" si="129"/>
        <v>0</v>
      </c>
      <c r="U131">
        <f t="shared" si="130"/>
        <v>10.247999999999999</v>
      </c>
      <c r="V131">
        <f t="shared" si="131"/>
        <v>0</v>
      </c>
      <c r="W131">
        <f t="shared" si="132"/>
        <v>0</v>
      </c>
      <c r="X131">
        <f t="shared" si="133"/>
        <v>2380.27</v>
      </c>
      <c r="Y131">
        <f t="shared" si="134"/>
        <v>340.04</v>
      </c>
      <c r="AA131">
        <v>72192302</v>
      </c>
      <c r="AB131">
        <f t="shared" si="135"/>
        <v>51419.65</v>
      </c>
      <c r="AC131">
        <f t="shared" si="136"/>
        <v>40077.17</v>
      </c>
      <c r="AD131">
        <f t="shared" si="137"/>
        <v>7.85</v>
      </c>
      <c r="AE131">
        <f t="shared" si="138"/>
        <v>0.22</v>
      </c>
      <c r="AF131">
        <f t="shared" si="139"/>
        <v>11334.63</v>
      </c>
      <c r="AG131">
        <f t="shared" si="140"/>
        <v>0</v>
      </c>
      <c r="AH131">
        <f t="shared" si="141"/>
        <v>34.159999999999997</v>
      </c>
      <c r="AI131">
        <f t="shared" si="142"/>
        <v>0</v>
      </c>
      <c r="AJ131">
        <f t="shared" si="143"/>
        <v>0</v>
      </c>
      <c r="AK131">
        <v>51419.65</v>
      </c>
      <c r="AL131">
        <v>40077.17</v>
      </c>
      <c r="AM131">
        <v>7.85</v>
      </c>
      <c r="AN131">
        <v>0.22</v>
      </c>
      <c r="AO131">
        <v>11334.63</v>
      </c>
      <c r="AP131">
        <v>0</v>
      </c>
      <c r="AQ131">
        <v>34.159999999999997</v>
      </c>
      <c r="AR131">
        <v>0</v>
      </c>
      <c r="AS131">
        <v>0</v>
      </c>
      <c r="AT131">
        <v>70</v>
      </c>
      <c r="AU131">
        <v>10</v>
      </c>
      <c r="AV131">
        <v>1</v>
      </c>
      <c r="AW131">
        <v>1</v>
      </c>
      <c r="AZ131">
        <v>1</v>
      </c>
      <c r="BA131">
        <v>1</v>
      </c>
      <c r="BB131">
        <v>1</v>
      </c>
      <c r="BC131">
        <v>1</v>
      </c>
      <c r="BD131" t="s">
        <v>3</v>
      </c>
      <c r="BE131" t="s">
        <v>3</v>
      </c>
      <c r="BF131" t="s">
        <v>3</v>
      </c>
      <c r="BG131" t="s">
        <v>3</v>
      </c>
      <c r="BH131">
        <v>0</v>
      </c>
      <c r="BI131">
        <v>4</v>
      </c>
      <c r="BJ131" t="s">
        <v>198</v>
      </c>
      <c r="BM131">
        <v>0</v>
      </c>
      <c r="BN131">
        <v>0</v>
      </c>
      <c r="BO131" t="s">
        <v>3</v>
      </c>
      <c r="BP131">
        <v>0</v>
      </c>
      <c r="BQ131">
        <v>1</v>
      </c>
      <c r="BR131">
        <v>0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 t="s">
        <v>3</v>
      </c>
      <c r="BZ131">
        <v>70</v>
      </c>
      <c r="CA131">
        <v>10</v>
      </c>
      <c r="CB131" t="s">
        <v>3</v>
      </c>
      <c r="CE131">
        <v>0</v>
      </c>
      <c r="CF131">
        <v>0</v>
      </c>
      <c r="CG131">
        <v>0</v>
      </c>
      <c r="CM131">
        <v>0</v>
      </c>
      <c r="CN131" t="s">
        <v>3</v>
      </c>
      <c r="CO131">
        <v>0</v>
      </c>
      <c r="CP131">
        <f t="shared" si="144"/>
        <v>15425.9</v>
      </c>
      <c r="CQ131">
        <f t="shared" si="145"/>
        <v>40077.17</v>
      </c>
      <c r="CR131">
        <f t="shared" si="146"/>
        <v>7.85</v>
      </c>
      <c r="CS131">
        <f t="shared" si="147"/>
        <v>0.22</v>
      </c>
      <c r="CT131">
        <f t="shared" si="148"/>
        <v>11334.63</v>
      </c>
      <c r="CU131">
        <f t="shared" si="149"/>
        <v>0</v>
      </c>
      <c r="CV131">
        <f t="shared" si="150"/>
        <v>34.159999999999997</v>
      </c>
      <c r="CW131">
        <f t="shared" si="151"/>
        <v>0</v>
      </c>
      <c r="CX131">
        <f t="shared" si="152"/>
        <v>0</v>
      </c>
      <c r="CY131">
        <f t="shared" si="153"/>
        <v>2380.2729999999997</v>
      </c>
      <c r="CZ131">
        <f t="shared" si="154"/>
        <v>340.03899999999999</v>
      </c>
      <c r="DC131" t="s">
        <v>3</v>
      </c>
      <c r="DD131" t="s">
        <v>3</v>
      </c>
      <c r="DE131" t="s">
        <v>3</v>
      </c>
      <c r="DF131" t="s">
        <v>3</v>
      </c>
      <c r="DG131" t="s">
        <v>3</v>
      </c>
      <c r="DH131" t="s">
        <v>3</v>
      </c>
      <c r="DI131" t="s">
        <v>3</v>
      </c>
      <c r="DJ131" t="s">
        <v>3</v>
      </c>
      <c r="DK131" t="s">
        <v>3</v>
      </c>
      <c r="DL131" t="s">
        <v>3</v>
      </c>
      <c r="DM131" t="s">
        <v>3</v>
      </c>
      <c r="DN131">
        <v>0</v>
      </c>
      <c r="DO131">
        <v>0</v>
      </c>
      <c r="DP131">
        <v>1</v>
      </c>
      <c r="DQ131">
        <v>1</v>
      </c>
      <c r="DU131">
        <v>1003</v>
      </c>
      <c r="DV131" t="s">
        <v>20</v>
      </c>
      <c r="DW131" t="s">
        <v>20</v>
      </c>
      <c r="DX131">
        <v>100</v>
      </c>
      <c r="DZ131" t="s">
        <v>3</v>
      </c>
      <c r="EA131" t="s">
        <v>3</v>
      </c>
      <c r="EB131" t="s">
        <v>3</v>
      </c>
      <c r="EC131" t="s">
        <v>3</v>
      </c>
      <c r="EE131">
        <v>71753531</v>
      </c>
      <c r="EF131">
        <v>1</v>
      </c>
      <c r="EG131" t="s">
        <v>22</v>
      </c>
      <c r="EH131">
        <v>0</v>
      </c>
      <c r="EI131" t="s">
        <v>3</v>
      </c>
      <c r="EJ131">
        <v>4</v>
      </c>
      <c r="EK131">
        <v>0</v>
      </c>
      <c r="EL131" t="s">
        <v>23</v>
      </c>
      <c r="EM131" t="s">
        <v>24</v>
      </c>
      <c r="EO131" t="s">
        <v>3</v>
      </c>
      <c r="EQ131">
        <v>0</v>
      </c>
      <c r="ER131">
        <v>51419.65</v>
      </c>
      <c r="ES131">
        <v>40077.17</v>
      </c>
      <c r="ET131">
        <v>7.85</v>
      </c>
      <c r="EU131">
        <v>0.22</v>
      </c>
      <c r="EV131">
        <v>11334.63</v>
      </c>
      <c r="EW131">
        <v>34.159999999999997</v>
      </c>
      <c r="EX131">
        <v>0</v>
      </c>
      <c r="EY131">
        <v>0</v>
      </c>
      <c r="FQ131">
        <v>0</v>
      </c>
      <c r="FR131">
        <f t="shared" si="155"/>
        <v>0</v>
      </c>
      <c r="FS131">
        <v>0</v>
      </c>
      <c r="FX131">
        <v>70</v>
      </c>
      <c r="FY131">
        <v>10</v>
      </c>
      <c r="GA131" t="s">
        <v>3</v>
      </c>
      <c r="GD131">
        <v>0</v>
      </c>
      <c r="GF131">
        <v>2044525755</v>
      </c>
      <c r="GG131">
        <v>2</v>
      </c>
      <c r="GH131">
        <v>1</v>
      </c>
      <c r="GI131">
        <v>-2</v>
      </c>
      <c r="GJ131">
        <v>0</v>
      </c>
      <c r="GK131">
        <f>ROUND(R131*(R12)/100,2)</f>
        <v>0.08</v>
      </c>
      <c r="GL131">
        <f t="shared" si="156"/>
        <v>0</v>
      </c>
      <c r="GM131">
        <f t="shared" si="157"/>
        <v>18146.29</v>
      </c>
      <c r="GN131">
        <f t="shared" si="158"/>
        <v>0</v>
      </c>
      <c r="GO131">
        <f t="shared" si="159"/>
        <v>0</v>
      </c>
      <c r="GP131">
        <f t="shared" si="160"/>
        <v>18146.29</v>
      </c>
      <c r="GR131">
        <v>0</v>
      </c>
      <c r="GS131">
        <v>3</v>
      </c>
      <c r="GT131">
        <v>0</v>
      </c>
      <c r="GU131" t="s">
        <v>3</v>
      </c>
      <c r="GV131">
        <f t="shared" si="161"/>
        <v>0</v>
      </c>
      <c r="GW131">
        <v>1</v>
      </c>
      <c r="GX131">
        <f t="shared" si="162"/>
        <v>0</v>
      </c>
      <c r="HA131">
        <v>0</v>
      </c>
      <c r="HB131">
        <v>0</v>
      </c>
      <c r="HC131">
        <f t="shared" si="163"/>
        <v>0</v>
      </c>
      <c r="HE131" t="s">
        <v>3</v>
      </c>
      <c r="HF131" t="s">
        <v>3</v>
      </c>
      <c r="HM131" t="s">
        <v>3</v>
      </c>
      <c r="HN131" t="s">
        <v>3</v>
      </c>
      <c r="HO131" t="s">
        <v>3</v>
      </c>
      <c r="HP131" t="s">
        <v>3</v>
      </c>
      <c r="HQ131" t="s">
        <v>3</v>
      </c>
      <c r="IK131">
        <v>0</v>
      </c>
    </row>
    <row r="132" spans="1:245" x14ac:dyDescent="0.2">
      <c r="A132">
        <v>18</v>
      </c>
      <c r="B132">
        <v>1</v>
      </c>
      <c r="E132" t="s">
        <v>199</v>
      </c>
      <c r="F132" t="s">
        <v>192</v>
      </c>
      <c r="G132" t="s">
        <v>193</v>
      </c>
      <c r="H132" t="s">
        <v>38</v>
      </c>
      <c r="I132">
        <f>I131*J132</f>
        <v>4.0500000000000001E-2</v>
      </c>
      <c r="J132">
        <v>0.13500000000000001</v>
      </c>
      <c r="K132">
        <v>0.13500000000000001</v>
      </c>
      <c r="O132">
        <f t="shared" si="124"/>
        <v>2883.9</v>
      </c>
      <c r="P132">
        <f t="shared" si="125"/>
        <v>2883.9</v>
      </c>
      <c r="Q132">
        <f t="shared" si="126"/>
        <v>0</v>
      </c>
      <c r="R132">
        <f t="shared" si="127"/>
        <v>0</v>
      </c>
      <c r="S132">
        <f t="shared" si="128"/>
        <v>0</v>
      </c>
      <c r="T132">
        <f t="shared" si="129"/>
        <v>0</v>
      </c>
      <c r="U132">
        <f t="shared" si="130"/>
        <v>0</v>
      </c>
      <c r="V132">
        <f t="shared" si="131"/>
        <v>0</v>
      </c>
      <c r="W132">
        <f t="shared" si="132"/>
        <v>0</v>
      </c>
      <c r="X132">
        <f t="shared" si="133"/>
        <v>0</v>
      </c>
      <c r="Y132">
        <f t="shared" si="134"/>
        <v>0</v>
      </c>
      <c r="AA132">
        <v>72192302</v>
      </c>
      <c r="AB132">
        <f t="shared" si="135"/>
        <v>71207.520000000004</v>
      </c>
      <c r="AC132">
        <f t="shared" si="136"/>
        <v>71207.520000000004</v>
      </c>
      <c r="AD132">
        <f t="shared" si="137"/>
        <v>0</v>
      </c>
      <c r="AE132">
        <f t="shared" si="138"/>
        <v>0</v>
      </c>
      <c r="AF132">
        <f t="shared" si="139"/>
        <v>0</v>
      </c>
      <c r="AG132">
        <f t="shared" si="140"/>
        <v>0</v>
      </c>
      <c r="AH132">
        <f t="shared" si="141"/>
        <v>0</v>
      </c>
      <c r="AI132">
        <f t="shared" si="142"/>
        <v>0</v>
      </c>
      <c r="AJ132">
        <f t="shared" si="143"/>
        <v>0</v>
      </c>
      <c r="AK132">
        <v>71207.520000000004</v>
      </c>
      <c r="AL132">
        <v>71207.520000000004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70</v>
      </c>
      <c r="AU132">
        <v>10</v>
      </c>
      <c r="AV132">
        <v>1</v>
      </c>
      <c r="AW132">
        <v>1</v>
      </c>
      <c r="AZ132">
        <v>1</v>
      </c>
      <c r="BA132">
        <v>1</v>
      </c>
      <c r="BB132">
        <v>1</v>
      </c>
      <c r="BC132">
        <v>1</v>
      </c>
      <c r="BD132" t="s">
        <v>3</v>
      </c>
      <c r="BE132" t="s">
        <v>3</v>
      </c>
      <c r="BF132" t="s">
        <v>3</v>
      </c>
      <c r="BG132" t="s">
        <v>3</v>
      </c>
      <c r="BH132">
        <v>3</v>
      </c>
      <c r="BI132">
        <v>4</v>
      </c>
      <c r="BJ132" t="s">
        <v>194</v>
      </c>
      <c r="BM132">
        <v>0</v>
      </c>
      <c r="BN132">
        <v>0</v>
      </c>
      <c r="BO132" t="s">
        <v>3</v>
      </c>
      <c r="BP132">
        <v>0</v>
      </c>
      <c r="BQ132">
        <v>1</v>
      </c>
      <c r="BR132">
        <v>0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 t="s">
        <v>3</v>
      </c>
      <c r="BZ132">
        <v>70</v>
      </c>
      <c r="CA132">
        <v>10</v>
      </c>
      <c r="CB132" t="s">
        <v>3</v>
      </c>
      <c r="CE132">
        <v>0</v>
      </c>
      <c r="CF132">
        <v>0</v>
      </c>
      <c r="CG132">
        <v>0</v>
      </c>
      <c r="CM132">
        <v>0</v>
      </c>
      <c r="CN132" t="s">
        <v>3</v>
      </c>
      <c r="CO132">
        <v>0</v>
      </c>
      <c r="CP132">
        <f t="shared" si="144"/>
        <v>2883.9</v>
      </c>
      <c r="CQ132">
        <f t="shared" si="145"/>
        <v>71207.520000000004</v>
      </c>
      <c r="CR132">
        <f t="shared" si="146"/>
        <v>0</v>
      </c>
      <c r="CS132">
        <f t="shared" si="147"/>
        <v>0</v>
      </c>
      <c r="CT132">
        <f t="shared" si="148"/>
        <v>0</v>
      </c>
      <c r="CU132">
        <f t="shared" si="149"/>
        <v>0</v>
      </c>
      <c r="CV132">
        <f t="shared" si="150"/>
        <v>0</v>
      </c>
      <c r="CW132">
        <f t="shared" si="151"/>
        <v>0</v>
      </c>
      <c r="CX132">
        <f t="shared" si="152"/>
        <v>0</v>
      </c>
      <c r="CY132">
        <f t="shared" si="153"/>
        <v>0</v>
      </c>
      <c r="CZ132">
        <f t="shared" si="154"/>
        <v>0</v>
      </c>
      <c r="DC132" t="s">
        <v>3</v>
      </c>
      <c r="DD132" t="s">
        <v>3</v>
      </c>
      <c r="DE132" t="s">
        <v>3</v>
      </c>
      <c r="DF132" t="s">
        <v>3</v>
      </c>
      <c r="DG132" t="s">
        <v>3</v>
      </c>
      <c r="DH132" t="s">
        <v>3</v>
      </c>
      <c r="DI132" t="s">
        <v>3</v>
      </c>
      <c r="DJ132" t="s">
        <v>3</v>
      </c>
      <c r="DK132" t="s">
        <v>3</v>
      </c>
      <c r="DL132" t="s">
        <v>3</v>
      </c>
      <c r="DM132" t="s">
        <v>3</v>
      </c>
      <c r="DN132">
        <v>0</v>
      </c>
      <c r="DO132">
        <v>0</v>
      </c>
      <c r="DP132">
        <v>1</v>
      </c>
      <c r="DQ132">
        <v>1</v>
      </c>
      <c r="DU132">
        <v>1009</v>
      </c>
      <c r="DV132" t="s">
        <v>38</v>
      </c>
      <c r="DW132" t="s">
        <v>38</v>
      </c>
      <c r="DX132">
        <v>1000</v>
      </c>
      <c r="DZ132" t="s">
        <v>3</v>
      </c>
      <c r="EA132" t="s">
        <v>3</v>
      </c>
      <c r="EB132" t="s">
        <v>3</v>
      </c>
      <c r="EC132" t="s">
        <v>3</v>
      </c>
      <c r="EE132">
        <v>71753531</v>
      </c>
      <c r="EF132">
        <v>1</v>
      </c>
      <c r="EG132" t="s">
        <v>22</v>
      </c>
      <c r="EH132">
        <v>0</v>
      </c>
      <c r="EI132" t="s">
        <v>3</v>
      </c>
      <c r="EJ132">
        <v>4</v>
      </c>
      <c r="EK132">
        <v>0</v>
      </c>
      <c r="EL132" t="s">
        <v>23</v>
      </c>
      <c r="EM132" t="s">
        <v>24</v>
      </c>
      <c r="EO132" t="s">
        <v>3</v>
      </c>
      <c r="EQ132">
        <v>0</v>
      </c>
      <c r="ER132">
        <v>71207.520000000004</v>
      </c>
      <c r="ES132">
        <v>71207.520000000004</v>
      </c>
      <c r="ET132">
        <v>0</v>
      </c>
      <c r="EU132">
        <v>0</v>
      </c>
      <c r="EV132">
        <v>0</v>
      </c>
      <c r="EW132">
        <v>0</v>
      </c>
      <c r="EX132">
        <v>0</v>
      </c>
      <c r="FQ132">
        <v>0</v>
      </c>
      <c r="FR132">
        <f t="shared" si="155"/>
        <v>0</v>
      </c>
      <c r="FS132">
        <v>0</v>
      </c>
      <c r="FX132">
        <v>70</v>
      </c>
      <c r="FY132">
        <v>10</v>
      </c>
      <c r="GA132" t="s">
        <v>3</v>
      </c>
      <c r="GD132">
        <v>0</v>
      </c>
      <c r="GF132">
        <v>1622126655</v>
      </c>
      <c r="GG132">
        <v>2</v>
      </c>
      <c r="GH132">
        <v>1</v>
      </c>
      <c r="GI132">
        <v>-2</v>
      </c>
      <c r="GJ132">
        <v>0</v>
      </c>
      <c r="GK132">
        <f>ROUND(R132*(R12)/100,2)</f>
        <v>0</v>
      </c>
      <c r="GL132">
        <f t="shared" si="156"/>
        <v>0</v>
      </c>
      <c r="GM132">
        <f t="shared" si="157"/>
        <v>2883.9</v>
      </c>
      <c r="GN132">
        <f t="shared" si="158"/>
        <v>0</v>
      </c>
      <c r="GO132">
        <f t="shared" si="159"/>
        <v>0</v>
      </c>
      <c r="GP132">
        <f t="shared" si="160"/>
        <v>2883.9</v>
      </c>
      <c r="GR132">
        <v>0</v>
      </c>
      <c r="GS132">
        <v>3</v>
      </c>
      <c r="GT132">
        <v>0</v>
      </c>
      <c r="GU132" t="s">
        <v>3</v>
      </c>
      <c r="GV132">
        <f t="shared" si="161"/>
        <v>0</v>
      </c>
      <c r="GW132">
        <v>1</v>
      </c>
      <c r="GX132">
        <f t="shared" si="162"/>
        <v>0</v>
      </c>
      <c r="HA132">
        <v>0</v>
      </c>
      <c r="HB132">
        <v>0</v>
      </c>
      <c r="HC132">
        <f t="shared" si="163"/>
        <v>0</v>
      </c>
      <c r="HE132" t="s">
        <v>3</v>
      </c>
      <c r="HF132" t="s">
        <v>3</v>
      </c>
      <c r="HM132" t="s">
        <v>3</v>
      </c>
      <c r="HN132" t="s">
        <v>3</v>
      </c>
      <c r="HO132" t="s">
        <v>3</v>
      </c>
      <c r="HP132" t="s">
        <v>3</v>
      </c>
      <c r="HQ132" t="s">
        <v>3</v>
      </c>
      <c r="IK132">
        <v>0</v>
      </c>
    </row>
    <row r="133" spans="1:245" x14ac:dyDescent="0.2">
      <c r="A133">
        <v>17</v>
      </c>
      <c r="B133">
        <v>1</v>
      </c>
      <c r="D133">
        <f>ROW(EtalonRes!A114)</f>
        <v>114</v>
      </c>
      <c r="E133" t="s">
        <v>200</v>
      </c>
      <c r="F133" t="s">
        <v>201</v>
      </c>
      <c r="G133" t="s">
        <v>202</v>
      </c>
      <c r="H133" t="s">
        <v>20</v>
      </c>
      <c r="I133">
        <v>0.84</v>
      </c>
      <c r="J133">
        <v>0</v>
      </c>
      <c r="K133">
        <v>0.84</v>
      </c>
      <c r="O133">
        <f t="shared" si="124"/>
        <v>3623.21</v>
      </c>
      <c r="P133">
        <f t="shared" si="125"/>
        <v>35.65</v>
      </c>
      <c r="Q133">
        <f t="shared" si="126"/>
        <v>0</v>
      </c>
      <c r="R133">
        <f t="shared" si="127"/>
        <v>0</v>
      </c>
      <c r="S133">
        <f t="shared" si="128"/>
        <v>3587.56</v>
      </c>
      <c r="T133">
        <f t="shared" si="129"/>
        <v>0</v>
      </c>
      <c r="U133">
        <f t="shared" si="130"/>
        <v>8.9375999999999998</v>
      </c>
      <c r="V133">
        <f t="shared" si="131"/>
        <v>0</v>
      </c>
      <c r="W133">
        <f t="shared" si="132"/>
        <v>0</v>
      </c>
      <c r="X133">
        <f t="shared" si="133"/>
        <v>2511.29</v>
      </c>
      <c r="Y133">
        <f t="shared" si="134"/>
        <v>358.76</v>
      </c>
      <c r="AA133">
        <v>72192302</v>
      </c>
      <c r="AB133">
        <f t="shared" si="135"/>
        <v>4313.34</v>
      </c>
      <c r="AC133">
        <f t="shared" si="136"/>
        <v>42.44</v>
      </c>
      <c r="AD133">
        <f t="shared" si="137"/>
        <v>0</v>
      </c>
      <c r="AE133">
        <f t="shared" si="138"/>
        <v>0</v>
      </c>
      <c r="AF133">
        <f t="shared" si="139"/>
        <v>4270.8999999999996</v>
      </c>
      <c r="AG133">
        <f t="shared" si="140"/>
        <v>0</v>
      </c>
      <c r="AH133">
        <f t="shared" si="141"/>
        <v>10.64</v>
      </c>
      <c r="AI133">
        <f t="shared" si="142"/>
        <v>0</v>
      </c>
      <c r="AJ133">
        <f t="shared" si="143"/>
        <v>0</v>
      </c>
      <c r="AK133">
        <v>4313.34</v>
      </c>
      <c r="AL133">
        <v>42.44</v>
      </c>
      <c r="AM133">
        <v>0</v>
      </c>
      <c r="AN133">
        <v>0</v>
      </c>
      <c r="AO133">
        <v>4270.8999999999996</v>
      </c>
      <c r="AP133">
        <v>0</v>
      </c>
      <c r="AQ133">
        <v>10.64</v>
      </c>
      <c r="AR133">
        <v>0</v>
      </c>
      <c r="AS133">
        <v>0</v>
      </c>
      <c r="AT133">
        <v>70</v>
      </c>
      <c r="AU133">
        <v>10</v>
      </c>
      <c r="AV133">
        <v>1</v>
      </c>
      <c r="AW133">
        <v>1</v>
      </c>
      <c r="AZ133">
        <v>1</v>
      </c>
      <c r="BA133">
        <v>1</v>
      </c>
      <c r="BB133">
        <v>1</v>
      </c>
      <c r="BC133">
        <v>1</v>
      </c>
      <c r="BD133" t="s">
        <v>3</v>
      </c>
      <c r="BE133" t="s">
        <v>3</v>
      </c>
      <c r="BF133" t="s">
        <v>3</v>
      </c>
      <c r="BG133" t="s">
        <v>3</v>
      </c>
      <c r="BH133">
        <v>0</v>
      </c>
      <c r="BI133">
        <v>4</v>
      </c>
      <c r="BJ133" t="s">
        <v>203</v>
      </c>
      <c r="BM133">
        <v>0</v>
      </c>
      <c r="BN133">
        <v>0</v>
      </c>
      <c r="BO133" t="s">
        <v>3</v>
      </c>
      <c r="BP133">
        <v>0</v>
      </c>
      <c r="BQ133">
        <v>1</v>
      </c>
      <c r="BR133">
        <v>0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 t="s">
        <v>3</v>
      </c>
      <c r="BZ133">
        <v>70</v>
      </c>
      <c r="CA133">
        <v>10</v>
      </c>
      <c r="CB133" t="s">
        <v>3</v>
      </c>
      <c r="CE133">
        <v>0</v>
      </c>
      <c r="CF133">
        <v>0</v>
      </c>
      <c r="CG133">
        <v>0</v>
      </c>
      <c r="CM133">
        <v>0</v>
      </c>
      <c r="CN133" t="s">
        <v>3</v>
      </c>
      <c r="CO133">
        <v>0</v>
      </c>
      <c r="CP133">
        <f t="shared" si="144"/>
        <v>3623.21</v>
      </c>
      <c r="CQ133">
        <f t="shared" si="145"/>
        <v>42.44</v>
      </c>
      <c r="CR133">
        <f t="shared" si="146"/>
        <v>0</v>
      </c>
      <c r="CS133">
        <f t="shared" si="147"/>
        <v>0</v>
      </c>
      <c r="CT133">
        <f t="shared" si="148"/>
        <v>4270.8999999999996</v>
      </c>
      <c r="CU133">
        <f t="shared" si="149"/>
        <v>0</v>
      </c>
      <c r="CV133">
        <f t="shared" si="150"/>
        <v>10.64</v>
      </c>
      <c r="CW133">
        <f t="shared" si="151"/>
        <v>0</v>
      </c>
      <c r="CX133">
        <f t="shared" si="152"/>
        <v>0</v>
      </c>
      <c r="CY133">
        <f t="shared" si="153"/>
        <v>2511.2919999999999</v>
      </c>
      <c r="CZ133">
        <f t="shared" si="154"/>
        <v>358.75599999999997</v>
      </c>
      <c r="DC133" t="s">
        <v>3</v>
      </c>
      <c r="DD133" t="s">
        <v>3</v>
      </c>
      <c r="DE133" t="s">
        <v>3</v>
      </c>
      <c r="DF133" t="s">
        <v>3</v>
      </c>
      <c r="DG133" t="s">
        <v>3</v>
      </c>
      <c r="DH133" t="s">
        <v>3</v>
      </c>
      <c r="DI133" t="s">
        <v>3</v>
      </c>
      <c r="DJ133" t="s">
        <v>3</v>
      </c>
      <c r="DK133" t="s">
        <v>3</v>
      </c>
      <c r="DL133" t="s">
        <v>3</v>
      </c>
      <c r="DM133" t="s">
        <v>3</v>
      </c>
      <c r="DN133">
        <v>0</v>
      </c>
      <c r="DO133">
        <v>0</v>
      </c>
      <c r="DP133">
        <v>1</v>
      </c>
      <c r="DQ133">
        <v>1</v>
      </c>
      <c r="DU133">
        <v>1003</v>
      </c>
      <c r="DV133" t="s">
        <v>20</v>
      </c>
      <c r="DW133" t="s">
        <v>20</v>
      </c>
      <c r="DX133">
        <v>100</v>
      </c>
      <c r="DZ133" t="s">
        <v>3</v>
      </c>
      <c r="EA133" t="s">
        <v>3</v>
      </c>
      <c r="EB133" t="s">
        <v>3</v>
      </c>
      <c r="EC133" t="s">
        <v>3</v>
      </c>
      <c r="EE133">
        <v>71753531</v>
      </c>
      <c r="EF133">
        <v>1</v>
      </c>
      <c r="EG133" t="s">
        <v>22</v>
      </c>
      <c r="EH133">
        <v>0</v>
      </c>
      <c r="EI133" t="s">
        <v>3</v>
      </c>
      <c r="EJ133">
        <v>4</v>
      </c>
      <c r="EK133">
        <v>0</v>
      </c>
      <c r="EL133" t="s">
        <v>23</v>
      </c>
      <c r="EM133" t="s">
        <v>24</v>
      </c>
      <c r="EO133" t="s">
        <v>3</v>
      </c>
      <c r="EQ133">
        <v>0</v>
      </c>
      <c r="ER133">
        <v>4313.34</v>
      </c>
      <c r="ES133">
        <v>42.44</v>
      </c>
      <c r="ET133">
        <v>0</v>
      </c>
      <c r="EU133">
        <v>0</v>
      </c>
      <c r="EV133">
        <v>4270.8999999999996</v>
      </c>
      <c r="EW133">
        <v>10.64</v>
      </c>
      <c r="EX133">
        <v>0</v>
      </c>
      <c r="EY133">
        <v>0</v>
      </c>
      <c r="FQ133">
        <v>0</v>
      </c>
      <c r="FR133">
        <f t="shared" si="155"/>
        <v>0</v>
      </c>
      <c r="FS133">
        <v>0</v>
      </c>
      <c r="FX133">
        <v>70</v>
      </c>
      <c r="FY133">
        <v>10</v>
      </c>
      <c r="GA133" t="s">
        <v>3</v>
      </c>
      <c r="GD133">
        <v>0</v>
      </c>
      <c r="GF133">
        <v>1747642591</v>
      </c>
      <c r="GG133">
        <v>2</v>
      </c>
      <c r="GH133">
        <v>1</v>
      </c>
      <c r="GI133">
        <v>-2</v>
      </c>
      <c r="GJ133">
        <v>0</v>
      </c>
      <c r="GK133">
        <f>ROUND(R133*(R12)/100,2)</f>
        <v>0</v>
      </c>
      <c r="GL133">
        <f t="shared" si="156"/>
        <v>0</v>
      </c>
      <c r="GM133">
        <f t="shared" si="157"/>
        <v>6493.26</v>
      </c>
      <c r="GN133">
        <f t="shared" si="158"/>
        <v>0</v>
      </c>
      <c r="GO133">
        <f t="shared" si="159"/>
        <v>0</v>
      </c>
      <c r="GP133">
        <f t="shared" si="160"/>
        <v>6493.26</v>
      </c>
      <c r="GR133">
        <v>0</v>
      </c>
      <c r="GS133">
        <v>3</v>
      </c>
      <c r="GT133">
        <v>0</v>
      </c>
      <c r="GU133" t="s">
        <v>3</v>
      </c>
      <c r="GV133">
        <f t="shared" si="161"/>
        <v>0</v>
      </c>
      <c r="GW133">
        <v>1</v>
      </c>
      <c r="GX133">
        <f t="shared" si="162"/>
        <v>0</v>
      </c>
      <c r="HA133">
        <v>0</v>
      </c>
      <c r="HB133">
        <v>0</v>
      </c>
      <c r="HC133">
        <f t="shared" si="163"/>
        <v>0</v>
      </c>
      <c r="HE133" t="s">
        <v>3</v>
      </c>
      <c r="HF133" t="s">
        <v>3</v>
      </c>
      <c r="HM133" t="s">
        <v>3</v>
      </c>
      <c r="HN133" t="s">
        <v>3</v>
      </c>
      <c r="HO133" t="s">
        <v>3</v>
      </c>
      <c r="HP133" t="s">
        <v>3</v>
      </c>
      <c r="HQ133" t="s">
        <v>3</v>
      </c>
      <c r="IK133">
        <v>0</v>
      </c>
    </row>
    <row r="134" spans="1:245" x14ac:dyDescent="0.2">
      <c r="A134">
        <v>17</v>
      </c>
      <c r="B134">
        <v>1</v>
      </c>
      <c r="D134">
        <f>ROW(EtalonRes!A118)</f>
        <v>118</v>
      </c>
      <c r="E134" t="s">
        <v>204</v>
      </c>
      <c r="F134" t="s">
        <v>205</v>
      </c>
      <c r="G134" t="s">
        <v>206</v>
      </c>
      <c r="H134" t="s">
        <v>207</v>
      </c>
      <c r="I134">
        <v>1</v>
      </c>
      <c r="J134">
        <v>0</v>
      </c>
      <c r="K134">
        <v>1</v>
      </c>
      <c r="O134">
        <f t="shared" si="124"/>
        <v>638.69000000000005</v>
      </c>
      <c r="P134">
        <f t="shared" si="125"/>
        <v>57.57</v>
      </c>
      <c r="Q134">
        <f t="shared" si="126"/>
        <v>0</v>
      </c>
      <c r="R134">
        <f t="shared" si="127"/>
        <v>0</v>
      </c>
      <c r="S134">
        <f t="shared" si="128"/>
        <v>581.12</v>
      </c>
      <c r="T134">
        <f t="shared" si="129"/>
        <v>0</v>
      </c>
      <c r="U134">
        <f t="shared" si="130"/>
        <v>1.72</v>
      </c>
      <c r="V134">
        <f t="shared" si="131"/>
        <v>0</v>
      </c>
      <c r="W134">
        <f t="shared" si="132"/>
        <v>0</v>
      </c>
      <c r="X134">
        <f t="shared" si="133"/>
        <v>406.78</v>
      </c>
      <c r="Y134">
        <f t="shared" si="134"/>
        <v>58.11</v>
      </c>
      <c r="AA134">
        <v>72192302</v>
      </c>
      <c r="AB134">
        <f t="shared" si="135"/>
        <v>638.69000000000005</v>
      </c>
      <c r="AC134">
        <f t="shared" si="136"/>
        <v>57.57</v>
      </c>
      <c r="AD134">
        <f t="shared" si="137"/>
        <v>0</v>
      </c>
      <c r="AE134">
        <f t="shared" si="138"/>
        <v>0</v>
      </c>
      <c r="AF134">
        <f t="shared" si="139"/>
        <v>581.12</v>
      </c>
      <c r="AG134">
        <f t="shared" si="140"/>
        <v>0</v>
      </c>
      <c r="AH134">
        <f t="shared" si="141"/>
        <v>1.72</v>
      </c>
      <c r="AI134">
        <f t="shared" si="142"/>
        <v>0</v>
      </c>
      <c r="AJ134">
        <f t="shared" si="143"/>
        <v>0</v>
      </c>
      <c r="AK134">
        <v>638.69000000000005</v>
      </c>
      <c r="AL134">
        <v>57.57</v>
      </c>
      <c r="AM134">
        <v>0</v>
      </c>
      <c r="AN134">
        <v>0</v>
      </c>
      <c r="AO134">
        <v>581.12</v>
      </c>
      <c r="AP134">
        <v>0</v>
      </c>
      <c r="AQ134">
        <v>1.72</v>
      </c>
      <c r="AR134">
        <v>0</v>
      </c>
      <c r="AS134">
        <v>0</v>
      </c>
      <c r="AT134">
        <v>70</v>
      </c>
      <c r="AU134">
        <v>10</v>
      </c>
      <c r="AV134">
        <v>1</v>
      </c>
      <c r="AW134">
        <v>1</v>
      </c>
      <c r="AZ134">
        <v>1</v>
      </c>
      <c r="BA134">
        <v>1</v>
      </c>
      <c r="BB134">
        <v>1</v>
      </c>
      <c r="BC134">
        <v>1</v>
      </c>
      <c r="BD134" t="s">
        <v>3</v>
      </c>
      <c r="BE134" t="s">
        <v>3</v>
      </c>
      <c r="BF134" t="s">
        <v>3</v>
      </c>
      <c r="BG134" t="s">
        <v>3</v>
      </c>
      <c r="BH134">
        <v>0</v>
      </c>
      <c r="BI134">
        <v>4</v>
      </c>
      <c r="BJ134" t="s">
        <v>208</v>
      </c>
      <c r="BM134">
        <v>0</v>
      </c>
      <c r="BN134">
        <v>0</v>
      </c>
      <c r="BO134" t="s">
        <v>3</v>
      </c>
      <c r="BP134">
        <v>0</v>
      </c>
      <c r="BQ134">
        <v>1</v>
      </c>
      <c r="BR134">
        <v>0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 t="s">
        <v>3</v>
      </c>
      <c r="BZ134">
        <v>70</v>
      </c>
      <c r="CA134">
        <v>10</v>
      </c>
      <c r="CB134" t="s">
        <v>3</v>
      </c>
      <c r="CE134">
        <v>0</v>
      </c>
      <c r="CF134">
        <v>0</v>
      </c>
      <c r="CG134">
        <v>0</v>
      </c>
      <c r="CM134">
        <v>0</v>
      </c>
      <c r="CN134" t="s">
        <v>3</v>
      </c>
      <c r="CO134">
        <v>0</v>
      </c>
      <c r="CP134">
        <f t="shared" si="144"/>
        <v>638.69000000000005</v>
      </c>
      <c r="CQ134">
        <f t="shared" si="145"/>
        <v>57.57</v>
      </c>
      <c r="CR134">
        <f t="shared" si="146"/>
        <v>0</v>
      </c>
      <c r="CS134">
        <f t="shared" si="147"/>
        <v>0</v>
      </c>
      <c r="CT134">
        <f t="shared" si="148"/>
        <v>581.12</v>
      </c>
      <c r="CU134">
        <f t="shared" si="149"/>
        <v>0</v>
      </c>
      <c r="CV134">
        <f t="shared" si="150"/>
        <v>1.72</v>
      </c>
      <c r="CW134">
        <f t="shared" si="151"/>
        <v>0</v>
      </c>
      <c r="CX134">
        <f t="shared" si="152"/>
        <v>0</v>
      </c>
      <c r="CY134">
        <f t="shared" si="153"/>
        <v>406.78399999999999</v>
      </c>
      <c r="CZ134">
        <f t="shared" si="154"/>
        <v>58.111999999999995</v>
      </c>
      <c r="DC134" t="s">
        <v>3</v>
      </c>
      <c r="DD134" t="s">
        <v>3</v>
      </c>
      <c r="DE134" t="s">
        <v>3</v>
      </c>
      <c r="DF134" t="s">
        <v>3</v>
      </c>
      <c r="DG134" t="s">
        <v>3</v>
      </c>
      <c r="DH134" t="s">
        <v>3</v>
      </c>
      <c r="DI134" t="s">
        <v>3</v>
      </c>
      <c r="DJ134" t="s">
        <v>3</v>
      </c>
      <c r="DK134" t="s">
        <v>3</v>
      </c>
      <c r="DL134" t="s">
        <v>3</v>
      </c>
      <c r="DM134" t="s">
        <v>3</v>
      </c>
      <c r="DN134">
        <v>0</v>
      </c>
      <c r="DO134">
        <v>0</v>
      </c>
      <c r="DP134">
        <v>1</v>
      </c>
      <c r="DQ134">
        <v>1</v>
      </c>
      <c r="DU134">
        <v>1010</v>
      </c>
      <c r="DV134" t="s">
        <v>207</v>
      </c>
      <c r="DW134" t="s">
        <v>207</v>
      </c>
      <c r="DX134">
        <v>10</v>
      </c>
      <c r="DZ134" t="s">
        <v>3</v>
      </c>
      <c r="EA134" t="s">
        <v>3</v>
      </c>
      <c r="EB134" t="s">
        <v>3</v>
      </c>
      <c r="EC134" t="s">
        <v>3</v>
      </c>
      <c r="EE134">
        <v>71753531</v>
      </c>
      <c r="EF134">
        <v>1</v>
      </c>
      <c r="EG134" t="s">
        <v>22</v>
      </c>
      <c r="EH134">
        <v>0</v>
      </c>
      <c r="EI134" t="s">
        <v>3</v>
      </c>
      <c r="EJ134">
        <v>4</v>
      </c>
      <c r="EK134">
        <v>0</v>
      </c>
      <c r="EL134" t="s">
        <v>23</v>
      </c>
      <c r="EM134" t="s">
        <v>24</v>
      </c>
      <c r="EO134" t="s">
        <v>3</v>
      </c>
      <c r="EQ134">
        <v>0</v>
      </c>
      <c r="ER134">
        <v>638.69000000000005</v>
      </c>
      <c r="ES134">
        <v>57.57</v>
      </c>
      <c r="ET134">
        <v>0</v>
      </c>
      <c r="EU134">
        <v>0</v>
      </c>
      <c r="EV134">
        <v>581.12</v>
      </c>
      <c r="EW134">
        <v>1.72</v>
      </c>
      <c r="EX134">
        <v>0</v>
      </c>
      <c r="EY134">
        <v>0</v>
      </c>
      <c r="FQ134">
        <v>0</v>
      </c>
      <c r="FR134">
        <f t="shared" si="155"/>
        <v>0</v>
      </c>
      <c r="FS134">
        <v>0</v>
      </c>
      <c r="FX134">
        <v>70</v>
      </c>
      <c r="FY134">
        <v>10</v>
      </c>
      <c r="GA134" t="s">
        <v>3</v>
      </c>
      <c r="GD134">
        <v>0</v>
      </c>
      <c r="GF134">
        <v>-1180563267</v>
      </c>
      <c r="GG134">
        <v>2</v>
      </c>
      <c r="GH134">
        <v>1</v>
      </c>
      <c r="GI134">
        <v>-2</v>
      </c>
      <c r="GJ134">
        <v>0</v>
      </c>
      <c r="GK134">
        <f>ROUND(R134*(R12)/100,2)</f>
        <v>0</v>
      </c>
      <c r="GL134">
        <f t="shared" si="156"/>
        <v>0</v>
      </c>
      <c r="GM134">
        <f t="shared" si="157"/>
        <v>1103.58</v>
      </c>
      <c r="GN134">
        <f t="shared" si="158"/>
        <v>0</v>
      </c>
      <c r="GO134">
        <f t="shared" si="159"/>
        <v>0</v>
      </c>
      <c r="GP134">
        <f t="shared" si="160"/>
        <v>1103.58</v>
      </c>
      <c r="GR134">
        <v>0</v>
      </c>
      <c r="GS134">
        <v>3</v>
      </c>
      <c r="GT134">
        <v>0</v>
      </c>
      <c r="GU134" t="s">
        <v>3</v>
      </c>
      <c r="GV134">
        <f t="shared" si="161"/>
        <v>0</v>
      </c>
      <c r="GW134">
        <v>1</v>
      </c>
      <c r="GX134">
        <f t="shared" si="162"/>
        <v>0</v>
      </c>
      <c r="HA134">
        <v>0</v>
      </c>
      <c r="HB134">
        <v>0</v>
      </c>
      <c r="HC134">
        <f t="shared" si="163"/>
        <v>0</v>
      </c>
      <c r="HE134" t="s">
        <v>3</v>
      </c>
      <c r="HF134" t="s">
        <v>3</v>
      </c>
      <c r="HM134" t="s">
        <v>3</v>
      </c>
      <c r="HN134" t="s">
        <v>3</v>
      </c>
      <c r="HO134" t="s">
        <v>3</v>
      </c>
      <c r="HP134" t="s">
        <v>3</v>
      </c>
      <c r="HQ134" t="s">
        <v>3</v>
      </c>
      <c r="IK134">
        <v>0</v>
      </c>
    </row>
    <row r="135" spans="1:245" x14ac:dyDescent="0.2">
      <c r="A135">
        <v>18</v>
      </c>
      <c r="B135">
        <v>1</v>
      </c>
      <c r="E135" t="s">
        <v>209</v>
      </c>
      <c r="F135" t="s">
        <v>156</v>
      </c>
      <c r="G135" s="46" t="s">
        <v>778</v>
      </c>
      <c r="H135" t="s">
        <v>51</v>
      </c>
      <c r="I135">
        <f>I134*J135</f>
        <v>10</v>
      </c>
      <c r="J135">
        <v>10</v>
      </c>
      <c r="K135">
        <v>10</v>
      </c>
      <c r="O135">
        <f t="shared" si="124"/>
        <v>5440</v>
      </c>
      <c r="P135">
        <f t="shared" si="125"/>
        <v>5440</v>
      </c>
      <c r="Q135">
        <f t="shared" si="126"/>
        <v>0</v>
      </c>
      <c r="R135">
        <f t="shared" si="127"/>
        <v>0</v>
      </c>
      <c r="S135">
        <f t="shared" si="128"/>
        <v>0</v>
      </c>
      <c r="T135">
        <f t="shared" si="129"/>
        <v>0</v>
      </c>
      <c r="U135">
        <f t="shared" si="130"/>
        <v>0</v>
      </c>
      <c r="V135">
        <f t="shared" si="131"/>
        <v>0</v>
      </c>
      <c r="W135">
        <f t="shared" si="132"/>
        <v>0</v>
      </c>
      <c r="X135">
        <f t="shared" si="133"/>
        <v>0</v>
      </c>
      <c r="Y135">
        <f t="shared" si="134"/>
        <v>0</v>
      </c>
      <c r="AA135">
        <v>72192302</v>
      </c>
      <c r="AB135">
        <f t="shared" si="135"/>
        <v>544</v>
      </c>
      <c r="AC135">
        <f t="shared" si="136"/>
        <v>544</v>
      </c>
      <c r="AD135">
        <f t="shared" si="137"/>
        <v>0</v>
      </c>
      <c r="AE135">
        <f t="shared" si="138"/>
        <v>0</v>
      </c>
      <c r="AF135">
        <f t="shared" si="139"/>
        <v>0</v>
      </c>
      <c r="AG135">
        <f t="shared" si="140"/>
        <v>0</v>
      </c>
      <c r="AH135">
        <f t="shared" si="141"/>
        <v>0</v>
      </c>
      <c r="AI135">
        <f t="shared" si="142"/>
        <v>0</v>
      </c>
      <c r="AJ135">
        <f t="shared" si="143"/>
        <v>0</v>
      </c>
      <c r="AK135">
        <v>544</v>
      </c>
      <c r="AL135">
        <v>544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70</v>
      </c>
      <c r="AU135">
        <v>10</v>
      </c>
      <c r="AV135">
        <v>1</v>
      </c>
      <c r="AW135">
        <v>1</v>
      </c>
      <c r="AZ135">
        <v>1</v>
      </c>
      <c r="BA135">
        <v>1</v>
      </c>
      <c r="BB135">
        <v>1</v>
      </c>
      <c r="BC135">
        <v>1</v>
      </c>
      <c r="BD135" t="s">
        <v>3</v>
      </c>
      <c r="BE135" t="s">
        <v>3</v>
      </c>
      <c r="BF135" t="s">
        <v>3</v>
      </c>
      <c r="BG135" t="s">
        <v>3</v>
      </c>
      <c r="BH135">
        <v>3</v>
      </c>
      <c r="BI135">
        <v>4</v>
      </c>
      <c r="BJ135" t="s">
        <v>3</v>
      </c>
      <c r="BM135">
        <v>0</v>
      </c>
      <c r="BN135">
        <v>0</v>
      </c>
      <c r="BO135" t="s">
        <v>3</v>
      </c>
      <c r="BP135">
        <v>0</v>
      </c>
      <c r="BQ135">
        <v>1</v>
      </c>
      <c r="BR135">
        <v>0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 t="s">
        <v>3</v>
      </c>
      <c r="BZ135">
        <v>70</v>
      </c>
      <c r="CA135">
        <v>10</v>
      </c>
      <c r="CB135" t="s">
        <v>3</v>
      </c>
      <c r="CE135">
        <v>0</v>
      </c>
      <c r="CF135">
        <v>0</v>
      </c>
      <c r="CG135">
        <v>0</v>
      </c>
      <c r="CM135">
        <v>0</v>
      </c>
      <c r="CN135" t="s">
        <v>3</v>
      </c>
      <c r="CO135">
        <v>0</v>
      </c>
      <c r="CP135">
        <f t="shared" si="144"/>
        <v>5440</v>
      </c>
      <c r="CQ135">
        <f t="shared" si="145"/>
        <v>544</v>
      </c>
      <c r="CR135">
        <f t="shared" si="146"/>
        <v>0</v>
      </c>
      <c r="CS135">
        <f t="shared" si="147"/>
        <v>0</v>
      </c>
      <c r="CT135">
        <f t="shared" si="148"/>
        <v>0</v>
      </c>
      <c r="CU135">
        <f t="shared" si="149"/>
        <v>0</v>
      </c>
      <c r="CV135">
        <f t="shared" si="150"/>
        <v>0</v>
      </c>
      <c r="CW135">
        <f t="shared" si="151"/>
        <v>0</v>
      </c>
      <c r="CX135">
        <f t="shared" si="152"/>
        <v>0</v>
      </c>
      <c r="CY135">
        <f t="shared" si="153"/>
        <v>0</v>
      </c>
      <c r="CZ135">
        <f t="shared" si="154"/>
        <v>0</v>
      </c>
      <c r="DC135" t="s">
        <v>3</v>
      </c>
      <c r="DD135" t="s">
        <v>3</v>
      </c>
      <c r="DE135" t="s">
        <v>3</v>
      </c>
      <c r="DF135" t="s">
        <v>3</v>
      </c>
      <c r="DG135" t="s">
        <v>3</v>
      </c>
      <c r="DH135" t="s">
        <v>3</v>
      </c>
      <c r="DI135" t="s">
        <v>3</v>
      </c>
      <c r="DJ135" t="s">
        <v>3</v>
      </c>
      <c r="DK135" t="s">
        <v>3</v>
      </c>
      <c r="DL135" t="s">
        <v>3</v>
      </c>
      <c r="DM135" t="s">
        <v>3</v>
      </c>
      <c r="DN135">
        <v>0</v>
      </c>
      <c r="DO135">
        <v>0</v>
      </c>
      <c r="DP135">
        <v>1</v>
      </c>
      <c r="DQ135">
        <v>1</v>
      </c>
      <c r="DU135">
        <v>1010</v>
      </c>
      <c r="DV135" t="s">
        <v>51</v>
      </c>
      <c r="DW135" t="s">
        <v>51</v>
      </c>
      <c r="DX135">
        <v>1</v>
      </c>
      <c r="DZ135" t="s">
        <v>3</v>
      </c>
      <c r="EA135" t="s">
        <v>3</v>
      </c>
      <c r="EB135" t="s">
        <v>3</v>
      </c>
      <c r="EC135" t="s">
        <v>3</v>
      </c>
      <c r="EE135">
        <v>71753531</v>
      </c>
      <c r="EF135">
        <v>1</v>
      </c>
      <c r="EG135" t="s">
        <v>22</v>
      </c>
      <c r="EH135">
        <v>0</v>
      </c>
      <c r="EI135" t="s">
        <v>3</v>
      </c>
      <c r="EJ135">
        <v>4</v>
      </c>
      <c r="EK135">
        <v>0</v>
      </c>
      <c r="EL135" t="s">
        <v>23</v>
      </c>
      <c r="EM135" t="s">
        <v>24</v>
      </c>
      <c r="EO135" t="s">
        <v>3</v>
      </c>
      <c r="EQ135">
        <v>0</v>
      </c>
      <c r="ER135">
        <v>544</v>
      </c>
      <c r="ES135">
        <v>544</v>
      </c>
      <c r="ET135">
        <v>0</v>
      </c>
      <c r="EU135">
        <v>0</v>
      </c>
      <c r="EV135">
        <v>0</v>
      </c>
      <c r="EW135">
        <v>0</v>
      </c>
      <c r="EX135">
        <v>0</v>
      </c>
      <c r="FQ135">
        <v>0</v>
      </c>
      <c r="FR135">
        <f t="shared" si="155"/>
        <v>0</v>
      </c>
      <c r="FS135">
        <v>0</v>
      </c>
      <c r="FX135">
        <v>70</v>
      </c>
      <c r="FY135">
        <v>10</v>
      </c>
      <c r="GA135" t="s">
        <v>3</v>
      </c>
      <c r="GD135">
        <v>0</v>
      </c>
      <c r="GF135">
        <v>502732464</v>
      </c>
      <c r="GG135">
        <v>2</v>
      </c>
      <c r="GH135">
        <v>0</v>
      </c>
      <c r="GI135">
        <v>-2</v>
      </c>
      <c r="GJ135">
        <v>0</v>
      </c>
      <c r="GK135">
        <f>ROUND(R135*(R12)/100,2)</f>
        <v>0</v>
      </c>
      <c r="GL135">
        <f t="shared" si="156"/>
        <v>0</v>
      </c>
      <c r="GM135">
        <f t="shared" si="157"/>
        <v>5440</v>
      </c>
      <c r="GN135">
        <f t="shared" si="158"/>
        <v>0</v>
      </c>
      <c r="GO135">
        <f t="shared" si="159"/>
        <v>0</v>
      </c>
      <c r="GP135">
        <f t="shared" si="160"/>
        <v>5440</v>
      </c>
      <c r="GR135">
        <v>0</v>
      </c>
      <c r="GS135">
        <v>0</v>
      </c>
      <c r="GT135">
        <v>0</v>
      </c>
      <c r="GU135" t="s">
        <v>3</v>
      </c>
      <c r="GV135">
        <f t="shared" si="161"/>
        <v>0</v>
      </c>
      <c r="GW135">
        <v>1</v>
      </c>
      <c r="GX135">
        <f t="shared" si="162"/>
        <v>0</v>
      </c>
      <c r="HA135">
        <v>0</v>
      </c>
      <c r="HB135">
        <v>0</v>
      </c>
      <c r="HC135">
        <f t="shared" si="163"/>
        <v>0</v>
      </c>
      <c r="HE135" t="s">
        <v>3</v>
      </c>
      <c r="HF135" t="s">
        <v>3</v>
      </c>
      <c r="HM135" t="s">
        <v>3</v>
      </c>
      <c r="HN135" t="s">
        <v>3</v>
      </c>
      <c r="HO135" t="s">
        <v>3</v>
      </c>
      <c r="HP135" t="s">
        <v>3</v>
      </c>
      <c r="HQ135" t="s">
        <v>3</v>
      </c>
      <c r="IK135">
        <v>0</v>
      </c>
    </row>
    <row r="136" spans="1:245" x14ac:dyDescent="0.2">
      <c r="A136">
        <v>17</v>
      </c>
      <c r="B136">
        <v>1</v>
      </c>
      <c r="D136">
        <f>ROW(EtalonRes!A122)</f>
        <v>122</v>
      </c>
      <c r="E136" t="s">
        <v>211</v>
      </c>
      <c r="F136" t="s">
        <v>212</v>
      </c>
      <c r="G136" t="s">
        <v>213</v>
      </c>
      <c r="H136" t="s">
        <v>207</v>
      </c>
      <c r="I136">
        <v>0.4</v>
      </c>
      <c r="J136">
        <v>0</v>
      </c>
      <c r="K136">
        <v>0.4</v>
      </c>
      <c r="O136">
        <f t="shared" si="124"/>
        <v>287.95</v>
      </c>
      <c r="P136">
        <f t="shared" si="125"/>
        <v>28.47</v>
      </c>
      <c r="Q136">
        <f t="shared" si="126"/>
        <v>0</v>
      </c>
      <c r="R136">
        <f t="shared" si="127"/>
        <v>0</v>
      </c>
      <c r="S136">
        <f t="shared" si="128"/>
        <v>259.48</v>
      </c>
      <c r="T136">
        <f t="shared" si="129"/>
        <v>0</v>
      </c>
      <c r="U136">
        <f t="shared" si="130"/>
        <v>0.76800000000000002</v>
      </c>
      <c r="V136">
        <f t="shared" si="131"/>
        <v>0</v>
      </c>
      <c r="W136">
        <f t="shared" si="132"/>
        <v>0</v>
      </c>
      <c r="X136">
        <f t="shared" si="133"/>
        <v>181.64</v>
      </c>
      <c r="Y136">
        <f t="shared" si="134"/>
        <v>25.95</v>
      </c>
      <c r="AA136">
        <v>72192302</v>
      </c>
      <c r="AB136">
        <f t="shared" si="135"/>
        <v>719.87</v>
      </c>
      <c r="AC136">
        <f t="shared" si="136"/>
        <v>71.180000000000007</v>
      </c>
      <c r="AD136">
        <f t="shared" si="137"/>
        <v>0</v>
      </c>
      <c r="AE136">
        <f t="shared" si="138"/>
        <v>0</v>
      </c>
      <c r="AF136">
        <f t="shared" si="139"/>
        <v>648.69000000000005</v>
      </c>
      <c r="AG136">
        <f t="shared" si="140"/>
        <v>0</v>
      </c>
      <c r="AH136">
        <f t="shared" si="141"/>
        <v>1.92</v>
      </c>
      <c r="AI136">
        <f t="shared" si="142"/>
        <v>0</v>
      </c>
      <c r="AJ136">
        <f t="shared" si="143"/>
        <v>0</v>
      </c>
      <c r="AK136">
        <v>719.87</v>
      </c>
      <c r="AL136">
        <v>71.180000000000007</v>
      </c>
      <c r="AM136">
        <v>0</v>
      </c>
      <c r="AN136">
        <v>0</v>
      </c>
      <c r="AO136">
        <v>648.69000000000005</v>
      </c>
      <c r="AP136">
        <v>0</v>
      </c>
      <c r="AQ136">
        <v>1.92</v>
      </c>
      <c r="AR136">
        <v>0</v>
      </c>
      <c r="AS136">
        <v>0</v>
      </c>
      <c r="AT136">
        <v>70</v>
      </c>
      <c r="AU136">
        <v>10</v>
      </c>
      <c r="AV136">
        <v>1</v>
      </c>
      <c r="AW136">
        <v>1</v>
      </c>
      <c r="AZ136">
        <v>1</v>
      </c>
      <c r="BA136">
        <v>1</v>
      </c>
      <c r="BB136">
        <v>1</v>
      </c>
      <c r="BC136">
        <v>1</v>
      </c>
      <c r="BD136" t="s">
        <v>3</v>
      </c>
      <c r="BE136" t="s">
        <v>3</v>
      </c>
      <c r="BF136" t="s">
        <v>3</v>
      </c>
      <c r="BG136" t="s">
        <v>3</v>
      </c>
      <c r="BH136">
        <v>0</v>
      </c>
      <c r="BI136">
        <v>4</v>
      </c>
      <c r="BJ136" t="s">
        <v>214</v>
      </c>
      <c r="BM136">
        <v>0</v>
      </c>
      <c r="BN136">
        <v>0</v>
      </c>
      <c r="BO136" t="s">
        <v>3</v>
      </c>
      <c r="BP136">
        <v>0</v>
      </c>
      <c r="BQ136">
        <v>1</v>
      </c>
      <c r="BR136">
        <v>0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 t="s">
        <v>3</v>
      </c>
      <c r="BZ136">
        <v>70</v>
      </c>
      <c r="CA136">
        <v>10</v>
      </c>
      <c r="CB136" t="s">
        <v>3</v>
      </c>
      <c r="CE136">
        <v>0</v>
      </c>
      <c r="CF136">
        <v>0</v>
      </c>
      <c r="CG136">
        <v>0</v>
      </c>
      <c r="CM136">
        <v>0</v>
      </c>
      <c r="CN136" t="s">
        <v>3</v>
      </c>
      <c r="CO136">
        <v>0</v>
      </c>
      <c r="CP136">
        <f t="shared" si="144"/>
        <v>287.95000000000005</v>
      </c>
      <c r="CQ136">
        <f t="shared" si="145"/>
        <v>71.180000000000007</v>
      </c>
      <c r="CR136">
        <f t="shared" si="146"/>
        <v>0</v>
      </c>
      <c r="CS136">
        <f t="shared" si="147"/>
        <v>0</v>
      </c>
      <c r="CT136">
        <f t="shared" si="148"/>
        <v>648.69000000000005</v>
      </c>
      <c r="CU136">
        <f t="shared" si="149"/>
        <v>0</v>
      </c>
      <c r="CV136">
        <f t="shared" si="150"/>
        <v>1.92</v>
      </c>
      <c r="CW136">
        <f t="shared" si="151"/>
        <v>0</v>
      </c>
      <c r="CX136">
        <f t="shared" si="152"/>
        <v>0</v>
      </c>
      <c r="CY136">
        <f t="shared" si="153"/>
        <v>181.63600000000002</v>
      </c>
      <c r="CZ136">
        <f t="shared" si="154"/>
        <v>25.948</v>
      </c>
      <c r="DC136" t="s">
        <v>3</v>
      </c>
      <c r="DD136" t="s">
        <v>3</v>
      </c>
      <c r="DE136" t="s">
        <v>3</v>
      </c>
      <c r="DF136" t="s">
        <v>3</v>
      </c>
      <c r="DG136" t="s">
        <v>3</v>
      </c>
      <c r="DH136" t="s">
        <v>3</v>
      </c>
      <c r="DI136" t="s">
        <v>3</v>
      </c>
      <c r="DJ136" t="s">
        <v>3</v>
      </c>
      <c r="DK136" t="s">
        <v>3</v>
      </c>
      <c r="DL136" t="s">
        <v>3</v>
      </c>
      <c r="DM136" t="s">
        <v>3</v>
      </c>
      <c r="DN136">
        <v>0</v>
      </c>
      <c r="DO136">
        <v>0</v>
      </c>
      <c r="DP136">
        <v>1</v>
      </c>
      <c r="DQ136">
        <v>1</v>
      </c>
      <c r="DU136">
        <v>1010</v>
      </c>
      <c r="DV136" t="s">
        <v>207</v>
      </c>
      <c r="DW136" t="s">
        <v>207</v>
      </c>
      <c r="DX136">
        <v>10</v>
      </c>
      <c r="DZ136" t="s">
        <v>3</v>
      </c>
      <c r="EA136" t="s">
        <v>3</v>
      </c>
      <c r="EB136" t="s">
        <v>3</v>
      </c>
      <c r="EC136" t="s">
        <v>3</v>
      </c>
      <c r="EE136">
        <v>71753531</v>
      </c>
      <c r="EF136">
        <v>1</v>
      </c>
      <c r="EG136" t="s">
        <v>22</v>
      </c>
      <c r="EH136">
        <v>0</v>
      </c>
      <c r="EI136" t="s">
        <v>3</v>
      </c>
      <c r="EJ136">
        <v>4</v>
      </c>
      <c r="EK136">
        <v>0</v>
      </c>
      <c r="EL136" t="s">
        <v>23</v>
      </c>
      <c r="EM136" t="s">
        <v>24</v>
      </c>
      <c r="EO136" t="s">
        <v>3</v>
      </c>
      <c r="EQ136">
        <v>0</v>
      </c>
      <c r="ER136">
        <v>719.87</v>
      </c>
      <c r="ES136">
        <v>71.180000000000007</v>
      </c>
      <c r="ET136">
        <v>0</v>
      </c>
      <c r="EU136">
        <v>0</v>
      </c>
      <c r="EV136">
        <v>648.69000000000005</v>
      </c>
      <c r="EW136">
        <v>1.92</v>
      </c>
      <c r="EX136">
        <v>0</v>
      </c>
      <c r="EY136">
        <v>0</v>
      </c>
      <c r="FQ136">
        <v>0</v>
      </c>
      <c r="FR136">
        <f t="shared" si="155"/>
        <v>0</v>
      </c>
      <c r="FS136">
        <v>0</v>
      </c>
      <c r="FX136">
        <v>70</v>
      </c>
      <c r="FY136">
        <v>10</v>
      </c>
      <c r="GA136" t="s">
        <v>3</v>
      </c>
      <c r="GD136">
        <v>0</v>
      </c>
      <c r="GF136">
        <v>-1411637805</v>
      </c>
      <c r="GG136">
        <v>2</v>
      </c>
      <c r="GH136">
        <v>1</v>
      </c>
      <c r="GI136">
        <v>-2</v>
      </c>
      <c r="GJ136">
        <v>0</v>
      </c>
      <c r="GK136">
        <f>ROUND(R136*(R12)/100,2)</f>
        <v>0</v>
      </c>
      <c r="GL136">
        <f t="shared" si="156"/>
        <v>0</v>
      </c>
      <c r="GM136">
        <f t="shared" si="157"/>
        <v>495.54</v>
      </c>
      <c r="GN136">
        <f t="shared" si="158"/>
        <v>0</v>
      </c>
      <c r="GO136">
        <f t="shared" si="159"/>
        <v>0</v>
      </c>
      <c r="GP136">
        <f t="shared" si="160"/>
        <v>495.54</v>
      </c>
      <c r="GR136">
        <v>0</v>
      </c>
      <c r="GS136">
        <v>3</v>
      </c>
      <c r="GT136">
        <v>0</v>
      </c>
      <c r="GU136" t="s">
        <v>3</v>
      </c>
      <c r="GV136">
        <f t="shared" si="161"/>
        <v>0</v>
      </c>
      <c r="GW136">
        <v>1</v>
      </c>
      <c r="GX136">
        <f t="shared" si="162"/>
        <v>0</v>
      </c>
      <c r="HA136">
        <v>0</v>
      </c>
      <c r="HB136">
        <v>0</v>
      </c>
      <c r="HC136">
        <f t="shared" si="163"/>
        <v>0</v>
      </c>
      <c r="HE136" t="s">
        <v>3</v>
      </c>
      <c r="HF136" t="s">
        <v>3</v>
      </c>
      <c r="HM136" t="s">
        <v>3</v>
      </c>
      <c r="HN136" t="s">
        <v>3</v>
      </c>
      <c r="HO136" t="s">
        <v>3</v>
      </c>
      <c r="HP136" t="s">
        <v>3</v>
      </c>
      <c r="HQ136" t="s">
        <v>3</v>
      </c>
      <c r="IK136">
        <v>0</v>
      </c>
    </row>
    <row r="137" spans="1:245" x14ac:dyDescent="0.2">
      <c r="A137">
        <v>18</v>
      </c>
      <c r="B137">
        <v>1</v>
      </c>
      <c r="E137" t="s">
        <v>215</v>
      </c>
      <c r="F137" t="s">
        <v>156</v>
      </c>
      <c r="G137" s="46" t="s">
        <v>779</v>
      </c>
      <c r="H137" t="s">
        <v>51</v>
      </c>
      <c r="I137">
        <f>I136*J137</f>
        <v>4</v>
      </c>
      <c r="J137">
        <v>10</v>
      </c>
      <c r="K137">
        <v>10</v>
      </c>
      <c r="O137">
        <f t="shared" si="124"/>
        <v>5885.4</v>
      </c>
      <c r="P137">
        <f t="shared" si="125"/>
        <v>5885.4</v>
      </c>
      <c r="Q137">
        <f t="shared" si="126"/>
        <v>0</v>
      </c>
      <c r="R137">
        <f t="shared" si="127"/>
        <v>0</v>
      </c>
      <c r="S137">
        <f t="shared" si="128"/>
        <v>0</v>
      </c>
      <c r="T137">
        <f t="shared" si="129"/>
        <v>0</v>
      </c>
      <c r="U137">
        <f t="shared" si="130"/>
        <v>0</v>
      </c>
      <c r="V137">
        <f t="shared" si="131"/>
        <v>0</v>
      </c>
      <c r="W137">
        <f t="shared" si="132"/>
        <v>0</v>
      </c>
      <c r="X137">
        <f t="shared" si="133"/>
        <v>0</v>
      </c>
      <c r="Y137">
        <f t="shared" si="134"/>
        <v>0</v>
      </c>
      <c r="AA137">
        <v>72192302</v>
      </c>
      <c r="AB137">
        <f t="shared" si="135"/>
        <v>1471.35</v>
      </c>
      <c r="AC137">
        <f t="shared" si="136"/>
        <v>1471.35</v>
      </c>
      <c r="AD137">
        <f t="shared" si="137"/>
        <v>0</v>
      </c>
      <c r="AE137">
        <f t="shared" si="138"/>
        <v>0</v>
      </c>
      <c r="AF137">
        <f t="shared" si="139"/>
        <v>0</v>
      </c>
      <c r="AG137">
        <f t="shared" si="140"/>
        <v>0</v>
      </c>
      <c r="AH137">
        <f t="shared" si="141"/>
        <v>0</v>
      </c>
      <c r="AI137">
        <f t="shared" si="142"/>
        <v>0</v>
      </c>
      <c r="AJ137">
        <f t="shared" si="143"/>
        <v>0</v>
      </c>
      <c r="AK137">
        <v>1471.35</v>
      </c>
      <c r="AL137">
        <v>1471.35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70</v>
      </c>
      <c r="AU137">
        <v>10</v>
      </c>
      <c r="AV137">
        <v>1</v>
      </c>
      <c r="AW137">
        <v>1</v>
      </c>
      <c r="AZ137">
        <v>1</v>
      </c>
      <c r="BA137">
        <v>1</v>
      </c>
      <c r="BB137">
        <v>1</v>
      </c>
      <c r="BC137">
        <v>1</v>
      </c>
      <c r="BD137" t="s">
        <v>3</v>
      </c>
      <c r="BE137" t="s">
        <v>3</v>
      </c>
      <c r="BF137" t="s">
        <v>3</v>
      </c>
      <c r="BG137" t="s">
        <v>3</v>
      </c>
      <c r="BH137">
        <v>3</v>
      </c>
      <c r="BI137">
        <v>4</v>
      </c>
      <c r="BJ137" t="s">
        <v>3</v>
      </c>
      <c r="BM137">
        <v>0</v>
      </c>
      <c r="BN137">
        <v>0</v>
      </c>
      <c r="BO137" t="s">
        <v>3</v>
      </c>
      <c r="BP137">
        <v>0</v>
      </c>
      <c r="BQ137">
        <v>1</v>
      </c>
      <c r="BR137">
        <v>0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 t="s">
        <v>3</v>
      </c>
      <c r="BZ137">
        <v>70</v>
      </c>
      <c r="CA137">
        <v>10</v>
      </c>
      <c r="CB137" t="s">
        <v>3</v>
      </c>
      <c r="CE137">
        <v>0</v>
      </c>
      <c r="CF137">
        <v>0</v>
      </c>
      <c r="CG137">
        <v>0</v>
      </c>
      <c r="CM137">
        <v>0</v>
      </c>
      <c r="CN137" t="s">
        <v>3</v>
      </c>
      <c r="CO137">
        <v>0</v>
      </c>
      <c r="CP137">
        <f t="shared" si="144"/>
        <v>5885.4</v>
      </c>
      <c r="CQ137">
        <f t="shared" si="145"/>
        <v>1471.35</v>
      </c>
      <c r="CR137">
        <f t="shared" si="146"/>
        <v>0</v>
      </c>
      <c r="CS137">
        <f t="shared" si="147"/>
        <v>0</v>
      </c>
      <c r="CT137">
        <f t="shared" si="148"/>
        <v>0</v>
      </c>
      <c r="CU137">
        <f t="shared" si="149"/>
        <v>0</v>
      </c>
      <c r="CV137">
        <f t="shared" si="150"/>
        <v>0</v>
      </c>
      <c r="CW137">
        <f t="shared" si="151"/>
        <v>0</v>
      </c>
      <c r="CX137">
        <f t="shared" si="152"/>
        <v>0</v>
      </c>
      <c r="CY137">
        <f t="shared" si="153"/>
        <v>0</v>
      </c>
      <c r="CZ137">
        <f t="shared" si="154"/>
        <v>0</v>
      </c>
      <c r="DC137" t="s">
        <v>3</v>
      </c>
      <c r="DD137" t="s">
        <v>3</v>
      </c>
      <c r="DE137" t="s">
        <v>3</v>
      </c>
      <c r="DF137" t="s">
        <v>3</v>
      </c>
      <c r="DG137" t="s">
        <v>3</v>
      </c>
      <c r="DH137" t="s">
        <v>3</v>
      </c>
      <c r="DI137" t="s">
        <v>3</v>
      </c>
      <c r="DJ137" t="s">
        <v>3</v>
      </c>
      <c r="DK137" t="s">
        <v>3</v>
      </c>
      <c r="DL137" t="s">
        <v>3</v>
      </c>
      <c r="DM137" t="s">
        <v>3</v>
      </c>
      <c r="DN137">
        <v>0</v>
      </c>
      <c r="DO137">
        <v>0</v>
      </c>
      <c r="DP137">
        <v>1</v>
      </c>
      <c r="DQ137">
        <v>1</v>
      </c>
      <c r="DU137">
        <v>1010</v>
      </c>
      <c r="DV137" t="s">
        <v>51</v>
      </c>
      <c r="DW137" t="s">
        <v>51</v>
      </c>
      <c r="DX137">
        <v>1</v>
      </c>
      <c r="DZ137" t="s">
        <v>3</v>
      </c>
      <c r="EA137" t="s">
        <v>3</v>
      </c>
      <c r="EB137" t="s">
        <v>3</v>
      </c>
      <c r="EC137" t="s">
        <v>3</v>
      </c>
      <c r="EE137">
        <v>71753531</v>
      </c>
      <c r="EF137">
        <v>1</v>
      </c>
      <c r="EG137" t="s">
        <v>22</v>
      </c>
      <c r="EH137">
        <v>0</v>
      </c>
      <c r="EI137" t="s">
        <v>3</v>
      </c>
      <c r="EJ137">
        <v>4</v>
      </c>
      <c r="EK137">
        <v>0</v>
      </c>
      <c r="EL137" t="s">
        <v>23</v>
      </c>
      <c r="EM137" t="s">
        <v>24</v>
      </c>
      <c r="EO137" t="s">
        <v>3</v>
      </c>
      <c r="EQ137">
        <v>0</v>
      </c>
      <c r="ER137">
        <v>1471.35</v>
      </c>
      <c r="ES137">
        <v>1471.35</v>
      </c>
      <c r="ET137">
        <v>0</v>
      </c>
      <c r="EU137">
        <v>0</v>
      </c>
      <c r="EV137">
        <v>0</v>
      </c>
      <c r="EW137">
        <v>0</v>
      </c>
      <c r="EX137">
        <v>0</v>
      </c>
      <c r="FQ137">
        <v>0</v>
      </c>
      <c r="FR137">
        <f t="shared" si="155"/>
        <v>0</v>
      </c>
      <c r="FS137">
        <v>0</v>
      </c>
      <c r="FX137">
        <v>70</v>
      </c>
      <c r="FY137">
        <v>10</v>
      </c>
      <c r="GA137" t="s">
        <v>3</v>
      </c>
      <c r="GD137">
        <v>0</v>
      </c>
      <c r="GF137">
        <v>1738626795</v>
      </c>
      <c r="GG137">
        <v>2</v>
      </c>
      <c r="GH137">
        <v>0</v>
      </c>
      <c r="GI137">
        <v>-2</v>
      </c>
      <c r="GJ137">
        <v>0</v>
      </c>
      <c r="GK137">
        <f>ROUND(R137*(R12)/100,2)</f>
        <v>0</v>
      </c>
      <c r="GL137">
        <f t="shared" si="156"/>
        <v>0</v>
      </c>
      <c r="GM137">
        <f t="shared" si="157"/>
        <v>5885.4</v>
      </c>
      <c r="GN137">
        <f t="shared" si="158"/>
        <v>0</v>
      </c>
      <c r="GO137">
        <f t="shared" si="159"/>
        <v>0</v>
      </c>
      <c r="GP137">
        <f t="shared" si="160"/>
        <v>5885.4</v>
      </c>
      <c r="GR137">
        <v>0</v>
      </c>
      <c r="GS137">
        <v>0</v>
      </c>
      <c r="GT137">
        <v>0</v>
      </c>
      <c r="GU137" t="s">
        <v>3</v>
      </c>
      <c r="GV137">
        <f t="shared" si="161"/>
        <v>0</v>
      </c>
      <c r="GW137">
        <v>1</v>
      </c>
      <c r="GX137">
        <f t="shared" si="162"/>
        <v>0</v>
      </c>
      <c r="HA137">
        <v>0</v>
      </c>
      <c r="HB137">
        <v>0</v>
      </c>
      <c r="HC137">
        <f t="shared" si="163"/>
        <v>0</v>
      </c>
      <c r="HE137" t="s">
        <v>3</v>
      </c>
      <c r="HF137" t="s">
        <v>3</v>
      </c>
      <c r="HM137" t="s">
        <v>3</v>
      </c>
      <c r="HN137" t="s">
        <v>3</v>
      </c>
      <c r="HO137" t="s">
        <v>3</v>
      </c>
      <c r="HP137" t="s">
        <v>3</v>
      </c>
      <c r="HQ137" t="s">
        <v>3</v>
      </c>
      <c r="IK137">
        <v>0</v>
      </c>
    </row>
    <row r="138" spans="1:245" x14ac:dyDescent="0.2">
      <c r="A138">
        <v>17</v>
      </c>
      <c r="B138">
        <v>1</v>
      </c>
      <c r="D138">
        <f>ROW(EtalonRes!A128)</f>
        <v>128</v>
      </c>
      <c r="E138" t="s">
        <v>217</v>
      </c>
      <c r="F138" t="s">
        <v>218</v>
      </c>
      <c r="G138" t="s">
        <v>219</v>
      </c>
      <c r="H138" t="s">
        <v>33</v>
      </c>
      <c r="I138">
        <v>0.05</v>
      </c>
      <c r="J138">
        <v>0</v>
      </c>
      <c r="K138">
        <v>0.05</v>
      </c>
      <c r="O138">
        <f t="shared" si="124"/>
        <v>2167.3200000000002</v>
      </c>
      <c r="P138">
        <f t="shared" si="125"/>
        <v>297.08</v>
      </c>
      <c r="Q138">
        <f t="shared" si="126"/>
        <v>0</v>
      </c>
      <c r="R138">
        <f t="shared" si="127"/>
        <v>0</v>
      </c>
      <c r="S138">
        <f t="shared" si="128"/>
        <v>1870.24</v>
      </c>
      <c r="T138">
        <f t="shared" si="129"/>
        <v>0</v>
      </c>
      <c r="U138">
        <f t="shared" si="130"/>
        <v>6.6000000000000005</v>
      </c>
      <c r="V138">
        <f t="shared" si="131"/>
        <v>0</v>
      </c>
      <c r="W138">
        <f t="shared" si="132"/>
        <v>0</v>
      </c>
      <c r="X138">
        <f t="shared" si="133"/>
        <v>1309.17</v>
      </c>
      <c r="Y138">
        <f t="shared" si="134"/>
        <v>187.02</v>
      </c>
      <c r="AA138">
        <v>72192302</v>
      </c>
      <c r="AB138">
        <f t="shared" si="135"/>
        <v>43346.5</v>
      </c>
      <c r="AC138">
        <f t="shared" si="136"/>
        <v>5941.66</v>
      </c>
      <c r="AD138">
        <f t="shared" si="137"/>
        <v>0</v>
      </c>
      <c r="AE138">
        <f t="shared" si="138"/>
        <v>0</v>
      </c>
      <c r="AF138">
        <f t="shared" si="139"/>
        <v>37404.839999999997</v>
      </c>
      <c r="AG138">
        <f t="shared" si="140"/>
        <v>0</v>
      </c>
      <c r="AH138">
        <f t="shared" si="141"/>
        <v>132</v>
      </c>
      <c r="AI138">
        <f t="shared" si="142"/>
        <v>0</v>
      </c>
      <c r="AJ138">
        <f t="shared" si="143"/>
        <v>0</v>
      </c>
      <c r="AK138">
        <v>43346.5</v>
      </c>
      <c r="AL138">
        <v>5941.66</v>
      </c>
      <c r="AM138">
        <v>0</v>
      </c>
      <c r="AN138">
        <v>0</v>
      </c>
      <c r="AO138">
        <v>37404.839999999997</v>
      </c>
      <c r="AP138">
        <v>0</v>
      </c>
      <c r="AQ138">
        <v>132</v>
      </c>
      <c r="AR138">
        <v>0</v>
      </c>
      <c r="AS138">
        <v>0</v>
      </c>
      <c r="AT138">
        <v>70</v>
      </c>
      <c r="AU138">
        <v>10</v>
      </c>
      <c r="AV138">
        <v>1</v>
      </c>
      <c r="AW138">
        <v>1</v>
      </c>
      <c r="AZ138">
        <v>1</v>
      </c>
      <c r="BA138">
        <v>1</v>
      </c>
      <c r="BB138">
        <v>1</v>
      </c>
      <c r="BC138">
        <v>1</v>
      </c>
      <c r="BD138" t="s">
        <v>3</v>
      </c>
      <c r="BE138" t="s">
        <v>3</v>
      </c>
      <c r="BF138" t="s">
        <v>3</v>
      </c>
      <c r="BG138" t="s">
        <v>3</v>
      </c>
      <c r="BH138">
        <v>0</v>
      </c>
      <c r="BI138">
        <v>4</v>
      </c>
      <c r="BJ138" t="s">
        <v>220</v>
      </c>
      <c r="BM138">
        <v>0</v>
      </c>
      <c r="BN138">
        <v>0</v>
      </c>
      <c r="BO138" t="s">
        <v>3</v>
      </c>
      <c r="BP138">
        <v>0</v>
      </c>
      <c r="BQ138">
        <v>1</v>
      </c>
      <c r="BR138">
        <v>0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 t="s">
        <v>3</v>
      </c>
      <c r="BZ138">
        <v>70</v>
      </c>
      <c r="CA138">
        <v>10</v>
      </c>
      <c r="CB138" t="s">
        <v>3</v>
      </c>
      <c r="CE138">
        <v>0</v>
      </c>
      <c r="CF138">
        <v>0</v>
      </c>
      <c r="CG138">
        <v>0</v>
      </c>
      <c r="CM138">
        <v>0</v>
      </c>
      <c r="CN138" t="s">
        <v>3</v>
      </c>
      <c r="CO138">
        <v>0</v>
      </c>
      <c r="CP138">
        <f t="shared" si="144"/>
        <v>2167.3200000000002</v>
      </c>
      <c r="CQ138">
        <f t="shared" si="145"/>
        <v>5941.66</v>
      </c>
      <c r="CR138">
        <f t="shared" si="146"/>
        <v>0</v>
      </c>
      <c r="CS138">
        <f t="shared" si="147"/>
        <v>0</v>
      </c>
      <c r="CT138">
        <f t="shared" si="148"/>
        <v>37404.839999999997</v>
      </c>
      <c r="CU138">
        <f t="shared" si="149"/>
        <v>0</v>
      </c>
      <c r="CV138">
        <f t="shared" si="150"/>
        <v>132</v>
      </c>
      <c r="CW138">
        <f t="shared" si="151"/>
        <v>0</v>
      </c>
      <c r="CX138">
        <f t="shared" si="152"/>
        <v>0</v>
      </c>
      <c r="CY138">
        <f t="shared" si="153"/>
        <v>1309.1680000000001</v>
      </c>
      <c r="CZ138">
        <f t="shared" si="154"/>
        <v>187.024</v>
      </c>
      <c r="DC138" t="s">
        <v>3</v>
      </c>
      <c r="DD138" t="s">
        <v>3</v>
      </c>
      <c r="DE138" t="s">
        <v>3</v>
      </c>
      <c r="DF138" t="s">
        <v>3</v>
      </c>
      <c r="DG138" t="s">
        <v>3</v>
      </c>
      <c r="DH138" t="s">
        <v>3</v>
      </c>
      <c r="DI138" t="s">
        <v>3</v>
      </c>
      <c r="DJ138" t="s">
        <v>3</v>
      </c>
      <c r="DK138" t="s">
        <v>3</v>
      </c>
      <c r="DL138" t="s">
        <v>3</v>
      </c>
      <c r="DM138" t="s">
        <v>3</v>
      </c>
      <c r="DN138">
        <v>0</v>
      </c>
      <c r="DO138">
        <v>0</v>
      </c>
      <c r="DP138">
        <v>1</v>
      </c>
      <c r="DQ138">
        <v>1</v>
      </c>
      <c r="DU138">
        <v>1010</v>
      </c>
      <c r="DV138" t="s">
        <v>33</v>
      </c>
      <c r="DW138" t="s">
        <v>33</v>
      </c>
      <c r="DX138">
        <v>100</v>
      </c>
      <c r="DZ138" t="s">
        <v>3</v>
      </c>
      <c r="EA138" t="s">
        <v>3</v>
      </c>
      <c r="EB138" t="s">
        <v>3</v>
      </c>
      <c r="EC138" t="s">
        <v>3</v>
      </c>
      <c r="EE138">
        <v>71753531</v>
      </c>
      <c r="EF138">
        <v>1</v>
      </c>
      <c r="EG138" t="s">
        <v>22</v>
      </c>
      <c r="EH138">
        <v>0</v>
      </c>
      <c r="EI138" t="s">
        <v>3</v>
      </c>
      <c r="EJ138">
        <v>4</v>
      </c>
      <c r="EK138">
        <v>0</v>
      </c>
      <c r="EL138" t="s">
        <v>23</v>
      </c>
      <c r="EM138" t="s">
        <v>24</v>
      </c>
      <c r="EO138" t="s">
        <v>3</v>
      </c>
      <c r="EQ138">
        <v>0</v>
      </c>
      <c r="ER138">
        <v>43346.5</v>
      </c>
      <c r="ES138">
        <v>5941.66</v>
      </c>
      <c r="ET138">
        <v>0</v>
      </c>
      <c r="EU138">
        <v>0</v>
      </c>
      <c r="EV138">
        <v>37404.839999999997</v>
      </c>
      <c r="EW138">
        <v>132</v>
      </c>
      <c r="EX138">
        <v>0</v>
      </c>
      <c r="EY138">
        <v>0</v>
      </c>
      <c r="FQ138">
        <v>0</v>
      </c>
      <c r="FR138">
        <f t="shared" si="155"/>
        <v>0</v>
      </c>
      <c r="FS138">
        <v>0</v>
      </c>
      <c r="FX138">
        <v>70</v>
      </c>
      <c r="FY138">
        <v>10</v>
      </c>
      <c r="GA138" t="s">
        <v>3</v>
      </c>
      <c r="GD138">
        <v>0</v>
      </c>
      <c r="GF138">
        <v>-1913373965</v>
      </c>
      <c r="GG138">
        <v>2</v>
      </c>
      <c r="GH138">
        <v>1</v>
      </c>
      <c r="GI138">
        <v>-2</v>
      </c>
      <c r="GJ138">
        <v>0</v>
      </c>
      <c r="GK138">
        <f>ROUND(R138*(R12)/100,2)</f>
        <v>0</v>
      </c>
      <c r="GL138">
        <f t="shared" si="156"/>
        <v>0</v>
      </c>
      <c r="GM138">
        <f t="shared" si="157"/>
        <v>3663.51</v>
      </c>
      <c r="GN138">
        <f t="shared" si="158"/>
        <v>0</v>
      </c>
      <c r="GO138">
        <f t="shared" si="159"/>
        <v>0</v>
      </c>
      <c r="GP138">
        <f t="shared" si="160"/>
        <v>3663.51</v>
      </c>
      <c r="GR138">
        <v>0</v>
      </c>
      <c r="GS138">
        <v>3</v>
      </c>
      <c r="GT138">
        <v>0</v>
      </c>
      <c r="GU138" t="s">
        <v>3</v>
      </c>
      <c r="GV138">
        <f t="shared" si="161"/>
        <v>0</v>
      </c>
      <c r="GW138">
        <v>1</v>
      </c>
      <c r="GX138">
        <f t="shared" si="162"/>
        <v>0</v>
      </c>
      <c r="HA138">
        <v>0</v>
      </c>
      <c r="HB138">
        <v>0</v>
      </c>
      <c r="HC138">
        <f t="shared" si="163"/>
        <v>0</v>
      </c>
      <c r="HE138" t="s">
        <v>3</v>
      </c>
      <c r="HF138" t="s">
        <v>3</v>
      </c>
      <c r="HM138" t="s">
        <v>3</v>
      </c>
      <c r="HN138" t="s">
        <v>3</v>
      </c>
      <c r="HO138" t="s">
        <v>3</v>
      </c>
      <c r="HP138" t="s">
        <v>3</v>
      </c>
      <c r="HQ138" t="s">
        <v>3</v>
      </c>
      <c r="IK138">
        <v>0</v>
      </c>
    </row>
    <row r="140" spans="1:245" x14ac:dyDescent="0.2">
      <c r="A140" s="2">
        <v>51</v>
      </c>
      <c r="B140" s="2">
        <f>B118</f>
        <v>1</v>
      </c>
      <c r="C140" s="2">
        <f>A118</f>
        <v>5</v>
      </c>
      <c r="D140" s="2">
        <f>ROW(A118)</f>
        <v>118</v>
      </c>
      <c r="E140" s="2"/>
      <c r="F140" s="2" t="str">
        <f>IF(F118&lt;&gt;"",F118,"")</f>
        <v>Новый подраздел</v>
      </c>
      <c r="G140" s="2" t="str">
        <f>IF(G118&lt;&gt;"",G118,"")</f>
        <v>1.3 Сантехнические работы</v>
      </c>
      <c r="H140" s="2">
        <v>0</v>
      </c>
      <c r="I140" s="2"/>
      <c r="J140" s="2"/>
      <c r="K140" s="2"/>
      <c r="L140" s="2"/>
      <c r="M140" s="2"/>
      <c r="N140" s="2"/>
      <c r="O140" s="2">
        <f t="shared" ref="O140:T140" si="164">ROUND(AB140,2)</f>
        <v>418403.53</v>
      </c>
      <c r="P140" s="2">
        <f t="shared" si="164"/>
        <v>391109.9</v>
      </c>
      <c r="Q140" s="2">
        <f t="shared" si="164"/>
        <v>8.64</v>
      </c>
      <c r="R140" s="2">
        <f t="shared" si="164"/>
        <v>0.35</v>
      </c>
      <c r="S140" s="2">
        <f t="shared" si="164"/>
        <v>27284.99</v>
      </c>
      <c r="T140" s="2">
        <f t="shared" si="164"/>
        <v>0</v>
      </c>
      <c r="U140" s="2">
        <f>AH140</f>
        <v>84.708481200000008</v>
      </c>
      <c r="V140" s="2">
        <f>AI140</f>
        <v>0</v>
      </c>
      <c r="W140" s="2">
        <f>ROUND(AJ140,2)</f>
        <v>0</v>
      </c>
      <c r="X140" s="2">
        <f>ROUND(AK140,2)</f>
        <v>19099.490000000002</v>
      </c>
      <c r="Y140" s="2">
        <f>ROUND(AL140,2)</f>
        <v>2728.5</v>
      </c>
      <c r="Z140" s="2"/>
      <c r="AA140" s="2"/>
      <c r="AB140" s="2">
        <f>ROUND(SUMIF(AA122:AA138,"=72192302",O122:O138),2)</f>
        <v>418403.53</v>
      </c>
      <c r="AC140" s="2">
        <f>ROUND(SUMIF(AA122:AA138,"=72192302",P122:P138),2)</f>
        <v>391109.9</v>
      </c>
      <c r="AD140" s="2">
        <f>ROUND(SUMIF(AA122:AA138,"=72192302",Q122:Q138),2)</f>
        <v>8.64</v>
      </c>
      <c r="AE140" s="2">
        <f>ROUND(SUMIF(AA122:AA138,"=72192302",R122:R138),2)</f>
        <v>0.35</v>
      </c>
      <c r="AF140" s="2">
        <f>ROUND(SUMIF(AA122:AA138,"=72192302",S122:S138),2)</f>
        <v>27284.99</v>
      </c>
      <c r="AG140" s="2">
        <f>ROUND(SUMIF(AA122:AA138,"=72192302",T122:T138),2)</f>
        <v>0</v>
      </c>
      <c r="AH140" s="2">
        <f>SUMIF(AA122:AA138,"=72192302",U122:U138)</f>
        <v>84.708481200000008</v>
      </c>
      <c r="AI140" s="2">
        <f>SUMIF(AA122:AA138,"=72192302",V122:V138)</f>
        <v>0</v>
      </c>
      <c r="AJ140" s="2">
        <f>ROUND(SUMIF(AA122:AA138,"=72192302",W122:W138),2)</f>
        <v>0</v>
      </c>
      <c r="AK140" s="2">
        <f>ROUND(SUMIF(AA122:AA138,"=72192302",X122:X138),2)</f>
        <v>19099.490000000002</v>
      </c>
      <c r="AL140" s="2">
        <f>ROUND(SUMIF(AA122:AA138,"=72192302",Y122:Y138),2)</f>
        <v>2728.5</v>
      </c>
      <c r="AM140" s="2"/>
      <c r="AN140" s="2"/>
      <c r="AO140" s="2">
        <f t="shared" ref="AO140:BD140" si="165">ROUND(BX140,2)</f>
        <v>0</v>
      </c>
      <c r="AP140" s="2">
        <f t="shared" si="165"/>
        <v>0</v>
      </c>
      <c r="AQ140" s="2">
        <f t="shared" si="165"/>
        <v>0</v>
      </c>
      <c r="AR140" s="2">
        <f t="shared" si="165"/>
        <v>440231.9</v>
      </c>
      <c r="AS140" s="2">
        <f t="shared" si="165"/>
        <v>0</v>
      </c>
      <c r="AT140" s="2">
        <f t="shared" si="165"/>
        <v>0</v>
      </c>
      <c r="AU140" s="2">
        <f t="shared" si="165"/>
        <v>440231.9</v>
      </c>
      <c r="AV140" s="2">
        <f t="shared" si="165"/>
        <v>391109.9</v>
      </c>
      <c r="AW140" s="2">
        <f t="shared" si="165"/>
        <v>391109.9</v>
      </c>
      <c r="AX140" s="2">
        <f t="shared" si="165"/>
        <v>0</v>
      </c>
      <c r="AY140" s="2">
        <f t="shared" si="165"/>
        <v>391109.9</v>
      </c>
      <c r="AZ140" s="2">
        <f t="shared" si="165"/>
        <v>0</v>
      </c>
      <c r="BA140" s="2">
        <f t="shared" si="165"/>
        <v>0</v>
      </c>
      <c r="BB140" s="2">
        <f t="shared" si="165"/>
        <v>0</v>
      </c>
      <c r="BC140" s="2">
        <f t="shared" si="165"/>
        <v>0</v>
      </c>
      <c r="BD140" s="2">
        <f t="shared" si="165"/>
        <v>0</v>
      </c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>
        <f>ROUND(SUMIF(AA122:AA138,"=72192302",FQ122:FQ138),2)</f>
        <v>0</v>
      </c>
      <c r="BY140" s="2">
        <f>ROUND(SUMIF(AA122:AA138,"=72192302",FR122:FR138),2)</f>
        <v>0</v>
      </c>
      <c r="BZ140" s="2">
        <f>ROUND(SUMIF(AA122:AA138,"=72192302",GL122:GL138),2)</f>
        <v>0</v>
      </c>
      <c r="CA140" s="2">
        <f>ROUND(SUMIF(AA122:AA138,"=72192302",GM122:GM138),2)</f>
        <v>440231.9</v>
      </c>
      <c r="CB140" s="2">
        <f>ROUND(SUMIF(AA122:AA138,"=72192302",GN122:GN138),2)</f>
        <v>0</v>
      </c>
      <c r="CC140" s="2">
        <f>ROUND(SUMIF(AA122:AA138,"=72192302",GO122:GO138),2)</f>
        <v>0</v>
      </c>
      <c r="CD140" s="2">
        <f>ROUND(SUMIF(AA122:AA138,"=72192302",GP122:GP138),2)</f>
        <v>440231.9</v>
      </c>
      <c r="CE140" s="2">
        <f>AC140-BX140</f>
        <v>391109.9</v>
      </c>
      <c r="CF140" s="2">
        <f>AC140-BY140</f>
        <v>391109.9</v>
      </c>
      <c r="CG140" s="2">
        <f>BX140-BZ140</f>
        <v>0</v>
      </c>
      <c r="CH140" s="2">
        <f>AC140-BX140-BY140+BZ140</f>
        <v>391109.9</v>
      </c>
      <c r="CI140" s="2">
        <f>BY140-BZ140</f>
        <v>0</v>
      </c>
      <c r="CJ140" s="2">
        <f>ROUND(SUMIF(AA122:AA138,"=72192302",GX122:GX138),2)</f>
        <v>0</v>
      </c>
      <c r="CK140" s="2">
        <f>ROUND(SUMIF(AA122:AA138,"=72192302",GY122:GY138),2)</f>
        <v>0</v>
      </c>
      <c r="CL140" s="2">
        <f>ROUND(SUMIF(AA122:AA138,"=72192302",GZ122:GZ138),2)</f>
        <v>0</v>
      </c>
      <c r="CM140" s="2">
        <f>ROUND(SUMIF(AA122:AA138,"=72192302",HD122:HD138),2)</f>
        <v>0</v>
      </c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>
        <v>0</v>
      </c>
    </row>
    <row r="142" spans="1:245" x14ac:dyDescent="0.2">
      <c r="A142" s="4">
        <v>50</v>
      </c>
      <c r="B142" s="4">
        <v>0</v>
      </c>
      <c r="C142" s="4">
        <v>0</v>
      </c>
      <c r="D142" s="4">
        <v>1</v>
      </c>
      <c r="E142" s="4">
        <v>201</v>
      </c>
      <c r="F142" s="4">
        <f>ROUND(Source!O140,O142)</f>
        <v>418403.53</v>
      </c>
      <c r="G142" s="4" t="s">
        <v>64</v>
      </c>
      <c r="H142" s="4" t="s">
        <v>65</v>
      </c>
      <c r="I142" s="4"/>
      <c r="J142" s="4"/>
      <c r="K142" s="4">
        <v>201</v>
      </c>
      <c r="L142" s="4">
        <v>1</v>
      </c>
      <c r="M142" s="4">
        <v>3</v>
      </c>
      <c r="N142" s="4" t="s">
        <v>3</v>
      </c>
      <c r="O142" s="4">
        <v>2</v>
      </c>
      <c r="P142" s="4"/>
      <c r="Q142" s="4"/>
      <c r="R142" s="4"/>
      <c r="S142" s="4"/>
      <c r="T142" s="4"/>
      <c r="U142" s="4"/>
      <c r="V142" s="4"/>
      <c r="W142" s="4">
        <v>418403.53</v>
      </c>
      <c r="X142" s="4">
        <v>1</v>
      </c>
      <c r="Y142" s="4">
        <v>418403.53</v>
      </c>
      <c r="Z142" s="4"/>
      <c r="AA142" s="4"/>
      <c r="AB142" s="4"/>
    </row>
    <row r="143" spans="1:245" x14ac:dyDescent="0.2">
      <c r="A143" s="4">
        <v>50</v>
      </c>
      <c r="B143" s="4">
        <v>0</v>
      </c>
      <c r="C143" s="4">
        <v>0</v>
      </c>
      <c r="D143" s="4">
        <v>1</v>
      </c>
      <c r="E143" s="4">
        <v>202</v>
      </c>
      <c r="F143" s="4">
        <f>ROUND(Source!P140,O143)</f>
        <v>391109.9</v>
      </c>
      <c r="G143" s="4" t="s">
        <v>66</v>
      </c>
      <c r="H143" s="4" t="s">
        <v>67</v>
      </c>
      <c r="I143" s="4"/>
      <c r="J143" s="4"/>
      <c r="K143" s="4">
        <v>202</v>
      </c>
      <c r="L143" s="4">
        <v>2</v>
      </c>
      <c r="M143" s="4">
        <v>3</v>
      </c>
      <c r="N143" s="4" t="s">
        <v>3</v>
      </c>
      <c r="O143" s="4">
        <v>2</v>
      </c>
      <c r="P143" s="4"/>
      <c r="Q143" s="4"/>
      <c r="R143" s="4"/>
      <c r="S143" s="4"/>
      <c r="T143" s="4"/>
      <c r="U143" s="4"/>
      <c r="V143" s="4"/>
      <c r="W143" s="4">
        <v>391109.9</v>
      </c>
      <c r="X143" s="4">
        <v>1</v>
      </c>
      <c r="Y143" s="4">
        <v>391109.9</v>
      </c>
      <c r="Z143" s="4"/>
      <c r="AA143" s="4"/>
      <c r="AB143" s="4"/>
    </row>
    <row r="144" spans="1:245" x14ac:dyDescent="0.2">
      <c r="A144" s="4">
        <v>50</v>
      </c>
      <c r="B144" s="4">
        <v>0</v>
      </c>
      <c r="C144" s="4">
        <v>0</v>
      </c>
      <c r="D144" s="4">
        <v>1</v>
      </c>
      <c r="E144" s="4">
        <v>222</v>
      </c>
      <c r="F144" s="4">
        <f>ROUND(Source!AO140,O144)</f>
        <v>0</v>
      </c>
      <c r="G144" s="4" t="s">
        <v>68</v>
      </c>
      <c r="H144" s="4" t="s">
        <v>69</v>
      </c>
      <c r="I144" s="4"/>
      <c r="J144" s="4"/>
      <c r="K144" s="4">
        <v>222</v>
      </c>
      <c r="L144" s="4">
        <v>3</v>
      </c>
      <c r="M144" s="4">
        <v>3</v>
      </c>
      <c r="N144" s="4" t="s">
        <v>3</v>
      </c>
      <c r="O144" s="4">
        <v>2</v>
      </c>
      <c r="P144" s="4"/>
      <c r="Q144" s="4"/>
      <c r="R144" s="4"/>
      <c r="S144" s="4"/>
      <c r="T144" s="4"/>
      <c r="U144" s="4"/>
      <c r="V144" s="4"/>
      <c r="W144" s="4">
        <v>0</v>
      </c>
      <c r="X144" s="4">
        <v>1</v>
      </c>
      <c r="Y144" s="4">
        <v>0</v>
      </c>
      <c r="Z144" s="4"/>
      <c r="AA144" s="4"/>
      <c r="AB144" s="4"/>
    </row>
    <row r="145" spans="1:28" x14ac:dyDescent="0.2">
      <c r="A145" s="4">
        <v>50</v>
      </c>
      <c r="B145" s="4">
        <v>0</v>
      </c>
      <c r="C145" s="4">
        <v>0</v>
      </c>
      <c r="D145" s="4">
        <v>1</v>
      </c>
      <c r="E145" s="4">
        <v>225</v>
      </c>
      <c r="F145" s="4">
        <f>ROUND(Source!AV140,O145)</f>
        <v>391109.9</v>
      </c>
      <c r="G145" s="4" t="s">
        <v>70</v>
      </c>
      <c r="H145" s="4" t="s">
        <v>71</v>
      </c>
      <c r="I145" s="4"/>
      <c r="J145" s="4"/>
      <c r="K145" s="4">
        <v>225</v>
      </c>
      <c r="L145" s="4">
        <v>4</v>
      </c>
      <c r="M145" s="4">
        <v>3</v>
      </c>
      <c r="N145" s="4" t="s">
        <v>3</v>
      </c>
      <c r="O145" s="4">
        <v>2</v>
      </c>
      <c r="P145" s="4"/>
      <c r="Q145" s="4"/>
      <c r="R145" s="4"/>
      <c r="S145" s="4"/>
      <c r="T145" s="4"/>
      <c r="U145" s="4"/>
      <c r="V145" s="4"/>
      <c r="W145" s="4">
        <v>391109.9</v>
      </c>
      <c r="X145" s="4">
        <v>1</v>
      </c>
      <c r="Y145" s="4">
        <v>391109.9</v>
      </c>
      <c r="Z145" s="4"/>
      <c r="AA145" s="4"/>
      <c r="AB145" s="4"/>
    </row>
    <row r="146" spans="1:28" x14ac:dyDescent="0.2">
      <c r="A146" s="4">
        <v>50</v>
      </c>
      <c r="B146" s="4">
        <v>0</v>
      </c>
      <c r="C146" s="4">
        <v>0</v>
      </c>
      <c r="D146" s="4">
        <v>1</v>
      </c>
      <c r="E146" s="4">
        <v>226</v>
      </c>
      <c r="F146" s="4">
        <f>ROUND(Source!AW140,O146)</f>
        <v>391109.9</v>
      </c>
      <c r="G146" s="4" t="s">
        <v>72</v>
      </c>
      <c r="H146" s="4" t="s">
        <v>73</v>
      </c>
      <c r="I146" s="4"/>
      <c r="J146" s="4"/>
      <c r="K146" s="4">
        <v>226</v>
      </c>
      <c r="L146" s="4">
        <v>5</v>
      </c>
      <c r="M146" s="4">
        <v>3</v>
      </c>
      <c r="N146" s="4" t="s">
        <v>3</v>
      </c>
      <c r="O146" s="4">
        <v>2</v>
      </c>
      <c r="P146" s="4"/>
      <c r="Q146" s="4"/>
      <c r="R146" s="4"/>
      <c r="S146" s="4"/>
      <c r="T146" s="4"/>
      <c r="U146" s="4"/>
      <c r="V146" s="4"/>
      <c r="W146" s="4">
        <v>391109.9</v>
      </c>
      <c r="X146" s="4">
        <v>1</v>
      </c>
      <c r="Y146" s="4">
        <v>391109.9</v>
      </c>
      <c r="Z146" s="4"/>
      <c r="AA146" s="4"/>
      <c r="AB146" s="4"/>
    </row>
    <row r="147" spans="1:28" x14ac:dyDescent="0.2">
      <c r="A147" s="4">
        <v>50</v>
      </c>
      <c r="B147" s="4">
        <v>0</v>
      </c>
      <c r="C147" s="4">
        <v>0</v>
      </c>
      <c r="D147" s="4">
        <v>1</v>
      </c>
      <c r="E147" s="4">
        <v>227</v>
      </c>
      <c r="F147" s="4">
        <f>ROUND(Source!AX140,O147)</f>
        <v>0</v>
      </c>
      <c r="G147" s="4" t="s">
        <v>74</v>
      </c>
      <c r="H147" s="4" t="s">
        <v>75</v>
      </c>
      <c r="I147" s="4"/>
      <c r="J147" s="4"/>
      <c r="K147" s="4">
        <v>227</v>
      </c>
      <c r="L147" s="4">
        <v>6</v>
      </c>
      <c r="M147" s="4">
        <v>3</v>
      </c>
      <c r="N147" s="4" t="s">
        <v>3</v>
      </c>
      <c r="O147" s="4">
        <v>2</v>
      </c>
      <c r="P147" s="4"/>
      <c r="Q147" s="4"/>
      <c r="R147" s="4"/>
      <c r="S147" s="4"/>
      <c r="T147" s="4"/>
      <c r="U147" s="4"/>
      <c r="V147" s="4"/>
      <c r="W147" s="4">
        <v>0</v>
      </c>
      <c r="X147" s="4">
        <v>1</v>
      </c>
      <c r="Y147" s="4">
        <v>0</v>
      </c>
      <c r="Z147" s="4"/>
      <c r="AA147" s="4"/>
      <c r="AB147" s="4"/>
    </row>
    <row r="148" spans="1:28" x14ac:dyDescent="0.2">
      <c r="A148" s="4">
        <v>50</v>
      </c>
      <c r="B148" s="4">
        <v>0</v>
      </c>
      <c r="C148" s="4">
        <v>0</v>
      </c>
      <c r="D148" s="4">
        <v>1</v>
      </c>
      <c r="E148" s="4">
        <v>228</v>
      </c>
      <c r="F148" s="4">
        <f>ROUND(Source!AY140,O148)</f>
        <v>391109.9</v>
      </c>
      <c r="G148" s="4" t="s">
        <v>76</v>
      </c>
      <c r="H148" s="4" t="s">
        <v>77</v>
      </c>
      <c r="I148" s="4"/>
      <c r="J148" s="4"/>
      <c r="K148" s="4">
        <v>228</v>
      </c>
      <c r="L148" s="4">
        <v>7</v>
      </c>
      <c r="M148" s="4">
        <v>3</v>
      </c>
      <c r="N148" s="4" t="s">
        <v>3</v>
      </c>
      <c r="O148" s="4">
        <v>2</v>
      </c>
      <c r="P148" s="4"/>
      <c r="Q148" s="4"/>
      <c r="R148" s="4"/>
      <c r="S148" s="4"/>
      <c r="T148" s="4"/>
      <c r="U148" s="4"/>
      <c r="V148" s="4"/>
      <c r="W148" s="4">
        <v>391109.9</v>
      </c>
      <c r="X148" s="4">
        <v>1</v>
      </c>
      <c r="Y148" s="4">
        <v>391109.9</v>
      </c>
      <c r="Z148" s="4"/>
      <c r="AA148" s="4"/>
      <c r="AB148" s="4"/>
    </row>
    <row r="149" spans="1:28" x14ac:dyDescent="0.2">
      <c r="A149" s="4">
        <v>50</v>
      </c>
      <c r="B149" s="4">
        <v>0</v>
      </c>
      <c r="C149" s="4">
        <v>0</v>
      </c>
      <c r="D149" s="4">
        <v>1</v>
      </c>
      <c r="E149" s="4">
        <v>216</v>
      </c>
      <c r="F149" s="4">
        <f>ROUND(Source!AP140,O149)</f>
        <v>0</v>
      </c>
      <c r="G149" s="4" t="s">
        <v>78</v>
      </c>
      <c r="H149" s="4" t="s">
        <v>79</v>
      </c>
      <c r="I149" s="4"/>
      <c r="J149" s="4"/>
      <c r="K149" s="4">
        <v>216</v>
      </c>
      <c r="L149" s="4">
        <v>8</v>
      </c>
      <c r="M149" s="4">
        <v>3</v>
      </c>
      <c r="N149" s="4" t="s">
        <v>3</v>
      </c>
      <c r="O149" s="4">
        <v>2</v>
      </c>
      <c r="P149" s="4"/>
      <c r="Q149" s="4"/>
      <c r="R149" s="4"/>
      <c r="S149" s="4"/>
      <c r="T149" s="4"/>
      <c r="U149" s="4"/>
      <c r="V149" s="4"/>
      <c r="W149" s="4">
        <v>0</v>
      </c>
      <c r="X149" s="4">
        <v>1</v>
      </c>
      <c r="Y149" s="4">
        <v>0</v>
      </c>
      <c r="Z149" s="4"/>
      <c r="AA149" s="4"/>
      <c r="AB149" s="4"/>
    </row>
    <row r="150" spans="1:28" x14ac:dyDescent="0.2">
      <c r="A150" s="4">
        <v>50</v>
      </c>
      <c r="B150" s="4">
        <v>0</v>
      </c>
      <c r="C150" s="4">
        <v>0</v>
      </c>
      <c r="D150" s="4">
        <v>1</v>
      </c>
      <c r="E150" s="4">
        <v>223</v>
      </c>
      <c r="F150" s="4">
        <f>ROUND(Source!AQ140,O150)</f>
        <v>0</v>
      </c>
      <c r="G150" s="4" t="s">
        <v>80</v>
      </c>
      <c r="H150" s="4" t="s">
        <v>81</v>
      </c>
      <c r="I150" s="4"/>
      <c r="J150" s="4"/>
      <c r="K150" s="4">
        <v>223</v>
      </c>
      <c r="L150" s="4">
        <v>9</v>
      </c>
      <c r="M150" s="4">
        <v>3</v>
      </c>
      <c r="N150" s="4" t="s">
        <v>3</v>
      </c>
      <c r="O150" s="4">
        <v>2</v>
      </c>
      <c r="P150" s="4"/>
      <c r="Q150" s="4"/>
      <c r="R150" s="4"/>
      <c r="S150" s="4"/>
      <c r="T150" s="4"/>
      <c r="U150" s="4"/>
      <c r="V150" s="4"/>
      <c r="W150" s="4">
        <v>0</v>
      </c>
      <c r="X150" s="4">
        <v>1</v>
      </c>
      <c r="Y150" s="4">
        <v>0</v>
      </c>
      <c r="Z150" s="4"/>
      <c r="AA150" s="4"/>
      <c r="AB150" s="4"/>
    </row>
    <row r="151" spans="1:28" x14ac:dyDescent="0.2">
      <c r="A151" s="4">
        <v>50</v>
      </c>
      <c r="B151" s="4">
        <v>0</v>
      </c>
      <c r="C151" s="4">
        <v>0</v>
      </c>
      <c r="D151" s="4">
        <v>1</v>
      </c>
      <c r="E151" s="4">
        <v>229</v>
      </c>
      <c r="F151" s="4">
        <f>ROUND(Source!AZ140,O151)</f>
        <v>0</v>
      </c>
      <c r="G151" s="4" t="s">
        <v>82</v>
      </c>
      <c r="H151" s="4" t="s">
        <v>83</v>
      </c>
      <c r="I151" s="4"/>
      <c r="J151" s="4"/>
      <c r="K151" s="4">
        <v>229</v>
      </c>
      <c r="L151" s="4">
        <v>10</v>
      </c>
      <c r="M151" s="4">
        <v>3</v>
      </c>
      <c r="N151" s="4" t="s">
        <v>3</v>
      </c>
      <c r="O151" s="4">
        <v>2</v>
      </c>
      <c r="P151" s="4"/>
      <c r="Q151" s="4"/>
      <c r="R151" s="4"/>
      <c r="S151" s="4"/>
      <c r="T151" s="4"/>
      <c r="U151" s="4"/>
      <c r="V151" s="4"/>
      <c r="W151" s="4">
        <v>0</v>
      </c>
      <c r="X151" s="4">
        <v>1</v>
      </c>
      <c r="Y151" s="4">
        <v>0</v>
      </c>
      <c r="Z151" s="4"/>
      <c r="AA151" s="4"/>
      <c r="AB151" s="4"/>
    </row>
    <row r="152" spans="1:28" x14ac:dyDescent="0.2">
      <c r="A152" s="4">
        <v>50</v>
      </c>
      <c r="B152" s="4">
        <v>0</v>
      </c>
      <c r="C152" s="4">
        <v>0</v>
      </c>
      <c r="D152" s="4">
        <v>1</v>
      </c>
      <c r="E152" s="4">
        <v>203</v>
      </c>
      <c r="F152" s="4">
        <f>ROUND(Source!Q140,O152)</f>
        <v>8.64</v>
      </c>
      <c r="G152" s="4" t="s">
        <v>84</v>
      </c>
      <c r="H152" s="4" t="s">
        <v>85</v>
      </c>
      <c r="I152" s="4"/>
      <c r="J152" s="4"/>
      <c r="K152" s="4">
        <v>203</v>
      </c>
      <c r="L152" s="4">
        <v>11</v>
      </c>
      <c r="M152" s="4">
        <v>3</v>
      </c>
      <c r="N152" s="4" t="s">
        <v>3</v>
      </c>
      <c r="O152" s="4">
        <v>2</v>
      </c>
      <c r="P152" s="4"/>
      <c r="Q152" s="4"/>
      <c r="R152" s="4"/>
      <c r="S152" s="4"/>
      <c r="T152" s="4"/>
      <c r="U152" s="4"/>
      <c r="V152" s="4"/>
      <c r="W152" s="4">
        <v>8.64</v>
      </c>
      <c r="X152" s="4">
        <v>1</v>
      </c>
      <c r="Y152" s="4">
        <v>8.64</v>
      </c>
      <c r="Z152" s="4"/>
      <c r="AA152" s="4"/>
      <c r="AB152" s="4"/>
    </row>
    <row r="153" spans="1:28" x14ac:dyDescent="0.2">
      <c r="A153" s="4">
        <v>50</v>
      </c>
      <c r="B153" s="4">
        <v>0</v>
      </c>
      <c r="C153" s="4">
        <v>0</v>
      </c>
      <c r="D153" s="4">
        <v>1</v>
      </c>
      <c r="E153" s="4">
        <v>231</v>
      </c>
      <c r="F153" s="4">
        <f>ROUND(Source!BB140,O153)</f>
        <v>0</v>
      </c>
      <c r="G153" s="4" t="s">
        <v>86</v>
      </c>
      <c r="H153" s="4" t="s">
        <v>87</v>
      </c>
      <c r="I153" s="4"/>
      <c r="J153" s="4"/>
      <c r="K153" s="4">
        <v>231</v>
      </c>
      <c r="L153" s="4">
        <v>12</v>
      </c>
      <c r="M153" s="4">
        <v>3</v>
      </c>
      <c r="N153" s="4" t="s">
        <v>3</v>
      </c>
      <c r="O153" s="4">
        <v>2</v>
      </c>
      <c r="P153" s="4"/>
      <c r="Q153" s="4"/>
      <c r="R153" s="4"/>
      <c r="S153" s="4"/>
      <c r="T153" s="4"/>
      <c r="U153" s="4"/>
      <c r="V153" s="4"/>
      <c r="W153" s="4">
        <v>0</v>
      </c>
      <c r="X153" s="4">
        <v>1</v>
      </c>
      <c r="Y153" s="4">
        <v>0</v>
      </c>
      <c r="Z153" s="4"/>
      <c r="AA153" s="4"/>
      <c r="AB153" s="4"/>
    </row>
    <row r="154" spans="1:28" x14ac:dyDescent="0.2">
      <c r="A154" s="4">
        <v>50</v>
      </c>
      <c r="B154" s="4">
        <v>0</v>
      </c>
      <c r="C154" s="4">
        <v>0</v>
      </c>
      <c r="D154" s="4">
        <v>1</v>
      </c>
      <c r="E154" s="4">
        <v>204</v>
      </c>
      <c r="F154" s="4">
        <f>ROUND(Source!R140,O154)</f>
        <v>0.35</v>
      </c>
      <c r="G154" s="4" t="s">
        <v>88</v>
      </c>
      <c r="H154" s="4" t="s">
        <v>89</v>
      </c>
      <c r="I154" s="4"/>
      <c r="J154" s="4"/>
      <c r="K154" s="4">
        <v>204</v>
      </c>
      <c r="L154" s="4">
        <v>13</v>
      </c>
      <c r="M154" s="4">
        <v>3</v>
      </c>
      <c r="N154" s="4" t="s">
        <v>3</v>
      </c>
      <c r="O154" s="4">
        <v>2</v>
      </c>
      <c r="P154" s="4"/>
      <c r="Q154" s="4"/>
      <c r="R154" s="4"/>
      <c r="S154" s="4"/>
      <c r="T154" s="4"/>
      <c r="U154" s="4"/>
      <c r="V154" s="4"/>
      <c r="W154" s="4">
        <v>0.35</v>
      </c>
      <c r="X154" s="4">
        <v>1</v>
      </c>
      <c r="Y154" s="4">
        <v>0.35</v>
      </c>
      <c r="Z154" s="4"/>
      <c r="AA154" s="4"/>
      <c r="AB154" s="4"/>
    </row>
    <row r="155" spans="1:28" x14ac:dyDescent="0.2">
      <c r="A155" s="4">
        <v>50</v>
      </c>
      <c r="B155" s="4">
        <v>0</v>
      </c>
      <c r="C155" s="4">
        <v>0</v>
      </c>
      <c r="D155" s="4">
        <v>1</v>
      </c>
      <c r="E155" s="4">
        <v>205</v>
      </c>
      <c r="F155" s="4">
        <f>ROUND(Source!S140,O155)</f>
        <v>27284.99</v>
      </c>
      <c r="G155" s="4" t="s">
        <v>90</v>
      </c>
      <c r="H155" s="4" t="s">
        <v>91</v>
      </c>
      <c r="I155" s="4"/>
      <c r="J155" s="4"/>
      <c r="K155" s="4">
        <v>205</v>
      </c>
      <c r="L155" s="4">
        <v>14</v>
      </c>
      <c r="M155" s="4">
        <v>3</v>
      </c>
      <c r="N155" s="4" t="s">
        <v>3</v>
      </c>
      <c r="O155" s="4">
        <v>2</v>
      </c>
      <c r="P155" s="4"/>
      <c r="Q155" s="4"/>
      <c r="R155" s="4"/>
      <c r="S155" s="4"/>
      <c r="T155" s="4"/>
      <c r="U155" s="4"/>
      <c r="V155" s="4"/>
      <c r="W155" s="4">
        <v>27284.99</v>
      </c>
      <c r="X155" s="4">
        <v>1</v>
      </c>
      <c r="Y155" s="4">
        <v>27284.99</v>
      </c>
      <c r="Z155" s="4"/>
      <c r="AA155" s="4"/>
      <c r="AB155" s="4"/>
    </row>
    <row r="156" spans="1:28" x14ac:dyDescent="0.2">
      <c r="A156" s="4">
        <v>50</v>
      </c>
      <c r="B156" s="4">
        <v>0</v>
      </c>
      <c r="C156" s="4">
        <v>0</v>
      </c>
      <c r="D156" s="4">
        <v>1</v>
      </c>
      <c r="E156" s="4">
        <v>232</v>
      </c>
      <c r="F156" s="4">
        <f>ROUND(Source!BC140,O156)</f>
        <v>0</v>
      </c>
      <c r="G156" s="4" t="s">
        <v>92</v>
      </c>
      <c r="H156" s="4" t="s">
        <v>93</v>
      </c>
      <c r="I156" s="4"/>
      <c r="J156" s="4"/>
      <c r="K156" s="4">
        <v>232</v>
      </c>
      <c r="L156" s="4">
        <v>15</v>
      </c>
      <c r="M156" s="4">
        <v>3</v>
      </c>
      <c r="N156" s="4" t="s">
        <v>3</v>
      </c>
      <c r="O156" s="4">
        <v>2</v>
      </c>
      <c r="P156" s="4"/>
      <c r="Q156" s="4"/>
      <c r="R156" s="4"/>
      <c r="S156" s="4"/>
      <c r="T156" s="4"/>
      <c r="U156" s="4"/>
      <c r="V156" s="4"/>
      <c r="W156" s="4">
        <v>0</v>
      </c>
      <c r="X156" s="4">
        <v>1</v>
      </c>
      <c r="Y156" s="4">
        <v>0</v>
      </c>
      <c r="Z156" s="4"/>
      <c r="AA156" s="4"/>
      <c r="AB156" s="4"/>
    </row>
    <row r="157" spans="1:28" x14ac:dyDescent="0.2">
      <c r="A157" s="4">
        <v>50</v>
      </c>
      <c r="B157" s="4">
        <v>0</v>
      </c>
      <c r="C157" s="4">
        <v>0</v>
      </c>
      <c r="D157" s="4">
        <v>1</v>
      </c>
      <c r="E157" s="4">
        <v>214</v>
      </c>
      <c r="F157" s="4">
        <f>ROUND(Source!AS140,O157)</f>
        <v>0</v>
      </c>
      <c r="G157" s="4" t="s">
        <v>94</v>
      </c>
      <c r="H157" s="4" t="s">
        <v>95</v>
      </c>
      <c r="I157" s="4"/>
      <c r="J157" s="4"/>
      <c r="K157" s="4">
        <v>214</v>
      </c>
      <c r="L157" s="4">
        <v>16</v>
      </c>
      <c r="M157" s="4">
        <v>3</v>
      </c>
      <c r="N157" s="4" t="s">
        <v>3</v>
      </c>
      <c r="O157" s="4">
        <v>2</v>
      </c>
      <c r="P157" s="4"/>
      <c r="Q157" s="4"/>
      <c r="R157" s="4"/>
      <c r="S157" s="4"/>
      <c r="T157" s="4"/>
      <c r="U157" s="4"/>
      <c r="V157" s="4"/>
      <c r="W157" s="4">
        <v>0</v>
      </c>
      <c r="X157" s="4">
        <v>1</v>
      </c>
      <c r="Y157" s="4">
        <v>0</v>
      </c>
      <c r="Z157" s="4"/>
      <c r="AA157" s="4"/>
      <c r="AB157" s="4"/>
    </row>
    <row r="158" spans="1:28" x14ac:dyDescent="0.2">
      <c r="A158" s="4">
        <v>50</v>
      </c>
      <c r="B158" s="4">
        <v>0</v>
      </c>
      <c r="C158" s="4">
        <v>0</v>
      </c>
      <c r="D158" s="4">
        <v>1</v>
      </c>
      <c r="E158" s="4">
        <v>215</v>
      </c>
      <c r="F158" s="4">
        <f>ROUND(Source!AT140,O158)</f>
        <v>0</v>
      </c>
      <c r="G158" s="4" t="s">
        <v>96</v>
      </c>
      <c r="H158" s="4" t="s">
        <v>97</v>
      </c>
      <c r="I158" s="4"/>
      <c r="J158" s="4"/>
      <c r="K158" s="4">
        <v>215</v>
      </c>
      <c r="L158" s="4">
        <v>17</v>
      </c>
      <c r="M158" s="4">
        <v>3</v>
      </c>
      <c r="N158" s="4" t="s">
        <v>3</v>
      </c>
      <c r="O158" s="4">
        <v>2</v>
      </c>
      <c r="P158" s="4"/>
      <c r="Q158" s="4"/>
      <c r="R158" s="4"/>
      <c r="S158" s="4"/>
      <c r="T158" s="4"/>
      <c r="U158" s="4"/>
      <c r="V158" s="4"/>
      <c r="W158" s="4">
        <v>0</v>
      </c>
      <c r="X158" s="4">
        <v>1</v>
      </c>
      <c r="Y158" s="4">
        <v>0</v>
      </c>
      <c r="Z158" s="4"/>
      <c r="AA158" s="4"/>
      <c r="AB158" s="4"/>
    </row>
    <row r="159" spans="1:28" x14ac:dyDescent="0.2">
      <c r="A159" s="4">
        <v>50</v>
      </c>
      <c r="B159" s="4">
        <v>0</v>
      </c>
      <c r="C159" s="4">
        <v>0</v>
      </c>
      <c r="D159" s="4">
        <v>1</v>
      </c>
      <c r="E159" s="4">
        <v>217</v>
      </c>
      <c r="F159" s="4">
        <f>ROUND(Source!AU140,O159)</f>
        <v>440231.9</v>
      </c>
      <c r="G159" s="4" t="s">
        <v>98</v>
      </c>
      <c r="H159" s="4" t="s">
        <v>99</v>
      </c>
      <c r="I159" s="4"/>
      <c r="J159" s="4"/>
      <c r="K159" s="4">
        <v>217</v>
      </c>
      <c r="L159" s="4">
        <v>18</v>
      </c>
      <c r="M159" s="4">
        <v>3</v>
      </c>
      <c r="N159" s="4" t="s">
        <v>3</v>
      </c>
      <c r="O159" s="4">
        <v>2</v>
      </c>
      <c r="P159" s="4"/>
      <c r="Q159" s="4"/>
      <c r="R159" s="4"/>
      <c r="S159" s="4"/>
      <c r="T159" s="4"/>
      <c r="U159" s="4"/>
      <c r="V159" s="4"/>
      <c r="W159" s="4">
        <v>440231.9</v>
      </c>
      <c r="X159" s="4">
        <v>1</v>
      </c>
      <c r="Y159" s="4">
        <v>440231.9</v>
      </c>
      <c r="Z159" s="4"/>
      <c r="AA159" s="4"/>
      <c r="AB159" s="4"/>
    </row>
    <row r="160" spans="1:28" x14ac:dyDescent="0.2">
      <c r="A160" s="4">
        <v>50</v>
      </c>
      <c r="B160" s="4">
        <v>0</v>
      </c>
      <c r="C160" s="4">
        <v>0</v>
      </c>
      <c r="D160" s="4">
        <v>1</v>
      </c>
      <c r="E160" s="4">
        <v>230</v>
      </c>
      <c r="F160" s="4">
        <f>ROUND(Source!BA140,O160)</f>
        <v>0</v>
      </c>
      <c r="G160" s="4" t="s">
        <v>100</v>
      </c>
      <c r="H160" s="4" t="s">
        <v>101</v>
      </c>
      <c r="I160" s="4"/>
      <c r="J160" s="4"/>
      <c r="K160" s="4">
        <v>230</v>
      </c>
      <c r="L160" s="4">
        <v>19</v>
      </c>
      <c r="M160" s="4">
        <v>3</v>
      </c>
      <c r="N160" s="4" t="s">
        <v>3</v>
      </c>
      <c r="O160" s="4">
        <v>2</v>
      </c>
      <c r="P160" s="4"/>
      <c r="Q160" s="4"/>
      <c r="R160" s="4"/>
      <c r="S160" s="4"/>
      <c r="T160" s="4"/>
      <c r="U160" s="4"/>
      <c r="V160" s="4"/>
      <c r="W160" s="4">
        <v>0</v>
      </c>
      <c r="X160" s="4">
        <v>1</v>
      </c>
      <c r="Y160" s="4">
        <v>0</v>
      </c>
      <c r="Z160" s="4"/>
      <c r="AA160" s="4"/>
      <c r="AB160" s="4"/>
    </row>
    <row r="161" spans="1:245" x14ac:dyDescent="0.2">
      <c r="A161" s="4">
        <v>50</v>
      </c>
      <c r="B161" s="4">
        <v>0</v>
      </c>
      <c r="C161" s="4">
        <v>0</v>
      </c>
      <c r="D161" s="4">
        <v>1</v>
      </c>
      <c r="E161" s="4">
        <v>206</v>
      </c>
      <c r="F161" s="4">
        <f>ROUND(Source!T140,O161)</f>
        <v>0</v>
      </c>
      <c r="G161" s="4" t="s">
        <v>102</v>
      </c>
      <c r="H161" s="4" t="s">
        <v>103</v>
      </c>
      <c r="I161" s="4"/>
      <c r="J161" s="4"/>
      <c r="K161" s="4">
        <v>206</v>
      </c>
      <c r="L161" s="4">
        <v>20</v>
      </c>
      <c r="M161" s="4">
        <v>3</v>
      </c>
      <c r="N161" s="4" t="s">
        <v>3</v>
      </c>
      <c r="O161" s="4">
        <v>2</v>
      </c>
      <c r="P161" s="4"/>
      <c r="Q161" s="4"/>
      <c r="R161" s="4"/>
      <c r="S161" s="4"/>
      <c r="T161" s="4"/>
      <c r="U161" s="4"/>
      <c r="V161" s="4"/>
      <c r="W161" s="4">
        <v>0</v>
      </c>
      <c r="X161" s="4">
        <v>1</v>
      </c>
      <c r="Y161" s="4">
        <v>0</v>
      </c>
      <c r="Z161" s="4"/>
      <c r="AA161" s="4"/>
      <c r="AB161" s="4"/>
    </row>
    <row r="162" spans="1:245" x14ac:dyDescent="0.2">
      <c r="A162" s="4">
        <v>50</v>
      </c>
      <c r="B162" s="4">
        <v>0</v>
      </c>
      <c r="C162" s="4">
        <v>0</v>
      </c>
      <c r="D162" s="4">
        <v>1</v>
      </c>
      <c r="E162" s="4">
        <v>207</v>
      </c>
      <c r="F162" s="4">
        <f>Source!U140</f>
        <v>84.708481200000008</v>
      </c>
      <c r="G162" s="4" t="s">
        <v>104</v>
      </c>
      <c r="H162" s="4" t="s">
        <v>105</v>
      </c>
      <c r="I162" s="4"/>
      <c r="J162" s="4"/>
      <c r="K162" s="4">
        <v>207</v>
      </c>
      <c r="L162" s="4">
        <v>21</v>
      </c>
      <c r="M162" s="4">
        <v>3</v>
      </c>
      <c r="N162" s="4" t="s">
        <v>3</v>
      </c>
      <c r="O162" s="4">
        <v>-1</v>
      </c>
      <c r="P162" s="4"/>
      <c r="Q162" s="4"/>
      <c r="R162" s="4"/>
      <c r="S162" s="4"/>
      <c r="T162" s="4"/>
      <c r="U162" s="4"/>
      <c r="V162" s="4"/>
      <c r="W162" s="4">
        <v>84.708481200000008</v>
      </c>
      <c r="X162" s="4">
        <v>1</v>
      </c>
      <c r="Y162" s="4">
        <v>84.708481200000008</v>
      </c>
      <c r="Z162" s="4"/>
      <c r="AA162" s="4"/>
      <c r="AB162" s="4"/>
    </row>
    <row r="163" spans="1:245" x14ac:dyDescent="0.2">
      <c r="A163" s="4">
        <v>50</v>
      </c>
      <c r="B163" s="4">
        <v>0</v>
      </c>
      <c r="C163" s="4">
        <v>0</v>
      </c>
      <c r="D163" s="4">
        <v>1</v>
      </c>
      <c r="E163" s="4">
        <v>208</v>
      </c>
      <c r="F163" s="4">
        <f>Source!V140</f>
        <v>0</v>
      </c>
      <c r="G163" s="4" t="s">
        <v>106</v>
      </c>
      <c r="H163" s="4" t="s">
        <v>107</v>
      </c>
      <c r="I163" s="4"/>
      <c r="J163" s="4"/>
      <c r="K163" s="4">
        <v>208</v>
      </c>
      <c r="L163" s="4">
        <v>22</v>
      </c>
      <c r="M163" s="4">
        <v>3</v>
      </c>
      <c r="N163" s="4" t="s">
        <v>3</v>
      </c>
      <c r="O163" s="4">
        <v>-1</v>
      </c>
      <c r="P163" s="4"/>
      <c r="Q163" s="4"/>
      <c r="R163" s="4"/>
      <c r="S163" s="4"/>
      <c r="T163" s="4"/>
      <c r="U163" s="4"/>
      <c r="V163" s="4"/>
      <c r="W163" s="4">
        <v>0</v>
      </c>
      <c r="X163" s="4">
        <v>1</v>
      </c>
      <c r="Y163" s="4">
        <v>0</v>
      </c>
      <c r="Z163" s="4"/>
      <c r="AA163" s="4"/>
      <c r="AB163" s="4"/>
    </row>
    <row r="164" spans="1:245" x14ac:dyDescent="0.2">
      <c r="A164" s="4">
        <v>50</v>
      </c>
      <c r="B164" s="4">
        <v>0</v>
      </c>
      <c r="C164" s="4">
        <v>0</v>
      </c>
      <c r="D164" s="4">
        <v>1</v>
      </c>
      <c r="E164" s="4">
        <v>209</v>
      </c>
      <c r="F164" s="4">
        <f>ROUND(Source!W140,O164)</f>
        <v>0</v>
      </c>
      <c r="G164" s="4" t="s">
        <v>108</v>
      </c>
      <c r="H164" s="4" t="s">
        <v>109</v>
      </c>
      <c r="I164" s="4"/>
      <c r="J164" s="4"/>
      <c r="K164" s="4">
        <v>209</v>
      </c>
      <c r="L164" s="4">
        <v>23</v>
      </c>
      <c r="M164" s="4">
        <v>3</v>
      </c>
      <c r="N164" s="4" t="s">
        <v>3</v>
      </c>
      <c r="O164" s="4">
        <v>2</v>
      </c>
      <c r="P164" s="4"/>
      <c r="Q164" s="4"/>
      <c r="R164" s="4"/>
      <c r="S164" s="4"/>
      <c r="T164" s="4"/>
      <c r="U164" s="4"/>
      <c r="V164" s="4"/>
      <c r="W164" s="4">
        <v>0</v>
      </c>
      <c r="X164" s="4">
        <v>1</v>
      </c>
      <c r="Y164" s="4">
        <v>0</v>
      </c>
      <c r="Z164" s="4"/>
      <c r="AA164" s="4"/>
      <c r="AB164" s="4"/>
    </row>
    <row r="165" spans="1:245" x14ac:dyDescent="0.2">
      <c r="A165" s="4">
        <v>50</v>
      </c>
      <c r="B165" s="4">
        <v>0</v>
      </c>
      <c r="C165" s="4">
        <v>0</v>
      </c>
      <c r="D165" s="4">
        <v>1</v>
      </c>
      <c r="E165" s="4">
        <v>233</v>
      </c>
      <c r="F165" s="4">
        <f>ROUND(Source!BD140,O165)</f>
        <v>0</v>
      </c>
      <c r="G165" s="4" t="s">
        <v>110</v>
      </c>
      <c r="H165" s="4" t="s">
        <v>111</v>
      </c>
      <c r="I165" s="4"/>
      <c r="J165" s="4"/>
      <c r="K165" s="4">
        <v>233</v>
      </c>
      <c r="L165" s="4">
        <v>24</v>
      </c>
      <c r="M165" s="4">
        <v>3</v>
      </c>
      <c r="N165" s="4" t="s">
        <v>3</v>
      </c>
      <c r="O165" s="4">
        <v>2</v>
      </c>
      <c r="P165" s="4"/>
      <c r="Q165" s="4"/>
      <c r="R165" s="4"/>
      <c r="S165" s="4"/>
      <c r="T165" s="4"/>
      <c r="U165" s="4"/>
      <c r="V165" s="4"/>
      <c r="W165" s="4">
        <v>0</v>
      </c>
      <c r="X165" s="4">
        <v>1</v>
      </c>
      <c r="Y165" s="4">
        <v>0</v>
      </c>
      <c r="Z165" s="4"/>
      <c r="AA165" s="4"/>
      <c r="AB165" s="4"/>
    </row>
    <row r="166" spans="1:245" x14ac:dyDescent="0.2">
      <c r="A166" s="4">
        <v>50</v>
      </c>
      <c r="B166" s="4">
        <v>0</v>
      </c>
      <c r="C166" s="4">
        <v>0</v>
      </c>
      <c r="D166" s="4">
        <v>1</v>
      </c>
      <c r="E166" s="4">
        <v>210</v>
      </c>
      <c r="F166" s="4">
        <f>ROUND(Source!X140,O166)</f>
        <v>19099.490000000002</v>
      </c>
      <c r="G166" s="4" t="s">
        <v>112</v>
      </c>
      <c r="H166" s="4" t="s">
        <v>113</v>
      </c>
      <c r="I166" s="4"/>
      <c r="J166" s="4"/>
      <c r="K166" s="4">
        <v>210</v>
      </c>
      <c r="L166" s="4">
        <v>25</v>
      </c>
      <c r="M166" s="4">
        <v>3</v>
      </c>
      <c r="N166" s="4" t="s">
        <v>3</v>
      </c>
      <c r="O166" s="4">
        <v>2</v>
      </c>
      <c r="P166" s="4"/>
      <c r="Q166" s="4"/>
      <c r="R166" s="4"/>
      <c r="S166" s="4"/>
      <c r="T166" s="4"/>
      <c r="U166" s="4"/>
      <c r="V166" s="4"/>
      <c r="W166" s="4">
        <v>19099.490000000002</v>
      </c>
      <c r="X166" s="4">
        <v>1</v>
      </c>
      <c r="Y166" s="4">
        <v>19099.490000000002</v>
      </c>
      <c r="Z166" s="4"/>
      <c r="AA166" s="4"/>
      <c r="AB166" s="4"/>
    </row>
    <row r="167" spans="1:245" x14ac:dyDescent="0.2">
      <c r="A167" s="4">
        <v>50</v>
      </c>
      <c r="B167" s="4">
        <v>0</v>
      </c>
      <c r="C167" s="4">
        <v>0</v>
      </c>
      <c r="D167" s="4">
        <v>1</v>
      </c>
      <c r="E167" s="4">
        <v>211</v>
      </c>
      <c r="F167" s="4">
        <f>ROUND(Source!Y140,O167)</f>
        <v>2728.5</v>
      </c>
      <c r="G167" s="4" t="s">
        <v>114</v>
      </c>
      <c r="H167" s="4" t="s">
        <v>115</v>
      </c>
      <c r="I167" s="4"/>
      <c r="J167" s="4"/>
      <c r="K167" s="4">
        <v>211</v>
      </c>
      <c r="L167" s="4">
        <v>26</v>
      </c>
      <c r="M167" s="4">
        <v>3</v>
      </c>
      <c r="N167" s="4" t="s">
        <v>3</v>
      </c>
      <c r="O167" s="4">
        <v>2</v>
      </c>
      <c r="P167" s="4"/>
      <c r="Q167" s="4"/>
      <c r="R167" s="4"/>
      <c r="S167" s="4"/>
      <c r="T167" s="4"/>
      <c r="U167" s="4"/>
      <c r="V167" s="4"/>
      <c r="W167" s="4">
        <v>2728.5</v>
      </c>
      <c r="X167" s="4">
        <v>1</v>
      </c>
      <c r="Y167" s="4">
        <v>2728.5</v>
      </c>
      <c r="Z167" s="4"/>
      <c r="AA167" s="4"/>
      <c r="AB167" s="4"/>
    </row>
    <row r="168" spans="1:245" x14ac:dyDescent="0.2">
      <c r="A168" s="4">
        <v>50</v>
      </c>
      <c r="B168" s="4">
        <v>0</v>
      </c>
      <c r="C168" s="4">
        <v>0</v>
      </c>
      <c r="D168" s="4">
        <v>1</v>
      </c>
      <c r="E168" s="4">
        <v>224</v>
      </c>
      <c r="F168" s="4">
        <f>ROUND(Source!AR140,O168)</f>
        <v>440231.9</v>
      </c>
      <c r="G168" s="4" t="s">
        <v>116</v>
      </c>
      <c r="H168" s="4" t="s">
        <v>117</v>
      </c>
      <c r="I168" s="4"/>
      <c r="J168" s="4"/>
      <c r="K168" s="4">
        <v>224</v>
      </c>
      <c r="L168" s="4">
        <v>27</v>
      </c>
      <c r="M168" s="4">
        <v>3</v>
      </c>
      <c r="N168" s="4" t="s">
        <v>3</v>
      </c>
      <c r="O168" s="4">
        <v>2</v>
      </c>
      <c r="P168" s="4"/>
      <c r="Q168" s="4"/>
      <c r="R168" s="4"/>
      <c r="S168" s="4"/>
      <c r="T168" s="4"/>
      <c r="U168" s="4"/>
      <c r="V168" s="4"/>
      <c r="W168" s="4">
        <v>440231.9</v>
      </c>
      <c r="X168" s="4">
        <v>1</v>
      </c>
      <c r="Y168" s="4">
        <v>440231.9</v>
      </c>
      <c r="Z168" s="4"/>
      <c r="AA168" s="4"/>
      <c r="AB168" s="4"/>
    </row>
    <row r="170" spans="1:245" x14ac:dyDescent="0.2">
      <c r="A170" s="1">
        <v>5</v>
      </c>
      <c r="B170" s="1">
        <v>1</v>
      </c>
      <c r="C170" s="1"/>
      <c r="D170" s="1">
        <f>ROW(A187)</f>
        <v>187</v>
      </c>
      <c r="E170" s="1"/>
      <c r="F170" s="1" t="s">
        <v>15</v>
      </c>
      <c r="G170" s="1" t="s">
        <v>221</v>
      </c>
      <c r="H170" s="1" t="s">
        <v>3</v>
      </c>
      <c r="I170" s="1">
        <v>0</v>
      </c>
      <c r="J170" s="1"/>
      <c r="K170" s="1">
        <v>0</v>
      </c>
      <c r="L170" s="1"/>
      <c r="M170" s="1" t="s">
        <v>3</v>
      </c>
      <c r="N170" s="1"/>
      <c r="O170" s="1"/>
      <c r="P170" s="1"/>
      <c r="Q170" s="1"/>
      <c r="R170" s="1"/>
      <c r="S170" s="1">
        <v>0</v>
      </c>
      <c r="T170" s="1"/>
      <c r="U170" s="1" t="s">
        <v>3</v>
      </c>
      <c r="V170" s="1">
        <v>0</v>
      </c>
      <c r="W170" s="1"/>
      <c r="X170" s="1"/>
      <c r="Y170" s="1"/>
      <c r="Z170" s="1"/>
      <c r="AA170" s="1"/>
      <c r="AB170" s="1" t="s">
        <v>3</v>
      </c>
      <c r="AC170" s="1" t="s">
        <v>3</v>
      </c>
      <c r="AD170" s="1" t="s">
        <v>3</v>
      </c>
      <c r="AE170" s="1" t="s">
        <v>3</v>
      </c>
      <c r="AF170" s="1" t="s">
        <v>3</v>
      </c>
      <c r="AG170" s="1" t="s">
        <v>3</v>
      </c>
      <c r="AH170" s="1"/>
      <c r="AI170" s="1"/>
      <c r="AJ170" s="1"/>
      <c r="AK170" s="1"/>
      <c r="AL170" s="1"/>
      <c r="AM170" s="1"/>
      <c r="AN170" s="1"/>
      <c r="AO170" s="1"/>
      <c r="AP170" s="1" t="s">
        <v>3</v>
      </c>
      <c r="AQ170" s="1" t="s">
        <v>3</v>
      </c>
      <c r="AR170" s="1" t="s">
        <v>3</v>
      </c>
      <c r="AS170" s="1"/>
      <c r="AT170" s="1"/>
      <c r="AU170" s="1"/>
      <c r="AV170" s="1"/>
      <c r="AW170" s="1"/>
      <c r="AX170" s="1"/>
      <c r="AY170" s="1"/>
      <c r="AZ170" s="1" t="s">
        <v>3</v>
      </c>
      <c r="BA170" s="1"/>
      <c r="BB170" s="1" t="s">
        <v>3</v>
      </c>
      <c r="BC170" s="1" t="s">
        <v>3</v>
      </c>
      <c r="BD170" s="1" t="s">
        <v>3</v>
      </c>
      <c r="BE170" s="1" t="s">
        <v>3</v>
      </c>
      <c r="BF170" s="1" t="s">
        <v>3</v>
      </c>
      <c r="BG170" s="1" t="s">
        <v>3</v>
      </c>
      <c r="BH170" s="1" t="s">
        <v>3</v>
      </c>
      <c r="BI170" s="1" t="s">
        <v>3</v>
      </c>
      <c r="BJ170" s="1" t="s">
        <v>3</v>
      </c>
      <c r="BK170" s="1" t="s">
        <v>3</v>
      </c>
      <c r="BL170" s="1" t="s">
        <v>3</v>
      </c>
      <c r="BM170" s="1" t="s">
        <v>3</v>
      </c>
      <c r="BN170" s="1" t="s">
        <v>3</v>
      </c>
      <c r="BO170" s="1" t="s">
        <v>3</v>
      </c>
      <c r="BP170" s="1" t="s">
        <v>3</v>
      </c>
      <c r="BQ170" s="1"/>
      <c r="BR170" s="1"/>
      <c r="BS170" s="1"/>
      <c r="BT170" s="1"/>
      <c r="BU170" s="1"/>
      <c r="BV170" s="1"/>
      <c r="BW170" s="1"/>
      <c r="BX170" s="1">
        <v>0</v>
      </c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>
        <v>0</v>
      </c>
    </row>
    <row r="172" spans="1:245" x14ac:dyDescent="0.2">
      <c r="A172" s="2">
        <v>52</v>
      </c>
      <c r="B172" s="2">
        <f t="shared" ref="B172:G172" si="166">B187</f>
        <v>1</v>
      </c>
      <c r="C172" s="2">
        <f t="shared" si="166"/>
        <v>5</v>
      </c>
      <c r="D172" s="2">
        <f t="shared" si="166"/>
        <v>170</v>
      </c>
      <c r="E172" s="2">
        <f t="shared" si="166"/>
        <v>0</v>
      </c>
      <c r="F172" s="2" t="str">
        <f t="shared" si="166"/>
        <v>Новый подраздел</v>
      </c>
      <c r="G172" s="2" t="str">
        <f t="shared" si="166"/>
        <v>1.4 Электромонтажные работы</v>
      </c>
      <c r="H172" s="2"/>
      <c r="I172" s="2"/>
      <c r="J172" s="2"/>
      <c r="K172" s="2"/>
      <c r="L172" s="2"/>
      <c r="M172" s="2"/>
      <c r="N172" s="2"/>
      <c r="O172" s="2">
        <f t="shared" ref="O172:AT172" si="167">O187</f>
        <v>290027.59999999998</v>
      </c>
      <c r="P172" s="2">
        <f t="shared" si="167"/>
        <v>236482.67</v>
      </c>
      <c r="Q172" s="2">
        <f t="shared" si="167"/>
        <v>20.34</v>
      </c>
      <c r="R172" s="2">
        <f t="shared" si="167"/>
        <v>2.13</v>
      </c>
      <c r="S172" s="2">
        <f t="shared" si="167"/>
        <v>53524.59</v>
      </c>
      <c r="T172" s="2">
        <f t="shared" si="167"/>
        <v>0</v>
      </c>
      <c r="U172" s="2">
        <f t="shared" si="167"/>
        <v>160.58394899999999</v>
      </c>
      <c r="V172" s="2">
        <f t="shared" si="167"/>
        <v>0</v>
      </c>
      <c r="W172" s="2">
        <f t="shared" si="167"/>
        <v>0</v>
      </c>
      <c r="X172" s="2">
        <f t="shared" si="167"/>
        <v>37467.22</v>
      </c>
      <c r="Y172" s="2">
        <f t="shared" si="167"/>
        <v>5352.47</v>
      </c>
      <c r="Z172" s="2">
        <f t="shared" si="167"/>
        <v>0</v>
      </c>
      <c r="AA172" s="2">
        <f t="shared" si="167"/>
        <v>0</v>
      </c>
      <c r="AB172" s="2">
        <f t="shared" si="167"/>
        <v>290027.59999999998</v>
      </c>
      <c r="AC172" s="2">
        <f t="shared" si="167"/>
        <v>236482.67</v>
      </c>
      <c r="AD172" s="2">
        <f t="shared" si="167"/>
        <v>20.34</v>
      </c>
      <c r="AE172" s="2">
        <f t="shared" si="167"/>
        <v>2.13</v>
      </c>
      <c r="AF172" s="2">
        <f t="shared" si="167"/>
        <v>53524.59</v>
      </c>
      <c r="AG172" s="2">
        <f t="shared" si="167"/>
        <v>0</v>
      </c>
      <c r="AH172" s="2">
        <f t="shared" si="167"/>
        <v>160.58394899999999</v>
      </c>
      <c r="AI172" s="2">
        <f t="shared" si="167"/>
        <v>0</v>
      </c>
      <c r="AJ172" s="2">
        <f t="shared" si="167"/>
        <v>0</v>
      </c>
      <c r="AK172" s="2">
        <f t="shared" si="167"/>
        <v>37467.22</v>
      </c>
      <c r="AL172" s="2">
        <f t="shared" si="167"/>
        <v>5352.47</v>
      </c>
      <c r="AM172" s="2">
        <f t="shared" si="167"/>
        <v>0</v>
      </c>
      <c r="AN172" s="2">
        <f t="shared" si="167"/>
        <v>0</v>
      </c>
      <c r="AO172" s="2">
        <f t="shared" si="167"/>
        <v>0</v>
      </c>
      <c r="AP172" s="2">
        <f t="shared" si="167"/>
        <v>0</v>
      </c>
      <c r="AQ172" s="2">
        <f t="shared" si="167"/>
        <v>0</v>
      </c>
      <c r="AR172" s="2">
        <f t="shared" si="167"/>
        <v>332849.59000000003</v>
      </c>
      <c r="AS172" s="2">
        <f t="shared" si="167"/>
        <v>0</v>
      </c>
      <c r="AT172" s="2">
        <f t="shared" si="167"/>
        <v>0</v>
      </c>
      <c r="AU172" s="2">
        <f t="shared" ref="AU172:BZ172" si="168">AU187</f>
        <v>332849.59000000003</v>
      </c>
      <c r="AV172" s="2">
        <f t="shared" si="168"/>
        <v>236482.67</v>
      </c>
      <c r="AW172" s="2">
        <f t="shared" si="168"/>
        <v>236482.67</v>
      </c>
      <c r="AX172" s="2">
        <f t="shared" si="168"/>
        <v>0</v>
      </c>
      <c r="AY172" s="2">
        <f t="shared" si="168"/>
        <v>236482.67</v>
      </c>
      <c r="AZ172" s="2">
        <f t="shared" si="168"/>
        <v>0</v>
      </c>
      <c r="BA172" s="2">
        <f t="shared" si="168"/>
        <v>0</v>
      </c>
      <c r="BB172" s="2">
        <f t="shared" si="168"/>
        <v>0</v>
      </c>
      <c r="BC172" s="2">
        <f t="shared" si="168"/>
        <v>0</v>
      </c>
      <c r="BD172" s="2">
        <f t="shared" si="168"/>
        <v>0</v>
      </c>
      <c r="BE172" s="2">
        <f t="shared" si="168"/>
        <v>0</v>
      </c>
      <c r="BF172" s="2">
        <f t="shared" si="168"/>
        <v>0</v>
      </c>
      <c r="BG172" s="2">
        <f t="shared" si="168"/>
        <v>0</v>
      </c>
      <c r="BH172" s="2">
        <f t="shared" si="168"/>
        <v>0</v>
      </c>
      <c r="BI172" s="2">
        <f t="shared" si="168"/>
        <v>0</v>
      </c>
      <c r="BJ172" s="2">
        <f t="shared" si="168"/>
        <v>0</v>
      </c>
      <c r="BK172" s="2">
        <f t="shared" si="168"/>
        <v>0</v>
      </c>
      <c r="BL172" s="2">
        <f t="shared" si="168"/>
        <v>0</v>
      </c>
      <c r="BM172" s="2">
        <f t="shared" si="168"/>
        <v>0</v>
      </c>
      <c r="BN172" s="2">
        <f t="shared" si="168"/>
        <v>0</v>
      </c>
      <c r="BO172" s="2">
        <f t="shared" si="168"/>
        <v>0</v>
      </c>
      <c r="BP172" s="2">
        <f t="shared" si="168"/>
        <v>0</v>
      </c>
      <c r="BQ172" s="2">
        <f t="shared" si="168"/>
        <v>0</v>
      </c>
      <c r="BR172" s="2">
        <f t="shared" si="168"/>
        <v>0</v>
      </c>
      <c r="BS172" s="2">
        <f t="shared" si="168"/>
        <v>0</v>
      </c>
      <c r="BT172" s="2">
        <f t="shared" si="168"/>
        <v>0</v>
      </c>
      <c r="BU172" s="2">
        <f t="shared" si="168"/>
        <v>0</v>
      </c>
      <c r="BV172" s="2">
        <f t="shared" si="168"/>
        <v>0</v>
      </c>
      <c r="BW172" s="2">
        <f t="shared" si="168"/>
        <v>0</v>
      </c>
      <c r="BX172" s="2">
        <f t="shared" si="168"/>
        <v>0</v>
      </c>
      <c r="BY172" s="2">
        <f t="shared" si="168"/>
        <v>0</v>
      </c>
      <c r="BZ172" s="2">
        <f t="shared" si="168"/>
        <v>0</v>
      </c>
      <c r="CA172" s="2">
        <f t="shared" ref="CA172:DF172" si="169">CA187</f>
        <v>332849.59000000003</v>
      </c>
      <c r="CB172" s="2">
        <f t="shared" si="169"/>
        <v>0</v>
      </c>
      <c r="CC172" s="2">
        <f t="shared" si="169"/>
        <v>0</v>
      </c>
      <c r="CD172" s="2">
        <f t="shared" si="169"/>
        <v>332849.59000000003</v>
      </c>
      <c r="CE172" s="2">
        <f t="shared" si="169"/>
        <v>236482.67</v>
      </c>
      <c r="CF172" s="2">
        <f t="shared" si="169"/>
        <v>236482.67</v>
      </c>
      <c r="CG172" s="2">
        <f t="shared" si="169"/>
        <v>0</v>
      </c>
      <c r="CH172" s="2">
        <f t="shared" si="169"/>
        <v>236482.67</v>
      </c>
      <c r="CI172" s="2">
        <f t="shared" si="169"/>
        <v>0</v>
      </c>
      <c r="CJ172" s="2">
        <f t="shared" si="169"/>
        <v>0</v>
      </c>
      <c r="CK172" s="2">
        <f t="shared" si="169"/>
        <v>0</v>
      </c>
      <c r="CL172" s="2">
        <f t="shared" si="169"/>
        <v>0</v>
      </c>
      <c r="CM172" s="2">
        <f t="shared" si="169"/>
        <v>0</v>
      </c>
      <c r="CN172" s="2">
        <f t="shared" si="169"/>
        <v>0</v>
      </c>
      <c r="CO172" s="2">
        <f t="shared" si="169"/>
        <v>0</v>
      </c>
      <c r="CP172" s="2">
        <f t="shared" si="169"/>
        <v>0</v>
      </c>
      <c r="CQ172" s="2">
        <f t="shared" si="169"/>
        <v>0</v>
      </c>
      <c r="CR172" s="2">
        <f t="shared" si="169"/>
        <v>0</v>
      </c>
      <c r="CS172" s="2">
        <f t="shared" si="169"/>
        <v>0</v>
      </c>
      <c r="CT172" s="2">
        <f t="shared" si="169"/>
        <v>0</v>
      </c>
      <c r="CU172" s="2">
        <f t="shared" si="169"/>
        <v>0</v>
      </c>
      <c r="CV172" s="2">
        <f t="shared" si="169"/>
        <v>0</v>
      </c>
      <c r="CW172" s="2">
        <f t="shared" si="169"/>
        <v>0</v>
      </c>
      <c r="CX172" s="2">
        <f t="shared" si="169"/>
        <v>0</v>
      </c>
      <c r="CY172" s="2">
        <f t="shared" si="169"/>
        <v>0</v>
      </c>
      <c r="CZ172" s="2">
        <f t="shared" si="169"/>
        <v>0</v>
      </c>
      <c r="DA172" s="2">
        <f t="shared" si="169"/>
        <v>0</v>
      </c>
      <c r="DB172" s="2">
        <f t="shared" si="169"/>
        <v>0</v>
      </c>
      <c r="DC172" s="2">
        <f t="shared" si="169"/>
        <v>0</v>
      </c>
      <c r="DD172" s="2">
        <f t="shared" si="169"/>
        <v>0</v>
      </c>
      <c r="DE172" s="2">
        <f t="shared" si="169"/>
        <v>0</v>
      </c>
      <c r="DF172" s="2">
        <f t="shared" si="169"/>
        <v>0</v>
      </c>
      <c r="DG172" s="3">
        <f t="shared" ref="DG172:EL172" si="170">DG187</f>
        <v>0</v>
      </c>
      <c r="DH172" s="3">
        <f t="shared" si="170"/>
        <v>0</v>
      </c>
      <c r="DI172" s="3">
        <f t="shared" si="170"/>
        <v>0</v>
      </c>
      <c r="DJ172" s="3">
        <f t="shared" si="170"/>
        <v>0</v>
      </c>
      <c r="DK172" s="3">
        <f t="shared" si="170"/>
        <v>0</v>
      </c>
      <c r="DL172" s="3">
        <f t="shared" si="170"/>
        <v>0</v>
      </c>
      <c r="DM172" s="3">
        <f t="shared" si="170"/>
        <v>0</v>
      </c>
      <c r="DN172" s="3">
        <f t="shared" si="170"/>
        <v>0</v>
      </c>
      <c r="DO172" s="3">
        <f t="shared" si="170"/>
        <v>0</v>
      </c>
      <c r="DP172" s="3">
        <f t="shared" si="170"/>
        <v>0</v>
      </c>
      <c r="DQ172" s="3">
        <f t="shared" si="170"/>
        <v>0</v>
      </c>
      <c r="DR172" s="3">
        <f t="shared" si="170"/>
        <v>0</v>
      </c>
      <c r="DS172" s="3">
        <f t="shared" si="170"/>
        <v>0</v>
      </c>
      <c r="DT172" s="3">
        <f t="shared" si="170"/>
        <v>0</v>
      </c>
      <c r="DU172" s="3">
        <f t="shared" si="170"/>
        <v>0</v>
      </c>
      <c r="DV172" s="3">
        <f t="shared" si="170"/>
        <v>0</v>
      </c>
      <c r="DW172" s="3">
        <f t="shared" si="170"/>
        <v>0</v>
      </c>
      <c r="DX172" s="3">
        <f t="shared" si="170"/>
        <v>0</v>
      </c>
      <c r="DY172" s="3">
        <f t="shared" si="170"/>
        <v>0</v>
      </c>
      <c r="DZ172" s="3">
        <f t="shared" si="170"/>
        <v>0</v>
      </c>
      <c r="EA172" s="3">
        <f t="shared" si="170"/>
        <v>0</v>
      </c>
      <c r="EB172" s="3">
        <f t="shared" si="170"/>
        <v>0</v>
      </c>
      <c r="EC172" s="3">
        <f t="shared" si="170"/>
        <v>0</v>
      </c>
      <c r="ED172" s="3">
        <f t="shared" si="170"/>
        <v>0</v>
      </c>
      <c r="EE172" s="3">
        <f t="shared" si="170"/>
        <v>0</v>
      </c>
      <c r="EF172" s="3">
        <f t="shared" si="170"/>
        <v>0</v>
      </c>
      <c r="EG172" s="3">
        <f t="shared" si="170"/>
        <v>0</v>
      </c>
      <c r="EH172" s="3">
        <f t="shared" si="170"/>
        <v>0</v>
      </c>
      <c r="EI172" s="3">
        <f t="shared" si="170"/>
        <v>0</v>
      </c>
      <c r="EJ172" s="3">
        <f t="shared" si="170"/>
        <v>0</v>
      </c>
      <c r="EK172" s="3">
        <f t="shared" si="170"/>
        <v>0</v>
      </c>
      <c r="EL172" s="3">
        <f t="shared" si="170"/>
        <v>0</v>
      </c>
      <c r="EM172" s="3">
        <f t="shared" ref="EM172:FR172" si="171">EM187</f>
        <v>0</v>
      </c>
      <c r="EN172" s="3">
        <f t="shared" si="171"/>
        <v>0</v>
      </c>
      <c r="EO172" s="3">
        <f t="shared" si="171"/>
        <v>0</v>
      </c>
      <c r="EP172" s="3">
        <f t="shared" si="171"/>
        <v>0</v>
      </c>
      <c r="EQ172" s="3">
        <f t="shared" si="171"/>
        <v>0</v>
      </c>
      <c r="ER172" s="3">
        <f t="shared" si="171"/>
        <v>0</v>
      </c>
      <c r="ES172" s="3">
        <f t="shared" si="171"/>
        <v>0</v>
      </c>
      <c r="ET172" s="3">
        <f t="shared" si="171"/>
        <v>0</v>
      </c>
      <c r="EU172" s="3">
        <f t="shared" si="171"/>
        <v>0</v>
      </c>
      <c r="EV172" s="3">
        <f t="shared" si="171"/>
        <v>0</v>
      </c>
      <c r="EW172" s="3">
        <f t="shared" si="171"/>
        <v>0</v>
      </c>
      <c r="EX172" s="3">
        <f t="shared" si="171"/>
        <v>0</v>
      </c>
      <c r="EY172" s="3">
        <f t="shared" si="171"/>
        <v>0</v>
      </c>
      <c r="EZ172" s="3">
        <f t="shared" si="171"/>
        <v>0</v>
      </c>
      <c r="FA172" s="3">
        <f t="shared" si="171"/>
        <v>0</v>
      </c>
      <c r="FB172" s="3">
        <f t="shared" si="171"/>
        <v>0</v>
      </c>
      <c r="FC172" s="3">
        <f t="shared" si="171"/>
        <v>0</v>
      </c>
      <c r="FD172" s="3">
        <f t="shared" si="171"/>
        <v>0</v>
      </c>
      <c r="FE172" s="3">
        <f t="shared" si="171"/>
        <v>0</v>
      </c>
      <c r="FF172" s="3">
        <f t="shared" si="171"/>
        <v>0</v>
      </c>
      <c r="FG172" s="3">
        <f t="shared" si="171"/>
        <v>0</v>
      </c>
      <c r="FH172" s="3">
        <f t="shared" si="171"/>
        <v>0</v>
      </c>
      <c r="FI172" s="3">
        <f t="shared" si="171"/>
        <v>0</v>
      </c>
      <c r="FJ172" s="3">
        <f t="shared" si="171"/>
        <v>0</v>
      </c>
      <c r="FK172" s="3">
        <f t="shared" si="171"/>
        <v>0</v>
      </c>
      <c r="FL172" s="3">
        <f t="shared" si="171"/>
        <v>0</v>
      </c>
      <c r="FM172" s="3">
        <f t="shared" si="171"/>
        <v>0</v>
      </c>
      <c r="FN172" s="3">
        <f t="shared" si="171"/>
        <v>0</v>
      </c>
      <c r="FO172" s="3">
        <f t="shared" si="171"/>
        <v>0</v>
      </c>
      <c r="FP172" s="3">
        <f t="shared" si="171"/>
        <v>0</v>
      </c>
      <c r="FQ172" s="3">
        <f t="shared" si="171"/>
        <v>0</v>
      </c>
      <c r="FR172" s="3">
        <f t="shared" si="171"/>
        <v>0</v>
      </c>
      <c r="FS172" s="3">
        <f t="shared" ref="FS172:GX172" si="172">FS187</f>
        <v>0</v>
      </c>
      <c r="FT172" s="3">
        <f t="shared" si="172"/>
        <v>0</v>
      </c>
      <c r="FU172" s="3">
        <f t="shared" si="172"/>
        <v>0</v>
      </c>
      <c r="FV172" s="3">
        <f t="shared" si="172"/>
        <v>0</v>
      </c>
      <c r="FW172" s="3">
        <f t="shared" si="172"/>
        <v>0</v>
      </c>
      <c r="FX172" s="3">
        <f t="shared" si="172"/>
        <v>0</v>
      </c>
      <c r="FY172" s="3">
        <f t="shared" si="172"/>
        <v>0</v>
      </c>
      <c r="FZ172" s="3">
        <f t="shared" si="172"/>
        <v>0</v>
      </c>
      <c r="GA172" s="3">
        <f t="shared" si="172"/>
        <v>0</v>
      </c>
      <c r="GB172" s="3">
        <f t="shared" si="172"/>
        <v>0</v>
      </c>
      <c r="GC172" s="3">
        <f t="shared" si="172"/>
        <v>0</v>
      </c>
      <c r="GD172" s="3">
        <f t="shared" si="172"/>
        <v>0</v>
      </c>
      <c r="GE172" s="3">
        <f t="shared" si="172"/>
        <v>0</v>
      </c>
      <c r="GF172" s="3">
        <f t="shared" si="172"/>
        <v>0</v>
      </c>
      <c r="GG172" s="3">
        <f t="shared" si="172"/>
        <v>0</v>
      </c>
      <c r="GH172" s="3">
        <f t="shared" si="172"/>
        <v>0</v>
      </c>
      <c r="GI172" s="3">
        <f t="shared" si="172"/>
        <v>0</v>
      </c>
      <c r="GJ172" s="3">
        <f t="shared" si="172"/>
        <v>0</v>
      </c>
      <c r="GK172" s="3">
        <f t="shared" si="172"/>
        <v>0</v>
      </c>
      <c r="GL172" s="3">
        <f t="shared" si="172"/>
        <v>0</v>
      </c>
      <c r="GM172" s="3">
        <f t="shared" si="172"/>
        <v>0</v>
      </c>
      <c r="GN172" s="3">
        <f t="shared" si="172"/>
        <v>0</v>
      </c>
      <c r="GO172" s="3">
        <f t="shared" si="172"/>
        <v>0</v>
      </c>
      <c r="GP172" s="3">
        <f t="shared" si="172"/>
        <v>0</v>
      </c>
      <c r="GQ172" s="3">
        <f t="shared" si="172"/>
        <v>0</v>
      </c>
      <c r="GR172" s="3">
        <f t="shared" si="172"/>
        <v>0</v>
      </c>
      <c r="GS172" s="3">
        <f t="shared" si="172"/>
        <v>0</v>
      </c>
      <c r="GT172" s="3">
        <f t="shared" si="172"/>
        <v>0</v>
      </c>
      <c r="GU172" s="3">
        <f t="shared" si="172"/>
        <v>0</v>
      </c>
      <c r="GV172" s="3">
        <f t="shared" si="172"/>
        <v>0</v>
      </c>
      <c r="GW172" s="3">
        <f t="shared" si="172"/>
        <v>0</v>
      </c>
      <c r="GX172" s="3">
        <f t="shared" si="172"/>
        <v>0</v>
      </c>
    </row>
    <row r="174" spans="1:245" x14ac:dyDescent="0.2">
      <c r="A174">
        <v>17</v>
      </c>
      <c r="B174">
        <v>1</v>
      </c>
      <c r="D174">
        <f>ROW(EtalonRes!A129)</f>
        <v>129</v>
      </c>
      <c r="E174" t="s">
        <v>222</v>
      </c>
      <c r="F174" t="s">
        <v>223</v>
      </c>
      <c r="G174" t="s">
        <v>224</v>
      </c>
      <c r="H174" t="s">
        <v>33</v>
      </c>
      <c r="I174">
        <v>0.98</v>
      </c>
      <c r="J174">
        <v>0</v>
      </c>
      <c r="K174">
        <v>0.98</v>
      </c>
      <c r="O174">
        <f t="shared" ref="O174:O185" si="173">ROUND(CP174,2)</f>
        <v>4501.3900000000003</v>
      </c>
      <c r="P174">
        <f t="shared" ref="P174:P185" si="174">ROUND(CQ174*I174,2)</f>
        <v>0</v>
      </c>
      <c r="Q174">
        <f t="shared" ref="Q174:Q185" si="175">ROUND(CR174*I174,2)</f>
        <v>0</v>
      </c>
      <c r="R174">
        <f t="shared" ref="R174:R185" si="176">ROUND(CS174*I174,2)</f>
        <v>0</v>
      </c>
      <c r="S174">
        <f t="shared" ref="S174:S185" si="177">ROUND(CT174*I174,2)</f>
        <v>4501.3900000000003</v>
      </c>
      <c r="T174">
        <f t="shared" ref="T174:T185" si="178">ROUND(CU174*I174,2)</f>
        <v>0</v>
      </c>
      <c r="U174">
        <f t="shared" ref="U174:U185" si="179">CV174*I174</f>
        <v>17.5322</v>
      </c>
      <c r="V174">
        <f t="shared" ref="V174:V185" si="180">CW174*I174</f>
        <v>0</v>
      </c>
      <c r="W174">
        <f t="shared" ref="W174:W185" si="181">ROUND(CX174*I174,2)</f>
        <v>0</v>
      </c>
      <c r="X174">
        <f t="shared" ref="X174:X185" si="182">ROUND(CY174,2)</f>
        <v>3150.97</v>
      </c>
      <c r="Y174">
        <f t="shared" ref="Y174:Y185" si="183">ROUND(CZ174,2)</f>
        <v>450.14</v>
      </c>
      <c r="AA174">
        <v>72192302</v>
      </c>
      <c r="AB174">
        <f t="shared" ref="AB174:AB185" si="184">ROUND((AC174+AD174+AF174),6)</f>
        <v>4593.26</v>
      </c>
      <c r="AC174">
        <f t="shared" ref="AC174:AC185" si="185">ROUND((ES174),6)</f>
        <v>0</v>
      </c>
      <c r="AD174">
        <f t="shared" ref="AD174:AD185" si="186">ROUND((((ET174)-(EU174))+AE174),6)</f>
        <v>0</v>
      </c>
      <c r="AE174">
        <f t="shared" ref="AE174:AE185" si="187">ROUND((EU174),6)</f>
        <v>0</v>
      </c>
      <c r="AF174">
        <f t="shared" ref="AF174:AF185" si="188">ROUND((EV174),6)</f>
        <v>4593.26</v>
      </c>
      <c r="AG174">
        <f t="shared" ref="AG174:AG185" si="189">ROUND((AP174),6)</f>
        <v>0</v>
      </c>
      <c r="AH174">
        <f t="shared" ref="AH174:AH185" si="190">(EW174)</f>
        <v>17.89</v>
      </c>
      <c r="AI174">
        <f t="shared" ref="AI174:AI185" si="191">(EX174)</f>
        <v>0</v>
      </c>
      <c r="AJ174">
        <f t="shared" ref="AJ174:AJ185" si="192">(AS174)</f>
        <v>0</v>
      </c>
      <c r="AK174">
        <v>4593.26</v>
      </c>
      <c r="AL174">
        <v>0</v>
      </c>
      <c r="AM174">
        <v>0</v>
      </c>
      <c r="AN174">
        <v>0</v>
      </c>
      <c r="AO174">
        <v>4593.26</v>
      </c>
      <c r="AP174">
        <v>0</v>
      </c>
      <c r="AQ174">
        <v>17.89</v>
      </c>
      <c r="AR174">
        <v>0</v>
      </c>
      <c r="AS174">
        <v>0</v>
      </c>
      <c r="AT174">
        <v>70</v>
      </c>
      <c r="AU174">
        <v>10</v>
      </c>
      <c r="AV174">
        <v>1</v>
      </c>
      <c r="AW174">
        <v>1</v>
      </c>
      <c r="AZ174">
        <v>1</v>
      </c>
      <c r="BA174">
        <v>1</v>
      </c>
      <c r="BB174">
        <v>1</v>
      </c>
      <c r="BC174">
        <v>1</v>
      </c>
      <c r="BD174" t="s">
        <v>3</v>
      </c>
      <c r="BE174" t="s">
        <v>3</v>
      </c>
      <c r="BF174" t="s">
        <v>3</v>
      </c>
      <c r="BG174" t="s">
        <v>3</v>
      </c>
      <c r="BH174">
        <v>0</v>
      </c>
      <c r="BI174">
        <v>4</v>
      </c>
      <c r="BJ174" t="s">
        <v>225</v>
      </c>
      <c r="BM174">
        <v>0</v>
      </c>
      <c r="BN174">
        <v>0</v>
      </c>
      <c r="BO174" t="s">
        <v>3</v>
      </c>
      <c r="BP174">
        <v>0</v>
      </c>
      <c r="BQ174">
        <v>1</v>
      </c>
      <c r="BR174">
        <v>0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 t="s">
        <v>3</v>
      </c>
      <c r="BZ174">
        <v>70</v>
      </c>
      <c r="CA174">
        <v>10</v>
      </c>
      <c r="CB174" t="s">
        <v>3</v>
      </c>
      <c r="CE174">
        <v>0</v>
      </c>
      <c r="CF174">
        <v>0</v>
      </c>
      <c r="CG174">
        <v>0</v>
      </c>
      <c r="CM174">
        <v>0</v>
      </c>
      <c r="CN174" t="s">
        <v>3</v>
      </c>
      <c r="CO174">
        <v>0</v>
      </c>
      <c r="CP174">
        <f t="shared" ref="CP174:CP185" si="193">(P174+Q174+S174)</f>
        <v>4501.3900000000003</v>
      </c>
      <c r="CQ174">
        <f t="shared" ref="CQ174:CQ185" si="194">(AC174*BC174*AW174)</f>
        <v>0</v>
      </c>
      <c r="CR174">
        <f t="shared" ref="CR174:CR185" si="195">((((ET174)*BB174-(EU174)*BS174)+AE174*BS174)*AV174)</f>
        <v>0</v>
      </c>
      <c r="CS174">
        <f t="shared" ref="CS174:CS185" si="196">(AE174*BS174*AV174)</f>
        <v>0</v>
      </c>
      <c r="CT174">
        <f t="shared" ref="CT174:CT185" si="197">(AF174*BA174*AV174)</f>
        <v>4593.26</v>
      </c>
      <c r="CU174">
        <f t="shared" ref="CU174:CU185" si="198">AG174</f>
        <v>0</v>
      </c>
      <c r="CV174">
        <f t="shared" ref="CV174:CV185" si="199">(AH174*AV174)</f>
        <v>17.89</v>
      </c>
      <c r="CW174">
        <f t="shared" ref="CW174:CW185" si="200">AI174</f>
        <v>0</v>
      </c>
      <c r="CX174">
        <f t="shared" ref="CX174:CX185" si="201">AJ174</f>
        <v>0</v>
      </c>
      <c r="CY174">
        <f t="shared" ref="CY174:CY185" si="202">((S174*BZ174)/100)</f>
        <v>3150.9730000000004</v>
      </c>
      <c r="CZ174">
        <f t="shared" ref="CZ174:CZ185" si="203">((S174*CA174)/100)</f>
        <v>450.13900000000001</v>
      </c>
      <c r="DC174" t="s">
        <v>3</v>
      </c>
      <c r="DD174" t="s">
        <v>3</v>
      </c>
      <c r="DE174" t="s">
        <v>3</v>
      </c>
      <c r="DF174" t="s">
        <v>3</v>
      </c>
      <c r="DG174" t="s">
        <v>3</v>
      </c>
      <c r="DH174" t="s">
        <v>3</v>
      </c>
      <c r="DI174" t="s">
        <v>3</v>
      </c>
      <c r="DJ174" t="s">
        <v>3</v>
      </c>
      <c r="DK174" t="s">
        <v>3</v>
      </c>
      <c r="DL174" t="s">
        <v>3</v>
      </c>
      <c r="DM174" t="s">
        <v>3</v>
      </c>
      <c r="DN174">
        <v>0</v>
      </c>
      <c r="DO174">
        <v>0</v>
      </c>
      <c r="DP174">
        <v>1</v>
      </c>
      <c r="DQ174">
        <v>1</v>
      </c>
      <c r="DU174">
        <v>1010</v>
      </c>
      <c r="DV174" t="s">
        <v>33</v>
      </c>
      <c r="DW174" t="s">
        <v>33</v>
      </c>
      <c r="DX174">
        <v>100</v>
      </c>
      <c r="DZ174" t="s">
        <v>3</v>
      </c>
      <c r="EA174" t="s">
        <v>3</v>
      </c>
      <c r="EB174" t="s">
        <v>3</v>
      </c>
      <c r="EC174" t="s">
        <v>3</v>
      </c>
      <c r="EE174">
        <v>71753531</v>
      </c>
      <c r="EF174">
        <v>1</v>
      </c>
      <c r="EG174" t="s">
        <v>22</v>
      </c>
      <c r="EH174">
        <v>0</v>
      </c>
      <c r="EI174" t="s">
        <v>3</v>
      </c>
      <c r="EJ174">
        <v>4</v>
      </c>
      <c r="EK174">
        <v>0</v>
      </c>
      <c r="EL174" t="s">
        <v>23</v>
      </c>
      <c r="EM174" t="s">
        <v>24</v>
      </c>
      <c r="EO174" t="s">
        <v>3</v>
      </c>
      <c r="EQ174">
        <v>0</v>
      </c>
      <c r="ER174">
        <v>4593.26</v>
      </c>
      <c r="ES174">
        <v>0</v>
      </c>
      <c r="ET174">
        <v>0</v>
      </c>
      <c r="EU174">
        <v>0</v>
      </c>
      <c r="EV174">
        <v>4593.26</v>
      </c>
      <c r="EW174">
        <v>17.89</v>
      </c>
      <c r="EX174">
        <v>0</v>
      </c>
      <c r="EY174">
        <v>0</v>
      </c>
      <c r="FQ174">
        <v>0</v>
      </c>
      <c r="FR174">
        <f t="shared" ref="FR174:FR185" si="204">ROUND(IF(BI174=3,GM174,0),2)</f>
        <v>0</v>
      </c>
      <c r="FS174">
        <v>0</v>
      </c>
      <c r="FX174">
        <v>70</v>
      </c>
      <c r="FY174">
        <v>10</v>
      </c>
      <c r="GA174" t="s">
        <v>3</v>
      </c>
      <c r="GD174">
        <v>0</v>
      </c>
      <c r="GF174">
        <v>-65620762</v>
      </c>
      <c r="GG174">
        <v>2</v>
      </c>
      <c r="GH174">
        <v>1</v>
      </c>
      <c r="GI174">
        <v>-2</v>
      </c>
      <c r="GJ174">
        <v>0</v>
      </c>
      <c r="GK174">
        <f>ROUND(R174*(R12)/100,2)</f>
        <v>0</v>
      </c>
      <c r="GL174">
        <f t="shared" ref="GL174:GL185" si="205">ROUND(IF(AND(BH174=3,BI174=3,FS174&lt;&gt;0),P174,0),2)</f>
        <v>0</v>
      </c>
      <c r="GM174">
        <f t="shared" ref="GM174:GM185" si="206">ROUND(O174+X174+Y174+GK174,2)+GX174</f>
        <v>8102.5</v>
      </c>
      <c r="GN174">
        <f t="shared" ref="GN174:GN185" si="207">IF(OR(BI174=0,BI174=1),GM174,0)</f>
        <v>0</v>
      </c>
      <c r="GO174">
        <f t="shared" ref="GO174:GO185" si="208">IF(BI174=2,GM174,0)</f>
        <v>0</v>
      </c>
      <c r="GP174">
        <f t="shared" ref="GP174:GP185" si="209">IF(BI174=4,GM174+GX174,0)</f>
        <v>8102.5</v>
      </c>
      <c r="GR174">
        <v>0</v>
      </c>
      <c r="GS174">
        <v>3</v>
      </c>
      <c r="GT174">
        <v>0</v>
      </c>
      <c r="GU174" t="s">
        <v>3</v>
      </c>
      <c r="GV174">
        <f t="shared" ref="GV174:GV185" si="210">ROUND((GT174),6)</f>
        <v>0</v>
      </c>
      <c r="GW174">
        <v>1</v>
      </c>
      <c r="GX174">
        <f t="shared" ref="GX174:GX185" si="211">ROUND(HC174*I174,2)</f>
        <v>0</v>
      </c>
      <c r="HA174">
        <v>0</v>
      </c>
      <c r="HB174">
        <v>0</v>
      </c>
      <c r="HC174">
        <f t="shared" ref="HC174:HC185" si="212">GV174*GW174</f>
        <v>0</v>
      </c>
      <c r="HE174" t="s">
        <v>3</v>
      </c>
      <c r="HF174" t="s">
        <v>3</v>
      </c>
      <c r="HM174" t="s">
        <v>3</v>
      </c>
      <c r="HN174" t="s">
        <v>3</v>
      </c>
      <c r="HO174" t="s">
        <v>3</v>
      </c>
      <c r="HP174" t="s">
        <v>3</v>
      </c>
      <c r="HQ174" t="s">
        <v>3</v>
      </c>
      <c r="IK174">
        <v>0</v>
      </c>
    </row>
    <row r="175" spans="1:245" x14ac:dyDescent="0.2">
      <c r="A175">
        <v>17</v>
      </c>
      <c r="B175">
        <v>1</v>
      </c>
      <c r="D175">
        <f>ROW(EtalonRes!A130)</f>
        <v>130</v>
      </c>
      <c r="E175" t="s">
        <v>226</v>
      </c>
      <c r="F175" t="s">
        <v>227</v>
      </c>
      <c r="G175" t="s">
        <v>228</v>
      </c>
      <c r="H175" t="s">
        <v>20</v>
      </c>
      <c r="I175">
        <v>0.35489999999999999</v>
      </c>
      <c r="J175">
        <v>0</v>
      </c>
      <c r="K175">
        <v>0.35489999999999999</v>
      </c>
      <c r="O175">
        <f t="shared" si="173"/>
        <v>848.23</v>
      </c>
      <c r="P175">
        <f t="shared" si="174"/>
        <v>0</v>
      </c>
      <c r="Q175">
        <f t="shared" si="175"/>
        <v>0</v>
      </c>
      <c r="R175">
        <f t="shared" si="176"/>
        <v>0</v>
      </c>
      <c r="S175">
        <f t="shared" si="177"/>
        <v>848.23</v>
      </c>
      <c r="T175">
        <f t="shared" si="178"/>
        <v>0</v>
      </c>
      <c r="U175">
        <f t="shared" si="179"/>
        <v>3.4212359999999999</v>
      </c>
      <c r="V175">
        <f t="shared" si="180"/>
        <v>0</v>
      </c>
      <c r="W175">
        <f t="shared" si="181"/>
        <v>0</v>
      </c>
      <c r="X175">
        <f t="shared" si="182"/>
        <v>593.76</v>
      </c>
      <c r="Y175">
        <f t="shared" si="183"/>
        <v>84.82</v>
      </c>
      <c r="AA175">
        <v>72192302</v>
      </c>
      <c r="AB175">
        <f t="shared" si="184"/>
        <v>2390.0500000000002</v>
      </c>
      <c r="AC175">
        <f t="shared" si="185"/>
        <v>0</v>
      </c>
      <c r="AD175">
        <f t="shared" si="186"/>
        <v>0</v>
      </c>
      <c r="AE175">
        <f t="shared" si="187"/>
        <v>0</v>
      </c>
      <c r="AF175">
        <f t="shared" si="188"/>
        <v>2390.0500000000002</v>
      </c>
      <c r="AG175">
        <f t="shared" si="189"/>
        <v>0</v>
      </c>
      <c r="AH175">
        <f t="shared" si="190"/>
        <v>9.64</v>
      </c>
      <c r="AI175">
        <f t="shared" si="191"/>
        <v>0</v>
      </c>
      <c r="AJ175">
        <f t="shared" si="192"/>
        <v>0</v>
      </c>
      <c r="AK175">
        <v>2390.0500000000002</v>
      </c>
      <c r="AL175">
        <v>0</v>
      </c>
      <c r="AM175">
        <v>0</v>
      </c>
      <c r="AN175">
        <v>0</v>
      </c>
      <c r="AO175">
        <v>2390.0500000000002</v>
      </c>
      <c r="AP175">
        <v>0</v>
      </c>
      <c r="AQ175">
        <v>9.64</v>
      </c>
      <c r="AR175">
        <v>0</v>
      </c>
      <c r="AS175">
        <v>0</v>
      </c>
      <c r="AT175">
        <v>70</v>
      </c>
      <c r="AU175">
        <v>10</v>
      </c>
      <c r="AV175">
        <v>1</v>
      </c>
      <c r="AW175">
        <v>1</v>
      </c>
      <c r="AZ175">
        <v>1</v>
      </c>
      <c r="BA175">
        <v>1</v>
      </c>
      <c r="BB175">
        <v>1</v>
      </c>
      <c r="BC175">
        <v>1</v>
      </c>
      <c r="BD175" t="s">
        <v>3</v>
      </c>
      <c r="BE175" t="s">
        <v>3</v>
      </c>
      <c r="BF175" t="s">
        <v>3</v>
      </c>
      <c r="BG175" t="s">
        <v>3</v>
      </c>
      <c r="BH175">
        <v>0</v>
      </c>
      <c r="BI175">
        <v>4</v>
      </c>
      <c r="BJ175" t="s">
        <v>229</v>
      </c>
      <c r="BM175">
        <v>0</v>
      </c>
      <c r="BN175">
        <v>0</v>
      </c>
      <c r="BO175" t="s">
        <v>3</v>
      </c>
      <c r="BP175">
        <v>0</v>
      </c>
      <c r="BQ175">
        <v>1</v>
      </c>
      <c r="BR175">
        <v>0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 t="s">
        <v>3</v>
      </c>
      <c r="BZ175">
        <v>70</v>
      </c>
      <c r="CA175">
        <v>10</v>
      </c>
      <c r="CB175" t="s">
        <v>3</v>
      </c>
      <c r="CE175">
        <v>0</v>
      </c>
      <c r="CF175">
        <v>0</v>
      </c>
      <c r="CG175">
        <v>0</v>
      </c>
      <c r="CM175">
        <v>0</v>
      </c>
      <c r="CN175" t="s">
        <v>3</v>
      </c>
      <c r="CO175">
        <v>0</v>
      </c>
      <c r="CP175">
        <f t="shared" si="193"/>
        <v>848.23</v>
      </c>
      <c r="CQ175">
        <f t="shared" si="194"/>
        <v>0</v>
      </c>
      <c r="CR175">
        <f t="shared" si="195"/>
        <v>0</v>
      </c>
      <c r="CS175">
        <f t="shared" si="196"/>
        <v>0</v>
      </c>
      <c r="CT175">
        <f t="shared" si="197"/>
        <v>2390.0500000000002</v>
      </c>
      <c r="CU175">
        <f t="shared" si="198"/>
        <v>0</v>
      </c>
      <c r="CV175">
        <f t="shared" si="199"/>
        <v>9.64</v>
      </c>
      <c r="CW175">
        <f t="shared" si="200"/>
        <v>0</v>
      </c>
      <c r="CX175">
        <f t="shared" si="201"/>
        <v>0</v>
      </c>
      <c r="CY175">
        <f t="shared" si="202"/>
        <v>593.76099999999997</v>
      </c>
      <c r="CZ175">
        <f t="shared" si="203"/>
        <v>84.822999999999993</v>
      </c>
      <c r="DC175" t="s">
        <v>3</v>
      </c>
      <c r="DD175" t="s">
        <v>3</v>
      </c>
      <c r="DE175" t="s">
        <v>3</v>
      </c>
      <c r="DF175" t="s">
        <v>3</v>
      </c>
      <c r="DG175" t="s">
        <v>3</v>
      </c>
      <c r="DH175" t="s">
        <v>3</v>
      </c>
      <c r="DI175" t="s">
        <v>3</v>
      </c>
      <c r="DJ175" t="s">
        <v>3</v>
      </c>
      <c r="DK175" t="s">
        <v>3</v>
      </c>
      <c r="DL175" t="s">
        <v>3</v>
      </c>
      <c r="DM175" t="s">
        <v>3</v>
      </c>
      <c r="DN175">
        <v>0</v>
      </c>
      <c r="DO175">
        <v>0</v>
      </c>
      <c r="DP175">
        <v>1</v>
      </c>
      <c r="DQ175">
        <v>1</v>
      </c>
      <c r="DU175">
        <v>1003</v>
      </c>
      <c r="DV175" t="s">
        <v>20</v>
      </c>
      <c r="DW175" t="s">
        <v>20</v>
      </c>
      <c r="DX175">
        <v>100</v>
      </c>
      <c r="DZ175" t="s">
        <v>3</v>
      </c>
      <c r="EA175" t="s">
        <v>3</v>
      </c>
      <c r="EB175" t="s">
        <v>3</v>
      </c>
      <c r="EC175" t="s">
        <v>3</v>
      </c>
      <c r="EE175">
        <v>71753531</v>
      </c>
      <c r="EF175">
        <v>1</v>
      </c>
      <c r="EG175" t="s">
        <v>22</v>
      </c>
      <c r="EH175">
        <v>0</v>
      </c>
      <c r="EI175" t="s">
        <v>3</v>
      </c>
      <c r="EJ175">
        <v>4</v>
      </c>
      <c r="EK175">
        <v>0</v>
      </c>
      <c r="EL175" t="s">
        <v>23</v>
      </c>
      <c r="EM175" t="s">
        <v>24</v>
      </c>
      <c r="EO175" t="s">
        <v>3</v>
      </c>
      <c r="EQ175">
        <v>0</v>
      </c>
      <c r="ER175">
        <v>2390.0500000000002</v>
      </c>
      <c r="ES175">
        <v>0</v>
      </c>
      <c r="ET175">
        <v>0</v>
      </c>
      <c r="EU175">
        <v>0</v>
      </c>
      <c r="EV175">
        <v>2390.0500000000002</v>
      </c>
      <c r="EW175">
        <v>9.64</v>
      </c>
      <c r="EX175">
        <v>0</v>
      </c>
      <c r="EY175">
        <v>0</v>
      </c>
      <c r="FQ175">
        <v>0</v>
      </c>
      <c r="FR175">
        <f t="shared" si="204"/>
        <v>0</v>
      </c>
      <c r="FS175">
        <v>0</v>
      </c>
      <c r="FX175">
        <v>70</v>
      </c>
      <c r="FY175">
        <v>10</v>
      </c>
      <c r="GA175" t="s">
        <v>3</v>
      </c>
      <c r="GD175">
        <v>0</v>
      </c>
      <c r="GF175">
        <v>2008709748</v>
      </c>
      <c r="GG175">
        <v>2</v>
      </c>
      <c r="GH175">
        <v>1</v>
      </c>
      <c r="GI175">
        <v>-2</v>
      </c>
      <c r="GJ175">
        <v>0</v>
      </c>
      <c r="GK175">
        <f>ROUND(R175*(R12)/100,2)</f>
        <v>0</v>
      </c>
      <c r="GL175">
        <f t="shared" si="205"/>
        <v>0</v>
      </c>
      <c r="GM175">
        <f t="shared" si="206"/>
        <v>1526.81</v>
      </c>
      <c r="GN175">
        <f t="shared" si="207"/>
        <v>0</v>
      </c>
      <c r="GO175">
        <f t="shared" si="208"/>
        <v>0</v>
      </c>
      <c r="GP175">
        <f t="shared" si="209"/>
        <v>1526.81</v>
      </c>
      <c r="GR175">
        <v>0</v>
      </c>
      <c r="GS175">
        <v>3</v>
      </c>
      <c r="GT175">
        <v>0</v>
      </c>
      <c r="GU175" t="s">
        <v>3</v>
      </c>
      <c r="GV175">
        <f t="shared" si="210"/>
        <v>0</v>
      </c>
      <c r="GW175">
        <v>1</v>
      </c>
      <c r="GX175">
        <f t="shared" si="211"/>
        <v>0</v>
      </c>
      <c r="HA175">
        <v>0</v>
      </c>
      <c r="HB175">
        <v>0</v>
      </c>
      <c r="HC175">
        <f t="shared" si="212"/>
        <v>0</v>
      </c>
      <c r="HE175" t="s">
        <v>3</v>
      </c>
      <c r="HF175" t="s">
        <v>3</v>
      </c>
      <c r="HM175" t="s">
        <v>3</v>
      </c>
      <c r="HN175" t="s">
        <v>3</v>
      </c>
      <c r="HO175" t="s">
        <v>3</v>
      </c>
      <c r="HP175" t="s">
        <v>3</v>
      </c>
      <c r="HQ175" t="s">
        <v>3</v>
      </c>
      <c r="IK175">
        <v>0</v>
      </c>
    </row>
    <row r="176" spans="1:245" x14ac:dyDescent="0.2">
      <c r="A176">
        <v>17</v>
      </c>
      <c r="B176">
        <v>1</v>
      </c>
      <c r="D176">
        <f>ROW(EtalonRes!A143)</f>
        <v>143</v>
      </c>
      <c r="E176" t="s">
        <v>230</v>
      </c>
      <c r="F176" t="s">
        <v>231</v>
      </c>
      <c r="G176" t="s">
        <v>232</v>
      </c>
      <c r="H176" t="s">
        <v>20</v>
      </c>
      <c r="I176">
        <v>0.1</v>
      </c>
      <c r="J176">
        <v>0</v>
      </c>
      <c r="K176">
        <v>0.1</v>
      </c>
      <c r="O176">
        <f t="shared" si="173"/>
        <v>3837.39</v>
      </c>
      <c r="P176">
        <f t="shared" si="174"/>
        <v>2412.85</v>
      </c>
      <c r="Q176">
        <f t="shared" si="175"/>
        <v>4.29</v>
      </c>
      <c r="R176">
        <f t="shared" si="176"/>
        <v>0.03</v>
      </c>
      <c r="S176">
        <f t="shared" si="177"/>
        <v>1420.25</v>
      </c>
      <c r="T176">
        <f t="shared" si="178"/>
        <v>0</v>
      </c>
      <c r="U176">
        <f t="shared" si="179"/>
        <v>4.6779999999999999</v>
      </c>
      <c r="V176">
        <f t="shared" si="180"/>
        <v>0</v>
      </c>
      <c r="W176">
        <f t="shared" si="181"/>
        <v>0</v>
      </c>
      <c r="X176">
        <f t="shared" si="182"/>
        <v>994.18</v>
      </c>
      <c r="Y176">
        <f t="shared" si="183"/>
        <v>142.03</v>
      </c>
      <c r="AA176">
        <v>72192302</v>
      </c>
      <c r="AB176">
        <f t="shared" si="184"/>
        <v>38373.949999999997</v>
      </c>
      <c r="AC176">
        <f t="shared" si="185"/>
        <v>24128.52</v>
      </c>
      <c r="AD176">
        <f t="shared" si="186"/>
        <v>42.94</v>
      </c>
      <c r="AE176">
        <f t="shared" si="187"/>
        <v>0.31</v>
      </c>
      <c r="AF176">
        <f t="shared" si="188"/>
        <v>14202.49</v>
      </c>
      <c r="AG176">
        <f t="shared" si="189"/>
        <v>0</v>
      </c>
      <c r="AH176">
        <f t="shared" si="190"/>
        <v>46.78</v>
      </c>
      <c r="AI176">
        <f t="shared" si="191"/>
        <v>0</v>
      </c>
      <c r="AJ176">
        <f t="shared" si="192"/>
        <v>0</v>
      </c>
      <c r="AK176">
        <v>38373.949999999997</v>
      </c>
      <c r="AL176">
        <v>24128.52</v>
      </c>
      <c r="AM176">
        <v>42.94</v>
      </c>
      <c r="AN176">
        <v>0.31</v>
      </c>
      <c r="AO176">
        <v>14202.49</v>
      </c>
      <c r="AP176">
        <v>0</v>
      </c>
      <c r="AQ176">
        <v>46.78</v>
      </c>
      <c r="AR176">
        <v>0</v>
      </c>
      <c r="AS176">
        <v>0</v>
      </c>
      <c r="AT176">
        <v>70</v>
      </c>
      <c r="AU176">
        <v>10</v>
      </c>
      <c r="AV176">
        <v>1</v>
      </c>
      <c r="AW176">
        <v>1</v>
      </c>
      <c r="AZ176">
        <v>1</v>
      </c>
      <c r="BA176">
        <v>1</v>
      </c>
      <c r="BB176">
        <v>1</v>
      </c>
      <c r="BC176">
        <v>1</v>
      </c>
      <c r="BD176" t="s">
        <v>3</v>
      </c>
      <c r="BE176" t="s">
        <v>3</v>
      </c>
      <c r="BF176" t="s">
        <v>3</v>
      </c>
      <c r="BG176" t="s">
        <v>3</v>
      </c>
      <c r="BH176">
        <v>0</v>
      </c>
      <c r="BI176">
        <v>4</v>
      </c>
      <c r="BJ176" t="s">
        <v>233</v>
      </c>
      <c r="BM176">
        <v>0</v>
      </c>
      <c r="BN176">
        <v>0</v>
      </c>
      <c r="BO176" t="s">
        <v>3</v>
      </c>
      <c r="BP176">
        <v>0</v>
      </c>
      <c r="BQ176">
        <v>1</v>
      </c>
      <c r="BR176">
        <v>0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 t="s">
        <v>3</v>
      </c>
      <c r="BZ176">
        <v>70</v>
      </c>
      <c r="CA176">
        <v>10</v>
      </c>
      <c r="CB176" t="s">
        <v>3</v>
      </c>
      <c r="CE176">
        <v>0</v>
      </c>
      <c r="CF176">
        <v>0</v>
      </c>
      <c r="CG176">
        <v>0</v>
      </c>
      <c r="CM176">
        <v>0</v>
      </c>
      <c r="CN176" t="s">
        <v>3</v>
      </c>
      <c r="CO176">
        <v>0</v>
      </c>
      <c r="CP176">
        <f t="shared" si="193"/>
        <v>3837.39</v>
      </c>
      <c r="CQ176">
        <f t="shared" si="194"/>
        <v>24128.52</v>
      </c>
      <c r="CR176">
        <f t="shared" si="195"/>
        <v>42.94</v>
      </c>
      <c r="CS176">
        <f t="shared" si="196"/>
        <v>0.31</v>
      </c>
      <c r="CT176">
        <f t="shared" si="197"/>
        <v>14202.49</v>
      </c>
      <c r="CU176">
        <f t="shared" si="198"/>
        <v>0</v>
      </c>
      <c r="CV176">
        <f t="shared" si="199"/>
        <v>46.78</v>
      </c>
      <c r="CW176">
        <f t="shared" si="200"/>
        <v>0</v>
      </c>
      <c r="CX176">
        <f t="shared" si="201"/>
        <v>0</v>
      </c>
      <c r="CY176">
        <f t="shared" si="202"/>
        <v>994.17499999999995</v>
      </c>
      <c r="CZ176">
        <f t="shared" si="203"/>
        <v>142.02500000000001</v>
      </c>
      <c r="DC176" t="s">
        <v>3</v>
      </c>
      <c r="DD176" t="s">
        <v>3</v>
      </c>
      <c r="DE176" t="s">
        <v>3</v>
      </c>
      <c r="DF176" t="s">
        <v>3</v>
      </c>
      <c r="DG176" t="s">
        <v>3</v>
      </c>
      <c r="DH176" t="s">
        <v>3</v>
      </c>
      <c r="DI176" t="s">
        <v>3</v>
      </c>
      <c r="DJ176" t="s">
        <v>3</v>
      </c>
      <c r="DK176" t="s">
        <v>3</v>
      </c>
      <c r="DL176" t="s">
        <v>3</v>
      </c>
      <c r="DM176" t="s">
        <v>3</v>
      </c>
      <c r="DN176">
        <v>0</v>
      </c>
      <c r="DO176">
        <v>0</v>
      </c>
      <c r="DP176">
        <v>1</v>
      </c>
      <c r="DQ176">
        <v>1</v>
      </c>
      <c r="DU176">
        <v>1003</v>
      </c>
      <c r="DV176" t="s">
        <v>20</v>
      </c>
      <c r="DW176" t="s">
        <v>20</v>
      </c>
      <c r="DX176">
        <v>100</v>
      </c>
      <c r="DZ176" t="s">
        <v>3</v>
      </c>
      <c r="EA176" t="s">
        <v>3</v>
      </c>
      <c r="EB176" t="s">
        <v>3</v>
      </c>
      <c r="EC176" t="s">
        <v>3</v>
      </c>
      <c r="EE176">
        <v>71753531</v>
      </c>
      <c r="EF176">
        <v>1</v>
      </c>
      <c r="EG176" t="s">
        <v>22</v>
      </c>
      <c r="EH176">
        <v>0</v>
      </c>
      <c r="EI176" t="s">
        <v>3</v>
      </c>
      <c r="EJ176">
        <v>4</v>
      </c>
      <c r="EK176">
        <v>0</v>
      </c>
      <c r="EL176" t="s">
        <v>23</v>
      </c>
      <c r="EM176" t="s">
        <v>24</v>
      </c>
      <c r="EO176" t="s">
        <v>3</v>
      </c>
      <c r="EQ176">
        <v>0</v>
      </c>
      <c r="ER176">
        <v>38373.949999999997</v>
      </c>
      <c r="ES176">
        <v>24128.52</v>
      </c>
      <c r="ET176">
        <v>42.94</v>
      </c>
      <c r="EU176">
        <v>0.31</v>
      </c>
      <c r="EV176">
        <v>14202.49</v>
      </c>
      <c r="EW176">
        <v>46.78</v>
      </c>
      <c r="EX176">
        <v>0</v>
      </c>
      <c r="EY176">
        <v>0</v>
      </c>
      <c r="FQ176">
        <v>0</v>
      </c>
      <c r="FR176">
        <f t="shared" si="204"/>
        <v>0</v>
      </c>
      <c r="FS176">
        <v>0</v>
      </c>
      <c r="FX176">
        <v>70</v>
      </c>
      <c r="FY176">
        <v>10</v>
      </c>
      <c r="GA176" t="s">
        <v>3</v>
      </c>
      <c r="GD176">
        <v>0</v>
      </c>
      <c r="GF176">
        <v>-1042019229</v>
      </c>
      <c r="GG176">
        <v>2</v>
      </c>
      <c r="GH176">
        <v>1</v>
      </c>
      <c r="GI176">
        <v>-2</v>
      </c>
      <c r="GJ176">
        <v>0</v>
      </c>
      <c r="GK176">
        <f>ROUND(R176*(R12)/100,2)</f>
        <v>0.03</v>
      </c>
      <c r="GL176">
        <f t="shared" si="205"/>
        <v>0</v>
      </c>
      <c r="GM176">
        <f t="shared" si="206"/>
        <v>4973.63</v>
      </c>
      <c r="GN176">
        <f t="shared" si="207"/>
        <v>0</v>
      </c>
      <c r="GO176">
        <f t="shared" si="208"/>
        <v>0</v>
      </c>
      <c r="GP176">
        <f t="shared" si="209"/>
        <v>4973.63</v>
      </c>
      <c r="GR176">
        <v>0</v>
      </c>
      <c r="GS176">
        <v>3</v>
      </c>
      <c r="GT176">
        <v>0</v>
      </c>
      <c r="GU176" t="s">
        <v>3</v>
      </c>
      <c r="GV176">
        <f t="shared" si="210"/>
        <v>0</v>
      </c>
      <c r="GW176">
        <v>1</v>
      </c>
      <c r="GX176">
        <f t="shared" si="211"/>
        <v>0</v>
      </c>
      <c r="HA176">
        <v>0</v>
      </c>
      <c r="HB176">
        <v>0</v>
      </c>
      <c r="HC176">
        <f t="shared" si="212"/>
        <v>0</v>
      </c>
      <c r="HE176" t="s">
        <v>3</v>
      </c>
      <c r="HF176" t="s">
        <v>3</v>
      </c>
      <c r="HM176" t="s">
        <v>3</v>
      </c>
      <c r="HN176" t="s">
        <v>3</v>
      </c>
      <c r="HO176" t="s">
        <v>3</v>
      </c>
      <c r="HP176" t="s">
        <v>3</v>
      </c>
      <c r="HQ176" t="s">
        <v>3</v>
      </c>
      <c r="IK176">
        <v>0</v>
      </c>
    </row>
    <row r="177" spans="1:245" x14ac:dyDescent="0.2">
      <c r="A177">
        <v>17</v>
      </c>
      <c r="B177">
        <v>1</v>
      </c>
      <c r="D177">
        <f>ROW(EtalonRes!A152)</f>
        <v>152</v>
      </c>
      <c r="E177" t="s">
        <v>234</v>
      </c>
      <c r="F177" t="s">
        <v>235</v>
      </c>
      <c r="G177" t="s">
        <v>236</v>
      </c>
      <c r="H177" t="s">
        <v>20</v>
      </c>
      <c r="I177">
        <v>0.35489999999999999</v>
      </c>
      <c r="J177">
        <v>0</v>
      </c>
      <c r="K177">
        <v>0.35489999999999999</v>
      </c>
      <c r="O177">
        <f t="shared" si="173"/>
        <v>3679.96</v>
      </c>
      <c r="P177">
        <f t="shared" si="174"/>
        <v>1619.02</v>
      </c>
      <c r="Q177">
        <f t="shared" si="175"/>
        <v>16.05</v>
      </c>
      <c r="R177">
        <f t="shared" si="176"/>
        <v>2.1</v>
      </c>
      <c r="S177">
        <f t="shared" si="177"/>
        <v>2044.89</v>
      </c>
      <c r="T177">
        <f t="shared" si="178"/>
        <v>0</v>
      </c>
      <c r="U177">
        <f t="shared" si="179"/>
        <v>6.1255740000000003</v>
      </c>
      <c r="V177">
        <f t="shared" si="180"/>
        <v>0</v>
      </c>
      <c r="W177">
        <f t="shared" si="181"/>
        <v>0</v>
      </c>
      <c r="X177">
        <f t="shared" si="182"/>
        <v>1431.42</v>
      </c>
      <c r="Y177">
        <f t="shared" si="183"/>
        <v>204.49</v>
      </c>
      <c r="AA177">
        <v>72192302</v>
      </c>
      <c r="AB177">
        <f t="shared" si="184"/>
        <v>10368.99</v>
      </c>
      <c r="AC177">
        <f t="shared" si="185"/>
        <v>4561.8999999999996</v>
      </c>
      <c r="AD177">
        <f t="shared" si="186"/>
        <v>45.21</v>
      </c>
      <c r="AE177">
        <f t="shared" si="187"/>
        <v>5.92</v>
      </c>
      <c r="AF177">
        <f t="shared" si="188"/>
        <v>5761.88</v>
      </c>
      <c r="AG177">
        <f t="shared" si="189"/>
        <v>0</v>
      </c>
      <c r="AH177">
        <f t="shared" si="190"/>
        <v>17.260000000000002</v>
      </c>
      <c r="AI177">
        <f t="shared" si="191"/>
        <v>0</v>
      </c>
      <c r="AJ177">
        <f t="shared" si="192"/>
        <v>0</v>
      </c>
      <c r="AK177">
        <v>10368.99</v>
      </c>
      <c r="AL177">
        <v>4561.8999999999996</v>
      </c>
      <c r="AM177">
        <v>45.21</v>
      </c>
      <c r="AN177">
        <v>5.92</v>
      </c>
      <c r="AO177">
        <v>5761.88</v>
      </c>
      <c r="AP177">
        <v>0</v>
      </c>
      <c r="AQ177">
        <v>17.260000000000002</v>
      </c>
      <c r="AR177">
        <v>0</v>
      </c>
      <c r="AS177">
        <v>0</v>
      </c>
      <c r="AT177">
        <v>70</v>
      </c>
      <c r="AU177">
        <v>10</v>
      </c>
      <c r="AV177">
        <v>1</v>
      </c>
      <c r="AW177">
        <v>1</v>
      </c>
      <c r="AZ177">
        <v>1</v>
      </c>
      <c r="BA177">
        <v>1</v>
      </c>
      <c r="BB177">
        <v>1</v>
      </c>
      <c r="BC177">
        <v>1</v>
      </c>
      <c r="BD177" t="s">
        <v>3</v>
      </c>
      <c r="BE177" t="s">
        <v>3</v>
      </c>
      <c r="BF177" t="s">
        <v>3</v>
      </c>
      <c r="BG177" t="s">
        <v>3</v>
      </c>
      <c r="BH177">
        <v>0</v>
      </c>
      <c r="BI177">
        <v>4</v>
      </c>
      <c r="BJ177" t="s">
        <v>237</v>
      </c>
      <c r="BM177">
        <v>0</v>
      </c>
      <c r="BN177">
        <v>0</v>
      </c>
      <c r="BO177" t="s">
        <v>3</v>
      </c>
      <c r="BP177">
        <v>0</v>
      </c>
      <c r="BQ177">
        <v>1</v>
      </c>
      <c r="BR177">
        <v>0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 t="s">
        <v>3</v>
      </c>
      <c r="BZ177">
        <v>70</v>
      </c>
      <c r="CA177">
        <v>10</v>
      </c>
      <c r="CB177" t="s">
        <v>3</v>
      </c>
      <c r="CE177">
        <v>0</v>
      </c>
      <c r="CF177">
        <v>0</v>
      </c>
      <c r="CG177">
        <v>0</v>
      </c>
      <c r="CM177">
        <v>0</v>
      </c>
      <c r="CN177" t="s">
        <v>3</v>
      </c>
      <c r="CO177">
        <v>0</v>
      </c>
      <c r="CP177">
        <f t="shared" si="193"/>
        <v>3679.96</v>
      </c>
      <c r="CQ177">
        <f t="shared" si="194"/>
        <v>4561.8999999999996</v>
      </c>
      <c r="CR177">
        <f t="shared" si="195"/>
        <v>45.21</v>
      </c>
      <c r="CS177">
        <f t="shared" si="196"/>
        <v>5.92</v>
      </c>
      <c r="CT177">
        <f t="shared" si="197"/>
        <v>5761.88</v>
      </c>
      <c r="CU177">
        <f t="shared" si="198"/>
        <v>0</v>
      </c>
      <c r="CV177">
        <f t="shared" si="199"/>
        <v>17.260000000000002</v>
      </c>
      <c r="CW177">
        <f t="shared" si="200"/>
        <v>0</v>
      </c>
      <c r="CX177">
        <f t="shared" si="201"/>
        <v>0</v>
      </c>
      <c r="CY177">
        <f t="shared" si="202"/>
        <v>1431.4230000000002</v>
      </c>
      <c r="CZ177">
        <f t="shared" si="203"/>
        <v>204.489</v>
      </c>
      <c r="DC177" t="s">
        <v>3</v>
      </c>
      <c r="DD177" t="s">
        <v>3</v>
      </c>
      <c r="DE177" t="s">
        <v>3</v>
      </c>
      <c r="DF177" t="s">
        <v>3</v>
      </c>
      <c r="DG177" t="s">
        <v>3</v>
      </c>
      <c r="DH177" t="s">
        <v>3</v>
      </c>
      <c r="DI177" t="s">
        <v>3</v>
      </c>
      <c r="DJ177" t="s">
        <v>3</v>
      </c>
      <c r="DK177" t="s">
        <v>3</v>
      </c>
      <c r="DL177" t="s">
        <v>3</v>
      </c>
      <c r="DM177" t="s">
        <v>3</v>
      </c>
      <c r="DN177">
        <v>0</v>
      </c>
      <c r="DO177">
        <v>0</v>
      </c>
      <c r="DP177">
        <v>1</v>
      </c>
      <c r="DQ177">
        <v>1</v>
      </c>
      <c r="DU177">
        <v>1003</v>
      </c>
      <c r="DV177" t="s">
        <v>20</v>
      </c>
      <c r="DW177" t="s">
        <v>20</v>
      </c>
      <c r="DX177">
        <v>100</v>
      </c>
      <c r="DZ177" t="s">
        <v>3</v>
      </c>
      <c r="EA177" t="s">
        <v>3</v>
      </c>
      <c r="EB177" t="s">
        <v>3</v>
      </c>
      <c r="EC177" t="s">
        <v>3</v>
      </c>
      <c r="EE177">
        <v>71753531</v>
      </c>
      <c r="EF177">
        <v>1</v>
      </c>
      <c r="EG177" t="s">
        <v>22</v>
      </c>
      <c r="EH177">
        <v>0</v>
      </c>
      <c r="EI177" t="s">
        <v>3</v>
      </c>
      <c r="EJ177">
        <v>4</v>
      </c>
      <c r="EK177">
        <v>0</v>
      </c>
      <c r="EL177" t="s">
        <v>23</v>
      </c>
      <c r="EM177" t="s">
        <v>24</v>
      </c>
      <c r="EO177" t="s">
        <v>3</v>
      </c>
      <c r="EQ177">
        <v>0</v>
      </c>
      <c r="ER177">
        <v>10368.99</v>
      </c>
      <c r="ES177">
        <v>4561.8999999999996</v>
      </c>
      <c r="ET177">
        <v>45.21</v>
      </c>
      <c r="EU177">
        <v>5.92</v>
      </c>
      <c r="EV177">
        <v>5761.88</v>
      </c>
      <c r="EW177">
        <v>17.260000000000002</v>
      </c>
      <c r="EX177">
        <v>0</v>
      </c>
      <c r="EY177">
        <v>0</v>
      </c>
      <c r="FQ177">
        <v>0</v>
      </c>
      <c r="FR177">
        <f t="shared" si="204"/>
        <v>0</v>
      </c>
      <c r="FS177">
        <v>0</v>
      </c>
      <c r="FX177">
        <v>70</v>
      </c>
      <c r="FY177">
        <v>10</v>
      </c>
      <c r="GA177" t="s">
        <v>3</v>
      </c>
      <c r="GD177">
        <v>0</v>
      </c>
      <c r="GF177">
        <v>-241561097</v>
      </c>
      <c r="GG177">
        <v>2</v>
      </c>
      <c r="GH177">
        <v>1</v>
      </c>
      <c r="GI177">
        <v>-2</v>
      </c>
      <c r="GJ177">
        <v>0</v>
      </c>
      <c r="GK177">
        <f>ROUND(R177*(R12)/100,2)</f>
        <v>2.27</v>
      </c>
      <c r="GL177">
        <f t="shared" si="205"/>
        <v>0</v>
      </c>
      <c r="GM177">
        <f t="shared" si="206"/>
        <v>5318.14</v>
      </c>
      <c r="GN177">
        <f t="shared" si="207"/>
        <v>0</v>
      </c>
      <c r="GO177">
        <f t="shared" si="208"/>
        <v>0</v>
      </c>
      <c r="GP177">
        <f t="shared" si="209"/>
        <v>5318.14</v>
      </c>
      <c r="GR177">
        <v>0</v>
      </c>
      <c r="GS177">
        <v>3</v>
      </c>
      <c r="GT177">
        <v>0</v>
      </c>
      <c r="GU177" t="s">
        <v>3</v>
      </c>
      <c r="GV177">
        <f t="shared" si="210"/>
        <v>0</v>
      </c>
      <c r="GW177">
        <v>1</v>
      </c>
      <c r="GX177">
        <f t="shared" si="211"/>
        <v>0</v>
      </c>
      <c r="HA177">
        <v>0</v>
      </c>
      <c r="HB177">
        <v>0</v>
      </c>
      <c r="HC177">
        <f t="shared" si="212"/>
        <v>0</v>
      </c>
      <c r="HE177" t="s">
        <v>3</v>
      </c>
      <c r="HF177" t="s">
        <v>3</v>
      </c>
      <c r="HM177" t="s">
        <v>3</v>
      </c>
      <c r="HN177" t="s">
        <v>3</v>
      </c>
      <c r="HO177" t="s">
        <v>3</v>
      </c>
      <c r="HP177" t="s">
        <v>3</v>
      </c>
      <c r="HQ177" t="s">
        <v>3</v>
      </c>
      <c r="IK177">
        <v>0</v>
      </c>
    </row>
    <row r="178" spans="1:245" x14ac:dyDescent="0.2">
      <c r="A178">
        <v>17</v>
      </c>
      <c r="B178">
        <v>1</v>
      </c>
      <c r="D178">
        <f>ROW(EtalonRes!A153)</f>
        <v>153</v>
      </c>
      <c r="E178" t="s">
        <v>238</v>
      </c>
      <c r="F178" t="s">
        <v>239</v>
      </c>
      <c r="G178" t="s">
        <v>240</v>
      </c>
      <c r="H178" t="s">
        <v>20</v>
      </c>
      <c r="I178">
        <v>0.35489999999999999</v>
      </c>
      <c r="J178">
        <v>0</v>
      </c>
      <c r="K178">
        <v>0.35489999999999999</v>
      </c>
      <c r="O178">
        <f t="shared" si="173"/>
        <v>821.98</v>
      </c>
      <c r="P178">
        <f t="shared" si="174"/>
        <v>0</v>
      </c>
      <c r="Q178">
        <f t="shared" si="175"/>
        <v>0</v>
      </c>
      <c r="R178">
        <f t="shared" si="176"/>
        <v>0</v>
      </c>
      <c r="S178">
        <f t="shared" si="177"/>
        <v>821.98</v>
      </c>
      <c r="T178">
        <f t="shared" si="178"/>
        <v>0</v>
      </c>
      <c r="U178">
        <f t="shared" si="179"/>
        <v>2.523339</v>
      </c>
      <c r="V178">
        <f t="shared" si="180"/>
        <v>0</v>
      </c>
      <c r="W178">
        <f t="shared" si="181"/>
        <v>0</v>
      </c>
      <c r="X178">
        <f t="shared" si="182"/>
        <v>575.39</v>
      </c>
      <c r="Y178">
        <f t="shared" si="183"/>
        <v>82.2</v>
      </c>
      <c r="AA178">
        <v>72192302</v>
      </c>
      <c r="AB178">
        <f t="shared" si="184"/>
        <v>2316.08</v>
      </c>
      <c r="AC178">
        <f t="shared" si="185"/>
        <v>0</v>
      </c>
      <c r="AD178">
        <f t="shared" si="186"/>
        <v>0</v>
      </c>
      <c r="AE178">
        <f t="shared" si="187"/>
        <v>0</v>
      </c>
      <c r="AF178">
        <f t="shared" si="188"/>
        <v>2316.08</v>
      </c>
      <c r="AG178">
        <f t="shared" si="189"/>
        <v>0</v>
      </c>
      <c r="AH178">
        <f t="shared" si="190"/>
        <v>7.11</v>
      </c>
      <c r="AI178">
        <f t="shared" si="191"/>
        <v>0</v>
      </c>
      <c r="AJ178">
        <f t="shared" si="192"/>
        <v>0</v>
      </c>
      <c r="AK178">
        <v>2316.08</v>
      </c>
      <c r="AL178">
        <v>0</v>
      </c>
      <c r="AM178">
        <v>0</v>
      </c>
      <c r="AN178">
        <v>0</v>
      </c>
      <c r="AO178">
        <v>2316.08</v>
      </c>
      <c r="AP178">
        <v>0</v>
      </c>
      <c r="AQ178">
        <v>7.11</v>
      </c>
      <c r="AR178">
        <v>0</v>
      </c>
      <c r="AS178">
        <v>0</v>
      </c>
      <c r="AT178">
        <v>70</v>
      </c>
      <c r="AU178">
        <v>10</v>
      </c>
      <c r="AV178">
        <v>1</v>
      </c>
      <c r="AW178">
        <v>1</v>
      </c>
      <c r="AZ178">
        <v>1</v>
      </c>
      <c r="BA178">
        <v>1</v>
      </c>
      <c r="BB178">
        <v>1</v>
      </c>
      <c r="BC178">
        <v>1</v>
      </c>
      <c r="BD178" t="s">
        <v>3</v>
      </c>
      <c r="BE178" t="s">
        <v>3</v>
      </c>
      <c r="BF178" t="s">
        <v>3</v>
      </c>
      <c r="BG178" t="s">
        <v>3</v>
      </c>
      <c r="BH178">
        <v>0</v>
      </c>
      <c r="BI178">
        <v>4</v>
      </c>
      <c r="BJ178" t="s">
        <v>241</v>
      </c>
      <c r="BM178">
        <v>0</v>
      </c>
      <c r="BN178">
        <v>0</v>
      </c>
      <c r="BO178" t="s">
        <v>3</v>
      </c>
      <c r="BP178">
        <v>0</v>
      </c>
      <c r="BQ178">
        <v>1</v>
      </c>
      <c r="BR178">
        <v>0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 t="s">
        <v>3</v>
      </c>
      <c r="BZ178">
        <v>70</v>
      </c>
      <c r="CA178">
        <v>10</v>
      </c>
      <c r="CB178" t="s">
        <v>3</v>
      </c>
      <c r="CE178">
        <v>0</v>
      </c>
      <c r="CF178">
        <v>0</v>
      </c>
      <c r="CG178">
        <v>0</v>
      </c>
      <c r="CM178">
        <v>0</v>
      </c>
      <c r="CN178" t="s">
        <v>3</v>
      </c>
      <c r="CO178">
        <v>0</v>
      </c>
      <c r="CP178">
        <f t="shared" si="193"/>
        <v>821.98</v>
      </c>
      <c r="CQ178">
        <f t="shared" si="194"/>
        <v>0</v>
      </c>
      <c r="CR178">
        <f t="shared" si="195"/>
        <v>0</v>
      </c>
      <c r="CS178">
        <f t="shared" si="196"/>
        <v>0</v>
      </c>
      <c r="CT178">
        <f t="shared" si="197"/>
        <v>2316.08</v>
      </c>
      <c r="CU178">
        <f t="shared" si="198"/>
        <v>0</v>
      </c>
      <c r="CV178">
        <f t="shared" si="199"/>
        <v>7.11</v>
      </c>
      <c r="CW178">
        <f t="shared" si="200"/>
        <v>0</v>
      </c>
      <c r="CX178">
        <f t="shared" si="201"/>
        <v>0</v>
      </c>
      <c r="CY178">
        <f t="shared" si="202"/>
        <v>575.38599999999997</v>
      </c>
      <c r="CZ178">
        <f t="shared" si="203"/>
        <v>82.197999999999993</v>
      </c>
      <c r="DC178" t="s">
        <v>3</v>
      </c>
      <c r="DD178" t="s">
        <v>3</v>
      </c>
      <c r="DE178" t="s">
        <v>3</v>
      </c>
      <c r="DF178" t="s">
        <v>3</v>
      </c>
      <c r="DG178" t="s">
        <v>3</v>
      </c>
      <c r="DH178" t="s">
        <v>3</v>
      </c>
      <c r="DI178" t="s">
        <v>3</v>
      </c>
      <c r="DJ178" t="s">
        <v>3</v>
      </c>
      <c r="DK178" t="s">
        <v>3</v>
      </c>
      <c r="DL178" t="s">
        <v>3</v>
      </c>
      <c r="DM178" t="s">
        <v>3</v>
      </c>
      <c r="DN178">
        <v>0</v>
      </c>
      <c r="DO178">
        <v>0</v>
      </c>
      <c r="DP178">
        <v>1</v>
      </c>
      <c r="DQ178">
        <v>1</v>
      </c>
      <c r="DU178">
        <v>1003</v>
      </c>
      <c r="DV178" t="s">
        <v>20</v>
      </c>
      <c r="DW178" t="s">
        <v>20</v>
      </c>
      <c r="DX178">
        <v>100</v>
      </c>
      <c r="DZ178" t="s">
        <v>3</v>
      </c>
      <c r="EA178" t="s">
        <v>3</v>
      </c>
      <c r="EB178" t="s">
        <v>3</v>
      </c>
      <c r="EC178" t="s">
        <v>3</v>
      </c>
      <c r="EE178">
        <v>71753531</v>
      </c>
      <c r="EF178">
        <v>1</v>
      </c>
      <c r="EG178" t="s">
        <v>22</v>
      </c>
      <c r="EH178">
        <v>0</v>
      </c>
      <c r="EI178" t="s">
        <v>3</v>
      </c>
      <c r="EJ178">
        <v>4</v>
      </c>
      <c r="EK178">
        <v>0</v>
      </c>
      <c r="EL178" t="s">
        <v>23</v>
      </c>
      <c r="EM178" t="s">
        <v>24</v>
      </c>
      <c r="EO178" t="s">
        <v>3</v>
      </c>
      <c r="EQ178">
        <v>0</v>
      </c>
      <c r="ER178">
        <v>2316.08</v>
      </c>
      <c r="ES178">
        <v>0</v>
      </c>
      <c r="ET178">
        <v>0</v>
      </c>
      <c r="EU178">
        <v>0</v>
      </c>
      <c r="EV178">
        <v>2316.08</v>
      </c>
      <c r="EW178">
        <v>7.11</v>
      </c>
      <c r="EX178">
        <v>0</v>
      </c>
      <c r="EY178">
        <v>0</v>
      </c>
      <c r="FQ178">
        <v>0</v>
      </c>
      <c r="FR178">
        <f t="shared" si="204"/>
        <v>0</v>
      </c>
      <c r="FS178">
        <v>0</v>
      </c>
      <c r="FX178">
        <v>70</v>
      </c>
      <c r="FY178">
        <v>10</v>
      </c>
      <c r="GA178" t="s">
        <v>3</v>
      </c>
      <c r="GD178">
        <v>0</v>
      </c>
      <c r="GF178">
        <v>1642679896</v>
      </c>
      <c r="GG178">
        <v>2</v>
      </c>
      <c r="GH178">
        <v>1</v>
      </c>
      <c r="GI178">
        <v>-2</v>
      </c>
      <c r="GJ178">
        <v>0</v>
      </c>
      <c r="GK178">
        <f>ROUND(R178*(R12)/100,2)</f>
        <v>0</v>
      </c>
      <c r="GL178">
        <f t="shared" si="205"/>
        <v>0</v>
      </c>
      <c r="GM178">
        <f t="shared" si="206"/>
        <v>1479.57</v>
      </c>
      <c r="GN178">
        <f t="shared" si="207"/>
        <v>0</v>
      </c>
      <c r="GO178">
        <f t="shared" si="208"/>
        <v>0</v>
      </c>
      <c r="GP178">
        <f t="shared" si="209"/>
        <v>1479.57</v>
      </c>
      <c r="GR178">
        <v>0</v>
      </c>
      <c r="GS178">
        <v>3</v>
      </c>
      <c r="GT178">
        <v>0</v>
      </c>
      <c r="GU178" t="s">
        <v>3</v>
      </c>
      <c r="GV178">
        <f t="shared" si="210"/>
        <v>0</v>
      </c>
      <c r="GW178">
        <v>1</v>
      </c>
      <c r="GX178">
        <f t="shared" si="211"/>
        <v>0</v>
      </c>
      <c r="HA178">
        <v>0</v>
      </c>
      <c r="HB178">
        <v>0</v>
      </c>
      <c r="HC178">
        <f t="shared" si="212"/>
        <v>0</v>
      </c>
      <c r="HE178" t="s">
        <v>3</v>
      </c>
      <c r="HF178" t="s">
        <v>3</v>
      </c>
      <c r="HM178" t="s">
        <v>3</v>
      </c>
      <c r="HN178" t="s">
        <v>3</v>
      </c>
      <c r="HO178" t="s">
        <v>3</v>
      </c>
      <c r="HP178" t="s">
        <v>3</v>
      </c>
      <c r="HQ178" t="s">
        <v>3</v>
      </c>
      <c r="IK178">
        <v>0</v>
      </c>
    </row>
    <row r="179" spans="1:245" x14ac:dyDescent="0.2">
      <c r="A179">
        <v>18</v>
      </c>
      <c r="B179">
        <v>1</v>
      </c>
      <c r="E179" t="s">
        <v>242</v>
      </c>
      <c r="F179" t="s">
        <v>243</v>
      </c>
      <c r="G179" t="s">
        <v>244</v>
      </c>
      <c r="H179" t="s">
        <v>245</v>
      </c>
      <c r="I179">
        <f>I178*J179</f>
        <v>3.6200000000000003E-2</v>
      </c>
      <c r="J179">
        <v>0.10200056353902509</v>
      </c>
      <c r="K179">
        <v>0.10199999999999999</v>
      </c>
      <c r="O179">
        <f t="shared" si="173"/>
        <v>3624.18</v>
      </c>
      <c r="P179">
        <f t="shared" si="174"/>
        <v>3624.18</v>
      </c>
      <c r="Q179">
        <f t="shared" si="175"/>
        <v>0</v>
      </c>
      <c r="R179">
        <f t="shared" si="176"/>
        <v>0</v>
      </c>
      <c r="S179">
        <f t="shared" si="177"/>
        <v>0</v>
      </c>
      <c r="T179">
        <f t="shared" si="178"/>
        <v>0</v>
      </c>
      <c r="U179">
        <f t="shared" si="179"/>
        <v>0</v>
      </c>
      <c r="V179">
        <f t="shared" si="180"/>
        <v>0</v>
      </c>
      <c r="W179">
        <f t="shared" si="181"/>
        <v>0</v>
      </c>
      <c r="X179">
        <f t="shared" si="182"/>
        <v>0</v>
      </c>
      <c r="Y179">
        <f t="shared" si="183"/>
        <v>0</v>
      </c>
      <c r="AA179">
        <v>72192302</v>
      </c>
      <c r="AB179">
        <f t="shared" si="184"/>
        <v>100115.51</v>
      </c>
      <c r="AC179">
        <f t="shared" si="185"/>
        <v>100115.51</v>
      </c>
      <c r="AD179">
        <f t="shared" si="186"/>
        <v>0</v>
      </c>
      <c r="AE179">
        <f t="shared" si="187"/>
        <v>0</v>
      </c>
      <c r="AF179">
        <f t="shared" si="188"/>
        <v>0</v>
      </c>
      <c r="AG179">
        <f t="shared" si="189"/>
        <v>0</v>
      </c>
      <c r="AH179">
        <f t="shared" si="190"/>
        <v>0</v>
      </c>
      <c r="AI179">
        <f t="shared" si="191"/>
        <v>0</v>
      </c>
      <c r="AJ179">
        <f t="shared" si="192"/>
        <v>0</v>
      </c>
      <c r="AK179">
        <v>100115.51</v>
      </c>
      <c r="AL179">
        <v>100115.51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70</v>
      </c>
      <c r="AU179">
        <v>10</v>
      </c>
      <c r="AV179">
        <v>1</v>
      </c>
      <c r="AW179">
        <v>1</v>
      </c>
      <c r="AZ179">
        <v>1</v>
      </c>
      <c r="BA179">
        <v>1</v>
      </c>
      <c r="BB179">
        <v>1</v>
      </c>
      <c r="BC179">
        <v>1</v>
      </c>
      <c r="BD179" t="s">
        <v>3</v>
      </c>
      <c r="BE179" t="s">
        <v>3</v>
      </c>
      <c r="BF179" t="s">
        <v>3</v>
      </c>
      <c r="BG179" t="s">
        <v>3</v>
      </c>
      <c r="BH179">
        <v>3</v>
      </c>
      <c r="BI179">
        <v>4</v>
      </c>
      <c r="BJ179" t="s">
        <v>246</v>
      </c>
      <c r="BM179">
        <v>0</v>
      </c>
      <c r="BN179">
        <v>0</v>
      </c>
      <c r="BO179" t="s">
        <v>3</v>
      </c>
      <c r="BP179">
        <v>0</v>
      </c>
      <c r="BQ179">
        <v>1</v>
      </c>
      <c r="BR179">
        <v>0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 t="s">
        <v>3</v>
      </c>
      <c r="BZ179">
        <v>70</v>
      </c>
      <c r="CA179">
        <v>10</v>
      </c>
      <c r="CB179" t="s">
        <v>3</v>
      </c>
      <c r="CE179">
        <v>0</v>
      </c>
      <c r="CF179">
        <v>0</v>
      </c>
      <c r="CG179">
        <v>0</v>
      </c>
      <c r="CM179">
        <v>0</v>
      </c>
      <c r="CN179" t="s">
        <v>3</v>
      </c>
      <c r="CO179">
        <v>0</v>
      </c>
      <c r="CP179">
        <f t="shared" si="193"/>
        <v>3624.18</v>
      </c>
      <c r="CQ179">
        <f t="shared" si="194"/>
        <v>100115.51</v>
      </c>
      <c r="CR179">
        <f t="shared" si="195"/>
        <v>0</v>
      </c>
      <c r="CS179">
        <f t="shared" si="196"/>
        <v>0</v>
      </c>
      <c r="CT179">
        <f t="shared" si="197"/>
        <v>0</v>
      </c>
      <c r="CU179">
        <f t="shared" si="198"/>
        <v>0</v>
      </c>
      <c r="CV179">
        <f t="shared" si="199"/>
        <v>0</v>
      </c>
      <c r="CW179">
        <f t="shared" si="200"/>
        <v>0</v>
      </c>
      <c r="CX179">
        <f t="shared" si="201"/>
        <v>0</v>
      </c>
      <c r="CY179">
        <f t="shared" si="202"/>
        <v>0</v>
      </c>
      <c r="CZ179">
        <f t="shared" si="203"/>
        <v>0</v>
      </c>
      <c r="DC179" t="s">
        <v>3</v>
      </c>
      <c r="DD179" t="s">
        <v>3</v>
      </c>
      <c r="DE179" t="s">
        <v>3</v>
      </c>
      <c r="DF179" t="s">
        <v>3</v>
      </c>
      <c r="DG179" t="s">
        <v>3</v>
      </c>
      <c r="DH179" t="s">
        <v>3</v>
      </c>
      <c r="DI179" t="s">
        <v>3</v>
      </c>
      <c r="DJ179" t="s">
        <v>3</v>
      </c>
      <c r="DK179" t="s">
        <v>3</v>
      </c>
      <c r="DL179" t="s">
        <v>3</v>
      </c>
      <c r="DM179" t="s">
        <v>3</v>
      </c>
      <c r="DN179">
        <v>0</v>
      </c>
      <c r="DO179">
        <v>0</v>
      </c>
      <c r="DP179">
        <v>1</v>
      </c>
      <c r="DQ179">
        <v>1</v>
      </c>
      <c r="DU179">
        <v>1003</v>
      </c>
      <c r="DV179" t="s">
        <v>245</v>
      </c>
      <c r="DW179" t="s">
        <v>245</v>
      </c>
      <c r="DX179">
        <v>1000</v>
      </c>
      <c r="DZ179" t="s">
        <v>3</v>
      </c>
      <c r="EA179" t="s">
        <v>3</v>
      </c>
      <c r="EB179" t="s">
        <v>3</v>
      </c>
      <c r="EC179" t="s">
        <v>3</v>
      </c>
      <c r="EE179">
        <v>71753531</v>
      </c>
      <c r="EF179">
        <v>1</v>
      </c>
      <c r="EG179" t="s">
        <v>22</v>
      </c>
      <c r="EH179">
        <v>0</v>
      </c>
      <c r="EI179" t="s">
        <v>3</v>
      </c>
      <c r="EJ179">
        <v>4</v>
      </c>
      <c r="EK179">
        <v>0</v>
      </c>
      <c r="EL179" t="s">
        <v>23</v>
      </c>
      <c r="EM179" t="s">
        <v>24</v>
      </c>
      <c r="EO179" t="s">
        <v>3</v>
      </c>
      <c r="EQ179">
        <v>0</v>
      </c>
      <c r="ER179">
        <v>100115.51</v>
      </c>
      <c r="ES179">
        <v>100115.51</v>
      </c>
      <c r="ET179">
        <v>0</v>
      </c>
      <c r="EU179">
        <v>0</v>
      </c>
      <c r="EV179">
        <v>0</v>
      </c>
      <c r="EW179">
        <v>0</v>
      </c>
      <c r="EX179">
        <v>0</v>
      </c>
      <c r="FQ179">
        <v>0</v>
      </c>
      <c r="FR179">
        <f t="shared" si="204"/>
        <v>0</v>
      </c>
      <c r="FS179">
        <v>0</v>
      </c>
      <c r="FX179">
        <v>70</v>
      </c>
      <c r="FY179">
        <v>10</v>
      </c>
      <c r="GA179" t="s">
        <v>3</v>
      </c>
      <c r="GD179">
        <v>0</v>
      </c>
      <c r="GF179">
        <v>918109215</v>
      </c>
      <c r="GG179">
        <v>2</v>
      </c>
      <c r="GH179">
        <v>1</v>
      </c>
      <c r="GI179">
        <v>-2</v>
      </c>
      <c r="GJ179">
        <v>0</v>
      </c>
      <c r="GK179">
        <f>ROUND(R179*(R12)/100,2)</f>
        <v>0</v>
      </c>
      <c r="GL179">
        <f t="shared" si="205"/>
        <v>0</v>
      </c>
      <c r="GM179">
        <f t="shared" si="206"/>
        <v>3624.18</v>
      </c>
      <c r="GN179">
        <f t="shared" si="207"/>
        <v>0</v>
      </c>
      <c r="GO179">
        <f t="shared" si="208"/>
        <v>0</v>
      </c>
      <c r="GP179">
        <f t="shared" si="209"/>
        <v>3624.18</v>
      </c>
      <c r="GR179">
        <v>0</v>
      </c>
      <c r="GS179">
        <v>3</v>
      </c>
      <c r="GT179">
        <v>0</v>
      </c>
      <c r="GU179" t="s">
        <v>3</v>
      </c>
      <c r="GV179">
        <f t="shared" si="210"/>
        <v>0</v>
      </c>
      <c r="GW179">
        <v>1</v>
      </c>
      <c r="GX179">
        <f t="shared" si="211"/>
        <v>0</v>
      </c>
      <c r="HA179">
        <v>0</v>
      </c>
      <c r="HB179">
        <v>0</v>
      </c>
      <c r="HC179">
        <f t="shared" si="212"/>
        <v>0</v>
      </c>
      <c r="HE179" t="s">
        <v>3</v>
      </c>
      <c r="HF179" t="s">
        <v>3</v>
      </c>
      <c r="HM179" t="s">
        <v>3</v>
      </c>
      <c r="HN179" t="s">
        <v>3</v>
      </c>
      <c r="HO179" t="s">
        <v>3</v>
      </c>
      <c r="HP179" t="s">
        <v>3</v>
      </c>
      <c r="HQ179" t="s">
        <v>3</v>
      </c>
      <c r="IK179">
        <v>0</v>
      </c>
    </row>
    <row r="180" spans="1:245" x14ac:dyDescent="0.2">
      <c r="A180">
        <v>17</v>
      </c>
      <c r="B180">
        <v>1</v>
      </c>
      <c r="D180">
        <f>ROW(EtalonRes!A154)</f>
        <v>154</v>
      </c>
      <c r="E180" t="s">
        <v>247</v>
      </c>
      <c r="F180" t="s">
        <v>248</v>
      </c>
      <c r="G180" t="s">
        <v>249</v>
      </c>
      <c r="H180" t="s">
        <v>33</v>
      </c>
      <c r="I180">
        <v>0.02</v>
      </c>
      <c r="J180">
        <v>0</v>
      </c>
      <c r="K180">
        <v>0.02</v>
      </c>
      <c r="O180">
        <f t="shared" si="173"/>
        <v>147.47</v>
      </c>
      <c r="P180">
        <f t="shared" si="174"/>
        <v>0</v>
      </c>
      <c r="Q180">
        <f t="shared" si="175"/>
        <v>0</v>
      </c>
      <c r="R180">
        <f t="shared" si="176"/>
        <v>0</v>
      </c>
      <c r="S180">
        <f t="shared" si="177"/>
        <v>147.47</v>
      </c>
      <c r="T180">
        <f t="shared" si="178"/>
        <v>0</v>
      </c>
      <c r="U180">
        <f t="shared" si="179"/>
        <v>0.5948</v>
      </c>
      <c r="V180">
        <f t="shared" si="180"/>
        <v>0</v>
      </c>
      <c r="W180">
        <f t="shared" si="181"/>
        <v>0</v>
      </c>
      <c r="X180">
        <f t="shared" si="182"/>
        <v>103.23</v>
      </c>
      <c r="Y180">
        <f t="shared" si="183"/>
        <v>14.75</v>
      </c>
      <c r="AA180">
        <v>72192302</v>
      </c>
      <c r="AB180">
        <f t="shared" si="184"/>
        <v>7373.44</v>
      </c>
      <c r="AC180">
        <f t="shared" si="185"/>
        <v>0</v>
      </c>
      <c r="AD180">
        <f t="shared" si="186"/>
        <v>0</v>
      </c>
      <c r="AE180">
        <f t="shared" si="187"/>
        <v>0</v>
      </c>
      <c r="AF180">
        <f t="shared" si="188"/>
        <v>7373.44</v>
      </c>
      <c r="AG180">
        <f t="shared" si="189"/>
        <v>0</v>
      </c>
      <c r="AH180">
        <f t="shared" si="190"/>
        <v>29.74</v>
      </c>
      <c r="AI180">
        <f t="shared" si="191"/>
        <v>0</v>
      </c>
      <c r="AJ180">
        <f t="shared" si="192"/>
        <v>0</v>
      </c>
      <c r="AK180">
        <v>7373.44</v>
      </c>
      <c r="AL180">
        <v>0</v>
      </c>
      <c r="AM180">
        <v>0</v>
      </c>
      <c r="AN180">
        <v>0</v>
      </c>
      <c r="AO180">
        <v>7373.44</v>
      </c>
      <c r="AP180">
        <v>0</v>
      </c>
      <c r="AQ180">
        <v>29.74</v>
      </c>
      <c r="AR180">
        <v>0</v>
      </c>
      <c r="AS180">
        <v>0</v>
      </c>
      <c r="AT180">
        <v>70</v>
      </c>
      <c r="AU180">
        <v>10</v>
      </c>
      <c r="AV180">
        <v>1</v>
      </c>
      <c r="AW180">
        <v>1</v>
      </c>
      <c r="AZ180">
        <v>1</v>
      </c>
      <c r="BA180">
        <v>1</v>
      </c>
      <c r="BB180">
        <v>1</v>
      </c>
      <c r="BC180">
        <v>1</v>
      </c>
      <c r="BD180" t="s">
        <v>3</v>
      </c>
      <c r="BE180" t="s">
        <v>3</v>
      </c>
      <c r="BF180" t="s">
        <v>3</v>
      </c>
      <c r="BG180" t="s">
        <v>3</v>
      </c>
      <c r="BH180">
        <v>0</v>
      </c>
      <c r="BI180">
        <v>4</v>
      </c>
      <c r="BJ180" t="s">
        <v>250</v>
      </c>
      <c r="BM180">
        <v>0</v>
      </c>
      <c r="BN180">
        <v>0</v>
      </c>
      <c r="BO180" t="s">
        <v>3</v>
      </c>
      <c r="BP180">
        <v>0</v>
      </c>
      <c r="BQ180">
        <v>1</v>
      </c>
      <c r="BR180">
        <v>0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 t="s">
        <v>3</v>
      </c>
      <c r="BZ180">
        <v>70</v>
      </c>
      <c r="CA180">
        <v>10</v>
      </c>
      <c r="CB180" t="s">
        <v>3</v>
      </c>
      <c r="CE180">
        <v>0</v>
      </c>
      <c r="CF180">
        <v>0</v>
      </c>
      <c r="CG180">
        <v>0</v>
      </c>
      <c r="CM180">
        <v>0</v>
      </c>
      <c r="CN180" t="s">
        <v>3</v>
      </c>
      <c r="CO180">
        <v>0</v>
      </c>
      <c r="CP180">
        <f t="shared" si="193"/>
        <v>147.47</v>
      </c>
      <c r="CQ180">
        <f t="shared" si="194"/>
        <v>0</v>
      </c>
      <c r="CR180">
        <f t="shared" si="195"/>
        <v>0</v>
      </c>
      <c r="CS180">
        <f t="shared" si="196"/>
        <v>0</v>
      </c>
      <c r="CT180">
        <f t="shared" si="197"/>
        <v>7373.44</v>
      </c>
      <c r="CU180">
        <f t="shared" si="198"/>
        <v>0</v>
      </c>
      <c r="CV180">
        <f t="shared" si="199"/>
        <v>29.74</v>
      </c>
      <c r="CW180">
        <f t="shared" si="200"/>
        <v>0</v>
      </c>
      <c r="CX180">
        <f t="shared" si="201"/>
        <v>0</v>
      </c>
      <c r="CY180">
        <f t="shared" si="202"/>
        <v>103.229</v>
      </c>
      <c r="CZ180">
        <f t="shared" si="203"/>
        <v>14.747</v>
      </c>
      <c r="DC180" t="s">
        <v>3</v>
      </c>
      <c r="DD180" t="s">
        <v>3</v>
      </c>
      <c r="DE180" t="s">
        <v>3</v>
      </c>
      <c r="DF180" t="s">
        <v>3</v>
      </c>
      <c r="DG180" t="s">
        <v>3</v>
      </c>
      <c r="DH180" t="s">
        <v>3</v>
      </c>
      <c r="DI180" t="s">
        <v>3</v>
      </c>
      <c r="DJ180" t="s">
        <v>3</v>
      </c>
      <c r="DK180" t="s">
        <v>3</v>
      </c>
      <c r="DL180" t="s">
        <v>3</v>
      </c>
      <c r="DM180" t="s">
        <v>3</v>
      </c>
      <c r="DN180">
        <v>0</v>
      </c>
      <c r="DO180">
        <v>0</v>
      </c>
      <c r="DP180">
        <v>1</v>
      </c>
      <c r="DQ180">
        <v>1</v>
      </c>
      <c r="DU180">
        <v>1010</v>
      </c>
      <c r="DV180" t="s">
        <v>33</v>
      </c>
      <c r="DW180" t="s">
        <v>33</v>
      </c>
      <c r="DX180">
        <v>100</v>
      </c>
      <c r="DZ180" t="s">
        <v>3</v>
      </c>
      <c r="EA180" t="s">
        <v>3</v>
      </c>
      <c r="EB180" t="s">
        <v>3</v>
      </c>
      <c r="EC180" t="s">
        <v>3</v>
      </c>
      <c r="EE180">
        <v>71753531</v>
      </c>
      <c r="EF180">
        <v>1</v>
      </c>
      <c r="EG180" t="s">
        <v>22</v>
      </c>
      <c r="EH180">
        <v>0</v>
      </c>
      <c r="EI180" t="s">
        <v>3</v>
      </c>
      <c r="EJ180">
        <v>4</v>
      </c>
      <c r="EK180">
        <v>0</v>
      </c>
      <c r="EL180" t="s">
        <v>23</v>
      </c>
      <c r="EM180" t="s">
        <v>24</v>
      </c>
      <c r="EO180" t="s">
        <v>3</v>
      </c>
      <c r="EQ180">
        <v>0</v>
      </c>
      <c r="ER180">
        <v>7373.44</v>
      </c>
      <c r="ES180">
        <v>0</v>
      </c>
      <c r="ET180">
        <v>0</v>
      </c>
      <c r="EU180">
        <v>0</v>
      </c>
      <c r="EV180">
        <v>7373.44</v>
      </c>
      <c r="EW180">
        <v>29.74</v>
      </c>
      <c r="EX180">
        <v>0</v>
      </c>
      <c r="EY180">
        <v>0</v>
      </c>
      <c r="FQ180">
        <v>0</v>
      </c>
      <c r="FR180">
        <f t="shared" si="204"/>
        <v>0</v>
      </c>
      <c r="FS180">
        <v>0</v>
      </c>
      <c r="FX180">
        <v>70</v>
      </c>
      <c r="FY180">
        <v>10</v>
      </c>
      <c r="GA180" t="s">
        <v>3</v>
      </c>
      <c r="GD180">
        <v>0</v>
      </c>
      <c r="GF180">
        <v>-1678721504</v>
      </c>
      <c r="GG180">
        <v>2</v>
      </c>
      <c r="GH180">
        <v>1</v>
      </c>
      <c r="GI180">
        <v>-2</v>
      </c>
      <c r="GJ180">
        <v>0</v>
      </c>
      <c r="GK180">
        <f>ROUND(R180*(R12)/100,2)</f>
        <v>0</v>
      </c>
      <c r="GL180">
        <f t="shared" si="205"/>
        <v>0</v>
      </c>
      <c r="GM180">
        <f t="shared" si="206"/>
        <v>265.45</v>
      </c>
      <c r="GN180">
        <f t="shared" si="207"/>
        <v>0</v>
      </c>
      <c r="GO180">
        <f t="shared" si="208"/>
        <v>0</v>
      </c>
      <c r="GP180">
        <f t="shared" si="209"/>
        <v>265.45</v>
      </c>
      <c r="GR180">
        <v>0</v>
      </c>
      <c r="GS180">
        <v>3</v>
      </c>
      <c r="GT180">
        <v>0</v>
      </c>
      <c r="GU180" t="s">
        <v>3</v>
      </c>
      <c r="GV180">
        <f t="shared" si="210"/>
        <v>0</v>
      </c>
      <c r="GW180">
        <v>1</v>
      </c>
      <c r="GX180">
        <f t="shared" si="211"/>
        <v>0</v>
      </c>
      <c r="HA180">
        <v>0</v>
      </c>
      <c r="HB180">
        <v>0</v>
      </c>
      <c r="HC180">
        <f t="shared" si="212"/>
        <v>0</v>
      </c>
      <c r="HE180" t="s">
        <v>3</v>
      </c>
      <c r="HF180" t="s">
        <v>3</v>
      </c>
      <c r="HM180" t="s">
        <v>3</v>
      </c>
      <c r="HN180" t="s">
        <v>3</v>
      </c>
      <c r="HO180" t="s">
        <v>3</v>
      </c>
      <c r="HP180" t="s">
        <v>3</v>
      </c>
      <c r="HQ180" t="s">
        <v>3</v>
      </c>
      <c r="IK180">
        <v>0</v>
      </c>
    </row>
    <row r="181" spans="1:245" x14ac:dyDescent="0.2">
      <c r="A181">
        <v>18</v>
      </c>
      <c r="B181">
        <v>1</v>
      </c>
      <c r="E181" t="s">
        <v>251</v>
      </c>
      <c r="F181" t="s">
        <v>252</v>
      </c>
      <c r="G181" t="s">
        <v>253</v>
      </c>
      <c r="H181" t="s">
        <v>51</v>
      </c>
      <c r="I181">
        <f>I180*J181</f>
        <v>1</v>
      </c>
      <c r="J181">
        <v>50</v>
      </c>
      <c r="K181">
        <v>50</v>
      </c>
      <c r="O181">
        <f t="shared" si="173"/>
        <v>39.99</v>
      </c>
      <c r="P181">
        <f t="shared" si="174"/>
        <v>39.99</v>
      </c>
      <c r="Q181">
        <f t="shared" si="175"/>
        <v>0</v>
      </c>
      <c r="R181">
        <f t="shared" si="176"/>
        <v>0</v>
      </c>
      <c r="S181">
        <f t="shared" si="177"/>
        <v>0</v>
      </c>
      <c r="T181">
        <f t="shared" si="178"/>
        <v>0</v>
      </c>
      <c r="U181">
        <f t="shared" si="179"/>
        <v>0</v>
      </c>
      <c r="V181">
        <f t="shared" si="180"/>
        <v>0</v>
      </c>
      <c r="W181">
        <f t="shared" si="181"/>
        <v>0</v>
      </c>
      <c r="X181">
        <f t="shared" si="182"/>
        <v>0</v>
      </c>
      <c r="Y181">
        <f t="shared" si="183"/>
        <v>0</v>
      </c>
      <c r="AA181">
        <v>72192302</v>
      </c>
      <c r="AB181">
        <f t="shared" si="184"/>
        <v>39.99</v>
      </c>
      <c r="AC181">
        <f t="shared" si="185"/>
        <v>39.99</v>
      </c>
      <c r="AD181">
        <f t="shared" si="186"/>
        <v>0</v>
      </c>
      <c r="AE181">
        <f t="shared" si="187"/>
        <v>0</v>
      </c>
      <c r="AF181">
        <f t="shared" si="188"/>
        <v>0</v>
      </c>
      <c r="AG181">
        <f t="shared" si="189"/>
        <v>0</v>
      </c>
      <c r="AH181">
        <f t="shared" si="190"/>
        <v>0</v>
      </c>
      <c r="AI181">
        <f t="shared" si="191"/>
        <v>0</v>
      </c>
      <c r="AJ181">
        <f t="shared" si="192"/>
        <v>0</v>
      </c>
      <c r="AK181">
        <v>39.99</v>
      </c>
      <c r="AL181">
        <v>39.99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70</v>
      </c>
      <c r="AU181">
        <v>10</v>
      </c>
      <c r="AV181">
        <v>1</v>
      </c>
      <c r="AW181">
        <v>1</v>
      </c>
      <c r="AZ181">
        <v>1</v>
      </c>
      <c r="BA181">
        <v>1</v>
      </c>
      <c r="BB181">
        <v>1</v>
      </c>
      <c r="BC181">
        <v>1</v>
      </c>
      <c r="BD181" t="s">
        <v>3</v>
      </c>
      <c r="BE181" t="s">
        <v>3</v>
      </c>
      <c r="BF181" t="s">
        <v>3</v>
      </c>
      <c r="BG181" t="s">
        <v>3</v>
      </c>
      <c r="BH181">
        <v>3</v>
      </c>
      <c r="BI181">
        <v>4</v>
      </c>
      <c r="BJ181" t="s">
        <v>254</v>
      </c>
      <c r="BM181">
        <v>0</v>
      </c>
      <c r="BN181">
        <v>0</v>
      </c>
      <c r="BO181" t="s">
        <v>3</v>
      </c>
      <c r="BP181">
        <v>0</v>
      </c>
      <c r="BQ181">
        <v>1</v>
      </c>
      <c r="BR181">
        <v>0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 t="s">
        <v>3</v>
      </c>
      <c r="BZ181">
        <v>70</v>
      </c>
      <c r="CA181">
        <v>10</v>
      </c>
      <c r="CB181" t="s">
        <v>3</v>
      </c>
      <c r="CE181">
        <v>0</v>
      </c>
      <c r="CF181">
        <v>0</v>
      </c>
      <c r="CG181">
        <v>0</v>
      </c>
      <c r="CM181">
        <v>0</v>
      </c>
      <c r="CN181" t="s">
        <v>3</v>
      </c>
      <c r="CO181">
        <v>0</v>
      </c>
      <c r="CP181">
        <f t="shared" si="193"/>
        <v>39.99</v>
      </c>
      <c r="CQ181">
        <f t="shared" si="194"/>
        <v>39.99</v>
      </c>
      <c r="CR181">
        <f t="shared" si="195"/>
        <v>0</v>
      </c>
      <c r="CS181">
        <f t="shared" si="196"/>
        <v>0</v>
      </c>
      <c r="CT181">
        <f t="shared" si="197"/>
        <v>0</v>
      </c>
      <c r="CU181">
        <f t="shared" si="198"/>
        <v>0</v>
      </c>
      <c r="CV181">
        <f t="shared" si="199"/>
        <v>0</v>
      </c>
      <c r="CW181">
        <f t="shared" si="200"/>
        <v>0</v>
      </c>
      <c r="CX181">
        <f t="shared" si="201"/>
        <v>0</v>
      </c>
      <c r="CY181">
        <f t="shared" si="202"/>
        <v>0</v>
      </c>
      <c r="CZ181">
        <f t="shared" si="203"/>
        <v>0</v>
      </c>
      <c r="DC181" t="s">
        <v>3</v>
      </c>
      <c r="DD181" t="s">
        <v>3</v>
      </c>
      <c r="DE181" t="s">
        <v>3</v>
      </c>
      <c r="DF181" t="s">
        <v>3</v>
      </c>
      <c r="DG181" t="s">
        <v>3</v>
      </c>
      <c r="DH181" t="s">
        <v>3</v>
      </c>
      <c r="DI181" t="s">
        <v>3</v>
      </c>
      <c r="DJ181" t="s">
        <v>3</v>
      </c>
      <c r="DK181" t="s">
        <v>3</v>
      </c>
      <c r="DL181" t="s">
        <v>3</v>
      </c>
      <c r="DM181" t="s">
        <v>3</v>
      </c>
      <c r="DN181">
        <v>0</v>
      </c>
      <c r="DO181">
        <v>0</v>
      </c>
      <c r="DP181">
        <v>1</v>
      </c>
      <c r="DQ181">
        <v>1</v>
      </c>
      <c r="DU181">
        <v>1010</v>
      </c>
      <c r="DV181" t="s">
        <v>51</v>
      </c>
      <c r="DW181" t="s">
        <v>51</v>
      </c>
      <c r="DX181">
        <v>1</v>
      </c>
      <c r="DZ181" t="s">
        <v>3</v>
      </c>
      <c r="EA181" t="s">
        <v>3</v>
      </c>
      <c r="EB181" t="s">
        <v>3</v>
      </c>
      <c r="EC181" t="s">
        <v>3</v>
      </c>
      <c r="EE181">
        <v>71753531</v>
      </c>
      <c r="EF181">
        <v>1</v>
      </c>
      <c r="EG181" t="s">
        <v>22</v>
      </c>
      <c r="EH181">
        <v>0</v>
      </c>
      <c r="EI181" t="s">
        <v>3</v>
      </c>
      <c r="EJ181">
        <v>4</v>
      </c>
      <c r="EK181">
        <v>0</v>
      </c>
      <c r="EL181" t="s">
        <v>23</v>
      </c>
      <c r="EM181" t="s">
        <v>24</v>
      </c>
      <c r="EO181" t="s">
        <v>3</v>
      </c>
      <c r="EQ181">
        <v>0</v>
      </c>
      <c r="ER181">
        <v>39.99</v>
      </c>
      <c r="ES181">
        <v>39.99</v>
      </c>
      <c r="ET181">
        <v>0</v>
      </c>
      <c r="EU181">
        <v>0</v>
      </c>
      <c r="EV181">
        <v>0</v>
      </c>
      <c r="EW181">
        <v>0</v>
      </c>
      <c r="EX181">
        <v>0</v>
      </c>
      <c r="FQ181">
        <v>0</v>
      </c>
      <c r="FR181">
        <f t="shared" si="204"/>
        <v>0</v>
      </c>
      <c r="FS181">
        <v>0</v>
      </c>
      <c r="FX181">
        <v>70</v>
      </c>
      <c r="FY181">
        <v>10</v>
      </c>
      <c r="GA181" t="s">
        <v>3</v>
      </c>
      <c r="GD181">
        <v>0</v>
      </c>
      <c r="GF181">
        <v>-1721790415</v>
      </c>
      <c r="GG181">
        <v>2</v>
      </c>
      <c r="GH181">
        <v>1</v>
      </c>
      <c r="GI181">
        <v>-2</v>
      </c>
      <c r="GJ181">
        <v>0</v>
      </c>
      <c r="GK181">
        <f>ROUND(R181*(R12)/100,2)</f>
        <v>0</v>
      </c>
      <c r="GL181">
        <f t="shared" si="205"/>
        <v>0</v>
      </c>
      <c r="GM181">
        <f t="shared" si="206"/>
        <v>39.99</v>
      </c>
      <c r="GN181">
        <f t="shared" si="207"/>
        <v>0</v>
      </c>
      <c r="GO181">
        <f t="shared" si="208"/>
        <v>0</v>
      </c>
      <c r="GP181">
        <f t="shared" si="209"/>
        <v>39.99</v>
      </c>
      <c r="GR181">
        <v>0</v>
      </c>
      <c r="GS181">
        <v>3</v>
      </c>
      <c r="GT181">
        <v>0</v>
      </c>
      <c r="GU181" t="s">
        <v>3</v>
      </c>
      <c r="GV181">
        <f t="shared" si="210"/>
        <v>0</v>
      </c>
      <c r="GW181">
        <v>1</v>
      </c>
      <c r="GX181">
        <f t="shared" si="211"/>
        <v>0</v>
      </c>
      <c r="HA181">
        <v>0</v>
      </c>
      <c r="HB181">
        <v>0</v>
      </c>
      <c r="HC181">
        <f t="shared" si="212"/>
        <v>0</v>
      </c>
      <c r="HE181" t="s">
        <v>3</v>
      </c>
      <c r="HF181" t="s">
        <v>3</v>
      </c>
      <c r="HM181" t="s">
        <v>3</v>
      </c>
      <c r="HN181" t="s">
        <v>3</v>
      </c>
      <c r="HO181" t="s">
        <v>3</v>
      </c>
      <c r="HP181" t="s">
        <v>3</v>
      </c>
      <c r="HQ181" t="s">
        <v>3</v>
      </c>
      <c r="IK181">
        <v>0</v>
      </c>
    </row>
    <row r="182" spans="1:245" x14ac:dyDescent="0.2">
      <c r="A182">
        <v>18</v>
      </c>
      <c r="B182">
        <v>1</v>
      </c>
      <c r="E182" t="s">
        <v>255</v>
      </c>
      <c r="F182" t="s">
        <v>256</v>
      </c>
      <c r="G182" t="s">
        <v>257</v>
      </c>
      <c r="H182" t="s">
        <v>51</v>
      </c>
      <c r="I182">
        <f>I180*J182</f>
        <v>1</v>
      </c>
      <c r="J182">
        <v>50</v>
      </c>
      <c r="K182">
        <v>50</v>
      </c>
      <c r="O182">
        <f t="shared" si="173"/>
        <v>102.63</v>
      </c>
      <c r="P182">
        <f t="shared" si="174"/>
        <v>102.63</v>
      </c>
      <c r="Q182">
        <f t="shared" si="175"/>
        <v>0</v>
      </c>
      <c r="R182">
        <f t="shared" si="176"/>
        <v>0</v>
      </c>
      <c r="S182">
        <f t="shared" si="177"/>
        <v>0</v>
      </c>
      <c r="T182">
        <f t="shared" si="178"/>
        <v>0</v>
      </c>
      <c r="U182">
        <f t="shared" si="179"/>
        <v>0</v>
      </c>
      <c r="V182">
        <f t="shared" si="180"/>
        <v>0</v>
      </c>
      <c r="W182">
        <f t="shared" si="181"/>
        <v>0</v>
      </c>
      <c r="X182">
        <f t="shared" si="182"/>
        <v>0</v>
      </c>
      <c r="Y182">
        <f t="shared" si="183"/>
        <v>0</v>
      </c>
      <c r="AA182">
        <v>72192302</v>
      </c>
      <c r="AB182">
        <f t="shared" si="184"/>
        <v>102.63</v>
      </c>
      <c r="AC182">
        <f t="shared" si="185"/>
        <v>102.63</v>
      </c>
      <c r="AD182">
        <f t="shared" si="186"/>
        <v>0</v>
      </c>
      <c r="AE182">
        <f t="shared" si="187"/>
        <v>0</v>
      </c>
      <c r="AF182">
        <f t="shared" si="188"/>
        <v>0</v>
      </c>
      <c r="AG182">
        <f t="shared" si="189"/>
        <v>0</v>
      </c>
      <c r="AH182">
        <f t="shared" si="190"/>
        <v>0</v>
      </c>
      <c r="AI182">
        <f t="shared" si="191"/>
        <v>0</v>
      </c>
      <c r="AJ182">
        <f t="shared" si="192"/>
        <v>0</v>
      </c>
      <c r="AK182">
        <v>102.63</v>
      </c>
      <c r="AL182">
        <v>102.63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70</v>
      </c>
      <c r="AU182">
        <v>10</v>
      </c>
      <c r="AV182">
        <v>1</v>
      </c>
      <c r="AW182">
        <v>1</v>
      </c>
      <c r="AZ182">
        <v>1</v>
      </c>
      <c r="BA182">
        <v>1</v>
      </c>
      <c r="BB182">
        <v>1</v>
      </c>
      <c r="BC182">
        <v>1</v>
      </c>
      <c r="BD182" t="s">
        <v>3</v>
      </c>
      <c r="BE182" t="s">
        <v>3</v>
      </c>
      <c r="BF182" t="s">
        <v>3</v>
      </c>
      <c r="BG182" t="s">
        <v>3</v>
      </c>
      <c r="BH182">
        <v>3</v>
      </c>
      <c r="BI182">
        <v>4</v>
      </c>
      <c r="BJ182" t="s">
        <v>258</v>
      </c>
      <c r="BM182">
        <v>0</v>
      </c>
      <c r="BN182">
        <v>0</v>
      </c>
      <c r="BO182" t="s">
        <v>3</v>
      </c>
      <c r="BP182">
        <v>0</v>
      </c>
      <c r="BQ182">
        <v>1</v>
      </c>
      <c r="BR182">
        <v>0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 t="s">
        <v>3</v>
      </c>
      <c r="BZ182">
        <v>70</v>
      </c>
      <c r="CA182">
        <v>10</v>
      </c>
      <c r="CB182" t="s">
        <v>3</v>
      </c>
      <c r="CE182">
        <v>0</v>
      </c>
      <c r="CF182">
        <v>0</v>
      </c>
      <c r="CG182">
        <v>0</v>
      </c>
      <c r="CM182">
        <v>0</v>
      </c>
      <c r="CN182" t="s">
        <v>3</v>
      </c>
      <c r="CO182">
        <v>0</v>
      </c>
      <c r="CP182">
        <f t="shared" si="193"/>
        <v>102.63</v>
      </c>
      <c r="CQ182">
        <f t="shared" si="194"/>
        <v>102.63</v>
      </c>
      <c r="CR182">
        <f t="shared" si="195"/>
        <v>0</v>
      </c>
      <c r="CS182">
        <f t="shared" si="196"/>
        <v>0</v>
      </c>
      <c r="CT182">
        <f t="shared" si="197"/>
        <v>0</v>
      </c>
      <c r="CU182">
        <f t="shared" si="198"/>
        <v>0</v>
      </c>
      <c r="CV182">
        <f t="shared" si="199"/>
        <v>0</v>
      </c>
      <c r="CW182">
        <f t="shared" si="200"/>
        <v>0</v>
      </c>
      <c r="CX182">
        <f t="shared" si="201"/>
        <v>0</v>
      </c>
      <c r="CY182">
        <f t="shared" si="202"/>
        <v>0</v>
      </c>
      <c r="CZ182">
        <f t="shared" si="203"/>
        <v>0</v>
      </c>
      <c r="DC182" t="s">
        <v>3</v>
      </c>
      <c r="DD182" t="s">
        <v>3</v>
      </c>
      <c r="DE182" t="s">
        <v>3</v>
      </c>
      <c r="DF182" t="s">
        <v>3</v>
      </c>
      <c r="DG182" t="s">
        <v>3</v>
      </c>
      <c r="DH182" t="s">
        <v>3</v>
      </c>
      <c r="DI182" t="s">
        <v>3</v>
      </c>
      <c r="DJ182" t="s">
        <v>3</v>
      </c>
      <c r="DK182" t="s">
        <v>3</v>
      </c>
      <c r="DL182" t="s">
        <v>3</v>
      </c>
      <c r="DM182" t="s">
        <v>3</v>
      </c>
      <c r="DN182">
        <v>0</v>
      </c>
      <c r="DO182">
        <v>0</v>
      </c>
      <c r="DP182">
        <v>1</v>
      </c>
      <c r="DQ182">
        <v>1</v>
      </c>
      <c r="DU182">
        <v>1010</v>
      </c>
      <c r="DV182" t="s">
        <v>51</v>
      </c>
      <c r="DW182" t="s">
        <v>51</v>
      </c>
      <c r="DX182">
        <v>1</v>
      </c>
      <c r="DZ182" t="s">
        <v>3</v>
      </c>
      <c r="EA182" t="s">
        <v>3</v>
      </c>
      <c r="EB182" t="s">
        <v>3</v>
      </c>
      <c r="EC182" t="s">
        <v>3</v>
      </c>
      <c r="EE182">
        <v>71753531</v>
      </c>
      <c r="EF182">
        <v>1</v>
      </c>
      <c r="EG182" t="s">
        <v>22</v>
      </c>
      <c r="EH182">
        <v>0</v>
      </c>
      <c r="EI182" t="s">
        <v>3</v>
      </c>
      <c r="EJ182">
        <v>4</v>
      </c>
      <c r="EK182">
        <v>0</v>
      </c>
      <c r="EL182" t="s">
        <v>23</v>
      </c>
      <c r="EM182" t="s">
        <v>24</v>
      </c>
      <c r="EO182" t="s">
        <v>3</v>
      </c>
      <c r="EQ182">
        <v>0</v>
      </c>
      <c r="ER182">
        <v>102.63</v>
      </c>
      <c r="ES182">
        <v>102.63</v>
      </c>
      <c r="ET182">
        <v>0</v>
      </c>
      <c r="EU182">
        <v>0</v>
      </c>
      <c r="EV182">
        <v>0</v>
      </c>
      <c r="EW182">
        <v>0</v>
      </c>
      <c r="EX182">
        <v>0</v>
      </c>
      <c r="FQ182">
        <v>0</v>
      </c>
      <c r="FR182">
        <f t="shared" si="204"/>
        <v>0</v>
      </c>
      <c r="FS182">
        <v>0</v>
      </c>
      <c r="FX182">
        <v>70</v>
      </c>
      <c r="FY182">
        <v>10</v>
      </c>
      <c r="GA182" t="s">
        <v>3</v>
      </c>
      <c r="GD182">
        <v>0</v>
      </c>
      <c r="GF182">
        <v>154001895</v>
      </c>
      <c r="GG182">
        <v>2</v>
      </c>
      <c r="GH182">
        <v>1</v>
      </c>
      <c r="GI182">
        <v>-2</v>
      </c>
      <c r="GJ182">
        <v>0</v>
      </c>
      <c r="GK182">
        <f>ROUND(R182*(R12)/100,2)</f>
        <v>0</v>
      </c>
      <c r="GL182">
        <f t="shared" si="205"/>
        <v>0</v>
      </c>
      <c r="GM182">
        <f t="shared" si="206"/>
        <v>102.63</v>
      </c>
      <c r="GN182">
        <f t="shared" si="207"/>
        <v>0</v>
      </c>
      <c r="GO182">
        <f t="shared" si="208"/>
        <v>0</v>
      </c>
      <c r="GP182">
        <f t="shared" si="209"/>
        <v>102.63</v>
      </c>
      <c r="GR182">
        <v>0</v>
      </c>
      <c r="GS182">
        <v>3</v>
      </c>
      <c r="GT182">
        <v>0</v>
      </c>
      <c r="GU182" t="s">
        <v>3</v>
      </c>
      <c r="GV182">
        <f t="shared" si="210"/>
        <v>0</v>
      </c>
      <c r="GW182">
        <v>1</v>
      </c>
      <c r="GX182">
        <f t="shared" si="211"/>
        <v>0</v>
      </c>
      <c r="HA182">
        <v>0</v>
      </c>
      <c r="HB182">
        <v>0</v>
      </c>
      <c r="HC182">
        <f t="shared" si="212"/>
        <v>0</v>
      </c>
      <c r="HE182" t="s">
        <v>3</v>
      </c>
      <c r="HF182" t="s">
        <v>3</v>
      </c>
      <c r="HM182" t="s">
        <v>3</v>
      </c>
      <c r="HN182" t="s">
        <v>3</v>
      </c>
      <c r="HO182" t="s">
        <v>3</v>
      </c>
      <c r="HP182" t="s">
        <v>3</v>
      </c>
      <c r="HQ182" t="s">
        <v>3</v>
      </c>
      <c r="IK182">
        <v>0</v>
      </c>
    </row>
    <row r="183" spans="1:245" x14ac:dyDescent="0.2">
      <c r="A183">
        <v>17</v>
      </c>
      <c r="B183">
        <v>1</v>
      </c>
      <c r="D183">
        <f>ROW(EtalonRes!A155)</f>
        <v>155</v>
      </c>
      <c r="E183" t="s">
        <v>259</v>
      </c>
      <c r="F183" t="s">
        <v>260</v>
      </c>
      <c r="G183" t="s">
        <v>261</v>
      </c>
      <c r="H183" t="s">
        <v>33</v>
      </c>
      <c r="I183">
        <v>0.64</v>
      </c>
      <c r="J183">
        <v>0</v>
      </c>
      <c r="K183">
        <v>0.64</v>
      </c>
      <c r="O183">
        <f t="shared" si="173"/>
        <v>43740.38</v>
      </c>
      <c r="P183">
        <f t="shared" si="174"/>
        <v>0</v>
      </c>
      <c r="Q183">
        <f t="shared" si="175"/>
        <v>0</v>
      </c>
      <c r="R183">
        <f t="shared" si="176"/>
        <v>0</v>
      </c>
      <c r="S183">
        <f t="shared" si="177"/>
        <v>43740.38</v>
      </c>
      <c r="T183">
        <f t="shared" si="178"/>
        <v>0</v>
      </c>
      <c r="U183">
        <f t="shared" si="179"/>
        <v>125.7088</v>
      </c>
      <c r="V183">
        <f t="shared" si="180"/>
        <v>0</v>
      </c>
      <c r="W183">
        <f t="shared" si="181"/>
        <v>0</v>
      </c>
      <c r="X183">
        <f t="shared" si="182"/>
        <v>30618.27</v>
      </c>
      <c r="Y183">
        <f t="shared" si="183"/>
        <v>4374.04</v>
      </c>
      <c r="AA183">
        <v>72192302</v>
      </c>
      <c r="AB183">
        <f t="shared" si="184"/>
        <v>68344.34</v>
      </c>
      <c r="AC183">
        <f t="shared" si="185"/>
        <v>0</v>
      </c>
      <c r="AD183">
        <f t="shared" si="186"/>
        <v>0</v>
      </c>
      <c r="AE183">
        <f t="shared" si="187"/>
        <v>0</v>
      </c>
      <c r="AF183">
        <f t="shared" si="188"/>
        <v>68344.34</v>
      </c>
      <c r="AG183">
        <f t="shared" si="189"/>
        <v>0</v>
      </c>
      <c r="AH183">
        <f t="shared" si="190"/>
        <v>196.42</v>
      </c>
      <c r="AI183">
        <f t="shared" si="191"/>
        <v>0</v>
      </c>
      <c r="AJ183">
        <f t="shared" si="192"/>
        <v>0</v>
      </c>
      <c r="AK183">
        <v>68344.34</v>
      </c>
      <c r="AL183">
        <v>0</v>
      </c>
      <c r="AM183">
        <v>0</v>
      </c>
      <c r="AN183">
        <v>0</v>
      </c>
      <c r="AO183">
        <v>68344.34</v>
      </c>
      <c r="AP183">
        <v>0</v>
      </c>
      <c r="AQ183">
        <v>196.42</v>
      </c>
      <c r="AR183">
        <v>0</v>
      </c>
      <c r="AS183">
        <v>0</v>
      </c>
      <c r="AT183">
        <v>70</v>
      </c>
      <c r="AU183">
        <v>10</v>
      </c>
      <c r="AV183">
        <v>1</v>
      </c>
      <c r="AW183">
        <v>1</v>
      </c>
      <c r="AZ183">
        <v>1</v>
      </c>
      <c r="BA183">
        <v>1</v>
      </c>
      <c r="BB183">
        <v>1</v>
      </c>
      <c r="BC183">
        <v>1</v>
      </c>
      <c r="BD183" t="s">
        <v>3</v>
      </c>
      <c r="BE183" t="s">
        <v>3</v>
      </c>
      <c r="BF183" t="s">
        <v>3</v>
      </c>
      <c r="BG183" t="s">
        <v>3</v>
      </c>
      <c r="BH183">
        <v>0</v>
      </c>
      <c r="BI183">
        <v>4</v>
      </c>
      <c r="BJ183" t="s">
        <v>262</v>
      </c>
      <c r="BM183">
        <v>0</v>
      </c>
      <c r="BN183">
        <v>0</v>
      </c>
      <c r="BO183" t="s">
        <v>3</v>
      </c>
      <c r="BP183">
        <v>0</v>
      </c>
      <c r="BQ183">
        <v>1</v>
      </c>
      <c r="BR183">
        <v>0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 t="s">
        <v>3</v>
      </c>
      <c r="BZ183">
        <v>70</v>
      </c>
      <c r="CA183">
        <v>10</v>
      </c>
      <c r="CB183" t="s">
        <v>3</v>
      </c>
      <c r="CE183">
        <v>0</v>
      </c>
      <c r="CF183">
        <v>0</v>
      </c>
      <c r="CG183">
        <v>0</v>
      </c>
      <c r="CM183">
        <v>0</v>
      </c>
      <c r="CN183" t="s">
        <v>3</v>
      </c>
      <c r="CO183">
        <v>0</v>
      </c>
      <c r="CP183">
        <f t="shared" si="193"/>
        <v>43740.38</v>
      </c>
      <c r="CQ183">
        <f t="shared" si="194"/>
        <v>0</v>
      </c>
      <c r="CR183">
        <f t="shared" si="195"/>
        <v>0</v>
      </c>
      <c r="CS183">
        <f t="shared" si="196"/>
        <v>0</v>
      </c>
      <c r="CT183">
        <f t="shared" si="197"/>
        <v>68344.34</v>
      </c>
      <c r="CU183">
        <f t="shared" si="198"/>
        <v>0</v>
      </c>
      <c r="CV183">
        <f t="shared" si="199"/>
        <v>196.42</v>
      </c>
      <c r="CW183">
        <f t="shared" si="200"/>
        <v>0</v>
      </c>
      <c r="CX183">
        <f t="shared" si="201"/>
        <v>0</v>
      </c>
      <c r="CY183">
        <f t="shared" si="202"/>
        <v>30618.265999999996</v>
      </c>
      <c r="CZ183">
        <f t="shared" si="203"/>
        <v>4374.0379999999996</v>
      </c>
      <c r="DC183" t="s">
        <v>3</v>
      </c>
      <c r="DD183" t="s">
        <v>3</v>
      </c>
      <c r="DE183" t="s">
        <v>3</v>
      </c>
      <c r="DF183" t="s">
        <v>3</v>
      </c>
      <c r="DG183" t="s">
        <v>3</v>
      </c>
      <c r="DH183" t="s">
        <v>3</v>
      </c>
      <c r="DI183" t="s">
        <v>3</v>
      </c>
      <c r="DJ183" t="s">
        <v>3</v>
      </c>
      <c r="DK183" t="s">
        <v>3</v>
      </c>
      <c r="DL183" t="s">
        <v>3</v>
      </c>
      <c r="DM183" t="s">
        <v>3</v>
      </c>
      <c r="DN183">
        <v>0</v>
      </c>
      <c r="DO183">
        <v>0</v>
      </c>
      <c r="DP183">
        <v>1</v>
      </c>
      <c r="DQ183">
        <v>1</v>
      </c>
      <c r="DU183">
        <v>1010</v>
      </c>
      <c r="DV183" t="s">
        <v>33</v>
      </c>
      <c r="DW183" t="s">
        <v>33</v>
      </c>
      <c r="DX183">
        <v>100</v>
      </c>
      <c r="DZ183" t="s">
        <v>3</v>
      </c>
      <c r="EA183" t="s">
        <v>3</v>
      </c>
      <c r="EB183" t="s">
        <v>3</v>
      </c>
      <c r="EC183" t="s">
        <v>3</v>
      </c>
      <c r="EE183">
        <v>71753531</v>
      </c>
      <c r="EF183">
        <v>1</v>
      </c>
      <c r="EG183" t="s">
        <v>22</v>
      </c>
      <c r="EH183">
        <v>0</v>
      </c>
      <c r="EI183" t="s">
        <v>3</v>
      </c>
      <c r="EJ183">
        <v>4</v>
      </c>
      <c r="EK183">
        <v>0</v>
      </c>
      <c r="EL183" t="s">
        <v>23</v>
      </c>
      <c r="EM183" t="s">
        <v>24</v>
      </c>
      <c r="EO183" t="s">
        <v>3</v>
      </c>
      <c r="EQ183">
        <v>0</v>
      </c>
      <c r="ER183">
        <v>68344.34</v>
      </c>
      <c r="ES183">
        <v>0</v>
      </c>
      <c r="ET183">
        <v>0</v>
      </c>
      <c r="EU183">
        <v>0</v>
      </c>
      <c r="EV183">
        <v>68344.34</v>
      </c>
      <c r="EW183">
        <v>196.42</v>
      </c>
      <c r="EX183">
        <v>0</v>
      </c>
      <c r="EY183">
        <v>0</v>
      </c>
      <c r="FQ183">
        <v>0</v>
      </c>
      <c r="FR183">
        <f t="shared" si="204"/>
        <v>0</v>
      </c>
      <c r="FS183">
        <v>0</v>
      </c>
      <c r="FX183">
        <v>70</v>
      </c>
      <c r="FY183">
        <v>10</v>
      </c>
      <c r="GA183" t="s">
        <v>3</v>
      </c>
      <c r="GD183">
        <v>0</v>
      </c>
      <c r="GF183">
        <v>-169244332</v>
      </c>
      <c r="GG183">
        <v>2</v>
      </c>
      <c r="GH183">
        <v>1</v>
      </c>
      <c r="GI183">
        <v>-2</v>
      </c>
      <c r="GJ183">
        <v>0</v>
      </c>
      <c r="GK183">
        <f>ROUND(R183*(R12)/100,2)</f>
        <v>0</v>
      </c>
      <c r="GL183">
        <f t="shared" si="205"/>
        <v>0</v>
      </c>
      <c r="GM183">
        <f t="shared" si="206"/>
        <v>78732.69</v>
      </c>
      <c r="GN183">
        <f t="shared" si="207"/>
        <v>0</v>
      </c>
      <c r="GO183">
        <f t="shared" si="208"/>
        <v>0</v>
      </c>
      <c r="GP183">
        <f t="shared" si="209"/>
        <v>78732.69</v>
      </c>
      <c r="GR183">
        <v>0</v>
      </c>
      <c r="GS183">
        <v>3</v>
      </c>
      <c r="GT183">
        <v>0</v>
      </c>
      <c r="GU183" t="s">
        <v>3</v>
      </c>
      <c r="GV183">
        <f t="shared" si="210"/>
        <v>0</v>
      </c>
      <c r="GW183">
        <v>1</v>
      </c>
      <c r="GX183">
        <f t="shared" si="211"/>
        <v>0</v>
      </c>
      <c r="HA183">
        <v>0</v>
      </c>
      <c r="HB183">
        <v>0</v>
      </c>
      <c r="HC183">
        <f t="shared" si="212"/>
        <v>0</v>
      </c>
      <c r="HE183" t="s">
        <v>3</v>
      </c>
      <c r="HF183" t="s">
        <v>3</v>
      </c>
      <c r="HM183" t="s">
        <v>3</v>
      </c>
      <c r="HN183" t="s">
        <v>3</v>
      </c>
      <c r="HO183" t="s">
        <v>3</v>
      </c>
      <c r="HP183" t="s">
        <v>3</v>
      </c>
      <c r="HQ183" t="s">
        <v>3</v>
      </c>
      <c r="IK183">
        <v>0</v>
      </c>
    </row>
    <row r="184" spans="1:245" x14ac:dyDescent="0.2">
      <c r="A184">
        <v>18</v>
      </c>
      <c r="B184">
        <v>1</v>
      </c>
      <c r="E184" t="s">
        <v>263</v>
      </c>
      <c r="F184" t="s">
        <v>156</v>
      </c>
      <c r="G184" s="46" t="s">
        <v>780</v>
      </c>
      <c r="H184" t="s">
        <v>51</v>
      </c>
      <c r="I184">
        <f>I183*J184</f>
        <v>56</v>
      </c>
      <c r="J184">
        <v>87.5</v>
      </c>
      <c r="K184">
        <v>87.5</v>
      </c>
      <c r="O184">
        <f t="shared" si="173"/>
        <v>186116</v>
      </c>
      <c r="P184">
        <f t="shared" si="174"/>
        <v>186116</v>
      </c>
      <c r="Q184">
        <f t="shared" si="175"/>
        <v>0</v>
      </c>
      <c r="R184">
        <f t="shared" si="176"/>
        <v>0</v>
      </c>
      <c r="S184">
        <f t="shared" si="177"/>
        <v>0</v>
      </c>
      <c r="T184">
        <f t="shared" si="178"/>
        <v>0</v>
      </c>
      <c r="U184">
        <f t="shared" si="179"/>
        <v>0</v>
      </c>
      <c r="V184">
        <f t="shared" si="180"/>
        <v>0</v>
      </c>
      <c r="W184">
        <f t="shared" si="181"/>
        <v>0</v>
      </c>
      <c r="X184">
        <f t="shared" si="182"/>
        <v>0</v>
      </c>
      <c r="Y184">
        <f t="shared" si="183"/>
        <v>0</v>
      </c>
      <c r="AA184">
        <v>72192302</v>
      </c>
      <c r="AB184">
        <f t="shared" si="184"/>
        <v>3323.5</v>
      </c>
      <c r="AC184">
        <f t="shared" si="185"/>
        <v>3323.5</v>
      </c>
      <c r="AD184">
        <f t="shared" si="186"/>
        <v>0</v>
      </c>
      <c r="AE184">
        <f t="shared" si="187"/>
        <v>0</v>
      </c>
      <c r="AF184">
        <f t="shared" si="188"/>
        <v>0</v>
      </c>
      <c r="AG184">
        <f t="shared" si="189"/>
        <v>0</v>
      </c>
      <c r="AH184">
        <f t="shared" si="190"/>
        <v>0</v>
      </c>
      <c r="AI184">
        <f t="shared" si="191"/>
        <v>0</v>
      </c>
      <c r="AJ184">
        <f t="shared" si="192"/>
        <v>0</v>
      </c>
      <c r="AK184">
        <v>3323.5</v>
      </c>
      <c r="AL184">
        <v>3323.5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70</v>
      </c>
      <c r="AU184">
        <v>10</v>
      </c>
      <c r="AV184">
        <v>1</v>
      </c>
      <c r="AW184">
        <v>1</v>
      </c>
      <c r="AZ184">
        <v>1</v>
      </c>
      <c r="BA184">
        <v>1</v>
      </c>
      <c r="BB184">
        <v>1</v>
      </c>
      <c r="BC184">
        <v>1</v>
      </c>
      <c r="BD184" t="s">
        <v>3</v>
      </c>
      <c r="BE184" t="s">
        <v>3</v>
      </c>
      <c r="BF184" t="s">
        <v>3</v>
      </c>
      <c r="BG184" t="s">
        <v>3</v>
      </c>
      <c r="BH184">
        <v>3</v>
      </c>
      <c r="BI184">
        <v>4</v>
      </c>
      <c r="BJ184" t="s">
        <v>3</v>
      </c>
      <c r="BM184">
        <v>0</v>
      </c>
      <c r="BN184">
        <v>0</v>
      </c>
      <c r="BO184" t="s">
        <v>3</v>
      </c>
      <c r="BP184">
        <v>0</v>
      </c>
      <c r="BQ184">
        <v>1</v>
      </c>
      <c r="BR184">
        <v>0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 t="s">
        <v>3</v>
      </c>
      <c r="BZ184">
        <v>70</v>
      </c>
      <c r="CA184">
        <v>10</v>
      </c>
      <c r="CB184" t="s">
        <v>3</v>
      </c>
      <c r="CE184">
        <v>0</v>
      </c>
      <c r="CF184">
        <v>0</v>
      </c>
      <c r="CG184">
        <v>0</v>
      </c>
      <c r="CM184">
        <v>0</v>
      </c>
      <c r="CN184" t="s">
        <v>3</v>
      </c>
      <c r="CO184">
        <v>0</v>
      </c>
      <c r="CP184">
        <f t="shared" si="193"/>
        <v>186116</v>
      </c>
      <c r="CQ184">
        <f t="shared" si="194"/>
        <v>3323.5</v>
      </c>
      <c r="CR184">
        <f t="shared" si="195"/>
        <v>0</v>
      </c>
      <c r="CS184">
        <f t="shared" si="196"/>
        <v>0</v>
      </c>
      <c r="CT184">
        <f t="shared" si="197"/>
        <v>0</v>
      </c>
      <c r="CU184">
        <f t="shared" si="198"/>
        <v>0</v>
      </c>
      <c r="CV184">
        <f t="shared" si="199"/>
        <v>0</v>
      </c>
      <c r="CW184">
        <f t="shared" si="200"/>
        <v>0</v>
      </c>
      <c r="CX184">
        <f t="shared" si="201"/>
        <v>0</v>
      </c>
      <c r="CY184">
        <f t="shared" si="202"/>
        <v>0</v>
      </c>
      <c r="CZ184">
        <f t="shared" si="203"/>
        <v>0</v>
      </c>
      <c r="DC184" t="s">
        <v>3</v>
      </c>
      <c r="DD184" t="s">
        <v>3</v>
      </c>
      <c r="DE184" t="s">
        <v>3</v>
      </c>
      <c r="DF184" t="s">
        <v>3</v>
      </c>
      <c r="DG184" t="s">
        <v>3</v>
      </c>
      <c r="DH184" t="s">
        <v>3</v>
      </c>
      <c r="DI184" t="s">
        <v>3</v>
      </c>
      <c r="DJ184" t="s">
        <v>3</v>
      </c>
      <c r="DK184" t="s">
        <v>3</v>
      </c>
      <c r="DL184" t="s">
        <v>3</v>
      </c>
      <c r="DM184" t="s">
        <v>3</v>
      </c>
      <c r="DN184">
        <v>0</v>
      </c>
      <c r="DO184">
        <v>0</v>
      </c>
      <c r="DP184">
        <v>1</v>
      </c>
      <c r="DQ184">
        <v>1</v>
      </c>
      <c r="DU184">
        <v>1010</v>
      </c>
      <c r="DV184" t="s">
        <v>51</v>
      </c>
      <c r="DW184" t="s">
        <v>51</v>
      </c>
      <c r="DX184">
        <v>1</v>
      </c>
      <c r="DZ184" t="s">
        <v>3</v>
      </c>
      <c r="EA184" t="s">
        <v>3</v>
      </c>
      <c r="EB184" t="s">
        <v>3</v>
      </c>
      <c r="EC184" t="s">
        <v>3</v>
      </c>
      <c r="EE184">
        <v>71753531</v>
      </c>
      <c r="EF184">
        <v>1</v>
      </c>
      <c r="EG184" t="s">
        <v>22</v>
      </c>
      <c r="EH184">
        <v>0</v>
      </c>
      <c r="EI184" t="s">
        <v>3</v>
      </c>
      <c r="EJ184">
        <v>4</v>
      </c>
      <c r="EK184">
        <v>0</v>
      </c>
      <c r="EL184" t="s">
        <v>23</v>
      </c>
      <c r="EM184" t="s">
        <v>24</v>
      </c>
      <c r="EO184" t="s">
        <v>3</v>
      </c>
      <c r="EQ184">
        <v>0</v>
      </c>
      <c r="ER184">
        <v>3323.5</v>
      </c>
      <c r="ES184">
        <v>3323.5</v>
      </c>
      <c r="ET184">
        <v>0</v>
      </c>
      <c r="EU184">
        <v>0</v>
      </c>
      <c r="EV184">
        <v>0</v>
      </c>
      <c r="EW184">
        <v>0</v>
      </c>
      <c r="EX184">
        <v>0</v>
      </c>
      <c r="FQ184">
        <v>0</v>
      </c>
      <c r="FR184">
        <f t="shared" si="204"/>
        <v>0</v>
      </c>
      <c r="FS184">
        <v>0</v>
      </c>
      <c r="FX184">
        <v>70</v>
      </c>
      <c r="FY184">
        <v>10</v>
      </c>
      <c r="GA184" t="s">
        <v>3</v>
      </c>
      <c r="GD184">
        <v>0</v>
      </c>
      <c r="GF184">
        <v>-1650221762</v>
      </c>
      <c r="GG184">
        <v>2</v>
      </c>
      <c r="GH184">
        <v>0</v>
      </c>
      <c r="GI184">
        <v>-2</v>
      </c>
      <c r="GJ184">
        <v>0</v>
      </c>
      <c r="GK184">
        <f>ROUND(R184*(R12)/100,2)</f>
        <v>0</v>
      </c>
      <c r="GL184">
        <f t="shared" si="205"/>
        <v>0</v>
      </c>
      <c r="GM184">
        <f t="shared" si="206"/>
        <v>186116</v>
      </c>
      <c r="GN184">
        <f t="shared" si="207"/>
        <v>0</v>
      </c>
      <c r="GO184">
        <f t="shared" si="208"/>
        <v>0</v>
      </c>
      <c r="GP184">
        <f t="shared" si="209"/>
        <v>186116</v>
      </c>
      <c r="GR184">
        <v>0</v>
      </c>
      <c r="GS184">
        <v>0</v>
      </c>
      <c r="GT184">
        <v>0</v>
      </c>
      <c r="GU184" t="s">
        <v>3</v>
      </c>
      <c r="GV184">
        <f t="shared" si="210"/>
        <v>0</v>
      </c>
      <c r="GW184">
        <v>1</v>
      </c>
      <c r="GX184">
        <f t="shared" si="211"/>
        <v>0</v>
      </c>
      <c r="HA184">
        <v>0</v>
      </c>
      <c r="HB184">
        <v>0</v>
      </c>
      <c r="HC184">
        <f t="shared" si="212"/>
        <v>0</v>
      </c>
      <c r="HE184" t="s">
        <v>3</v>
      </c>
      <c r="HF184" t="s">
        <v>3</v>
      </c>
      <c r="HM184" t="s">
        <v>3</v>
      </c>
      <c r="HN184" t="s">
        <v>3</v>
      </c>
      <c r="HO184" t="s">
        <v>3</v>
      </c>
      <c r="HP184" t="s">
        <v>3</v>
      </c>
      <c r="HQ184" t="s">
        <v>3</v>
      </c>
      <c r="IK184">
        <v>0</v>
      </c>
    </row>
    <row r="185" spans="1:245" x14ac:dyDescent="0.2">
      <c r="A185">
        <v>18</v>
      </c>
      <c r="B185">
        <v>1</v>
      </c>
      <c r="E185" t="s">
        <v>265</v>
      </c>
      <c r="F185" t="s">
        <v>156</v>
      </c>
      <c r="G185" s="46" t="s">
        <v>781</v>
      </c>
      <c r="H185" t="s">
        <v>51</v>
      </c>
      <c r="I185">
        <f>I183*J185</f>
        <v>8</v>
      </c>
      <c r="J185">
        <v>12.5</v>
      </c>
      <c r="K185">
        <v>12.5</v>
      </c>
      <c r="O185">
        <f t="shared" si="173"/>
        <v>42568</v>
      </c>
      <c r="P185">
        <f t="shared" si="174"/>
        <v>42568</v>
      </c>
      <c r="Q185">
        <f t="shared" si="175"/>
        <v>0</v>
      </c>
      <c r="R185">
        <f t="shared" si="176"/>
        <v>0</v>
      </c>
      <c r="S185">
        <f t="shared" si="177"/>
        <v>0</v>
      </c>
      <c r="T185">
        <f t="shared" si="178"/>
        <v>0</v>
      </c>
      <c r="U185">
        <f t="shared" si="179"/>
        <v>0</v>
      </c>
      <c r="V185">
        <f t="shared" si="180"/>
        <v>0</v>
      </c>
      <c r="W185">
        <f t="shared" si="181"/>
        <v>0</v>
      </c>
      <c r="X185">
        <f t="shared" si="182"/>
        <v>0</v>
      </c>
      <c r="Y185">
        <f t="shared" si="183"/>
        <v>0</v>
      </c>
      <c r="AA185">
        <v>72192302</v>
      </c>
      <c r="AB185">
        <f t="shared" si="184"/>
        <v>5321</v>
      </c>
      <c r="AC185">
        <f t="shared" si="185"/>
        <v>5321</v>
      </c>
      <c r="AD185">
        <f t="shared" si="186"/>
        <v>0</v>
      </c>
      <c r="AE185">
        <f t="shared" si="187"/>
        <v>0</v>
      </c>
      <c r="AF185">
        <f t="shared" si="188"/>
        <v>0</v>
      </c>
      <c r="AG185">
        <f t="shared" si="189"/>
        <v>0</v>
      </c>
      <c r="AH185">
        <f t="shared" si="190"/>
        <v>0</v>
      </c>
      <c r="AI185">
        <f t="shared" si="191"/>
        <v>0</v>
      </c>
      <c r="AJ185">
        <f t="shared" si="192"/>
        <v>0</v>
      </c>
      <c r="AK185">
        <v>5321</v>
      </c>
      <c r="AL185">
        <v>5321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70</v>
      </c>
      <c r="AU185">
        <v>10</v>
      </c>
      <c r="AV185">
        <v>1</v>
      </c>
      <c r="AW185">
        <v>1</v>
      </c>
      <c r="AZ185">
        <v>1</v>
      </c>
      <c r="BA185">
        <v>1</v>
      </c>
      <c r="BB185">
        <v>1</v>
      </c>
      <c r="BC185">
        <v>1</v>
      </c>
      <c r="BD185" t="s">
        <v>3</v>
      </c>
      <c r="BE185" t="s">
        <v>3</v>
      </c>
      <c r="BF185" t="s">
        <v>3</v>
      </c>
      <c r="BG185" t="s">
        <v>3</v>
      </c>
      <c r="BH185">
        <v>3</v>
      </c>
      <c r="BI185">
        <v>4</v>
      </c>
      <c r="BJ185" t="s">
        <v>3</v>
      </c>
      <c r="BM185">
        <v>0</v>
      </c>
      <c r="BN185">
        <v>0</v>
      </c>
      <c r="BO185" t="s">
        <v>3</v>
      </c>
      <c r="BP185">
        <v>0</v>
      </c>
      <c r="BQ185">
        <v>1</v>
      </c>
      <c r="BR185">
        <v>0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 t="s">
        <v>3</v>
      </c>
      <c r="BZ185">
        <v>70</v>
      </c>
      <c r="CA185">
        <v>10</v>
      </c>
      <c r="CB185" t="s">
        <v>3</v>
      </c>
      <c r="CE185">
        <v>0</v>
      </c>
      <c r="CF185">
        <v>0</v>
      </c>
      <c r="CG185">
        <v>0</v>
      </c>
      <c r="CM185">
        <v>0</v>
      </c>
      <c r="CN185" t="s">
        <v>3</v>
      </c>
      <c r="CO185">
        <v>0</v>
      </c>
      <c r="CP185">
        <f t="shared" si="193"/>
        <v>42568</v>
      </c>
      <c r="CQ185">
        <f t="shared" si="194"/>
        <v>5321</v>
      </c>
      <c r="CR185">
        <f t="shared" si="195"/>
        <v>0</v>
      </c>
      <c r="CS185">
        <f t="shared" si="196"/>
        <v>0</v>
      </c>
      <c r="CT185">
        <f t="shared" si="197"/>
        <v>0</v>
      </c>
      <c r="CU185">
        <f t="shared" si="198"/>
        <v>0</v>
      </c>
      <c r="CV185">
        <f t="shared" si="199"/>
        <v>0</v>
      </c>
      <c r="CW185">
        <f t="shared" si="200"/>
        <v>0</v>
      </c>
      <c r="CX185">
        <f t="shared" si="201"/>
        <v>0</v>
      </c>
      <c r="CY185">
        <f t="shared" si="202"/>
        <v>0</v>
      </c>
      <c r="CZ185">
        <f t="shared" si="203"/>
        <v>0</v>
      </c>
      <c r="DC185" t="s">
        <v>3</v>
      </c>
      <c r="DD185" t="s">
        <v>3</v>
      </c>
      <c r="DE185" t="s">
        <v>3</v>
      </c>
      <c r="DF185" t="s">
        <v>3</v>
      </c>
      <c r="DG185" t="s">
        <v>3</v>
      </c>
      <c r="DH185" t="s">
        <v>3</v>
      </c>
      <c r="DI185" t="s">
        <v>3</v>
      </c>
      <c r="DJ185" t="s">
        <v>3</v>
      </c>
      <c r="DK185" t="s">
        <v>3</v>
      </c>
      <c r="DL185" t="s">
        <v>3</v>
      </c>
      <c r="DM185" t="s">
        <v>3</v>
      </c>
      <c r="DN185">
        <v>0</v>
      </c>
      <c r="DO185">
        <v>0</v>
      </c>
      <c r="DP185">
        <v>1</v>
      </c>
      <c r="DQ185">
        <v>1</v>
      </c>
      <c r="DU185">
        <v>1010</v>
      </c>
      <c r="DV185" t="s">
        <v>51</v>
      </c>
      <c r="DW185" t="s">
        <v>51</v>
      </c>
      <c r="DX185">
        <v>1</v>
      </c>
      <c r="DZ185" t="s">
        <v>3</v>
      </c>
      <c r="EA185" t="s">
        <v>3</v>
      </c>
      <c r="EB185" t="s">
        <v>3</v>
      </c>
      <c r="EC185" t="s">
        <v>3</v>
      </c>
      <c r="EE185">
        <v>71753531</v>
      </c>
      <c r="EF185">
        <v>1</v>
      </c>
      <c r="EG185" t="s">
        <v>22</v>
      </c>
      <c r="EH185">
        <v>0</v>
      </c>
      <c r="EI185" t="s">
        <v>3</v>
      </c>
      <c r="EJ185">
        <v>4</v>
      </c>
      <c r="EK185">
        <v>0</v>
      </c>
      <c r="EL185" t="s">
        <v>23</v>
      </c>
      <c r="EM185" t="s">
        <v>24</v>
      </c>
      <c r="EO185" t="s">
        <v>3</v>
      </c>
      <c r="EQ185">
        <v>0</v>
      </c>
      <c r="ER185">
        <v>5321</v>
      </c>
      <c r="ES185">
        <v>5321</v>
      </c>
      <c r="ET185">
        <v>0</v>
      </c>
      <c r="EU185">
        <v>0</v>
      </c>
      <c r="EV185">
        <v>0</v>
      </c>
      <c r="EW185">
        <v>0</v>
      </c>
      <c r="EX185">
        <v>0</v>
      </c>
      <c r="FQ185">
        <v>0</v>
      </c>
      <c r="FR185">
        <f t="shared" si="204"/>
        <v>0</v>
      </c>
      <c r="FS185">
        <v>0</v>
      </c>
      <c r="FX185">
        <v>70</v>
      </c>
      <c r="FY185">
        <v>10</v>
      </c>
      <c r="GA185" t="s">
        <v>3</v>
      </c>
      <c r="GD185">
        <v>0</v>
      </c>
      <c r="GF185">
        <v>-1747291611</v>
      </c>
      <c r="GG185">
        <v>2</v>
      </c>
      <c r="GH185">
        <v>0</v>
      </c>
      <c r="GI185">
        <v>-2</v>
      </c>
      <c r="GJ185">
        <v>0</v>
      </c>
      <c r="GK185">
        <f>ROUND(R185*(R12)/100,2)</f>
        <v>0</v>
      </c>
      <c r="GL185">
        <f t="shared" si="205"/>
        <v>0</v>
      </c>
      <c r="GM185">
        <f t="shared" si="206"/>
        <v>42568</v>
      </c>
      <c r="GN185">
        <f t="shared" si="207"/>
        <v>0</v>
      </c>
      <c r="GO185">
        <f t="shared" si="208"/>
        <v>0</v>
      </c>
      <c r="GP185">
        <f t="shared" si="209"/>
        <v>42568</v>
      </c>
      <c r="GR185">
        <v>0</v>
      </c>
      <c r="GS185">
        <v>0</v>
      </c>
      <c r="GT185">
        <v>0</v>
      </c>
      <c r="GU185" t="s">
        <v>3</v>
      </c>
      <c r="GV185">
        <f t="shared" si="210"/>
        <v>0</v>
      </c>
      <c r="GW185">
        <v>1</v>
      </c>
      <c r="GX185">
        <f t="shared" si="211"/>
        <v>0</v>
      </c>
      <c r="HA185">
        <v>0</v>
      </c>
      <c r="HB185">
        <v>0</v>
      </c>
      <c r="HC185">
        <f t="shared" si="212"/>
        <v>0</v>
      </c>
      <c r="HE185" t="s">
        <v>3</v>
      </c>
      <c r="HF185" t="s">
        <v>3</v>
      </c>
      <c r="HM185" t="s">
        <v>3</v>
      </c>
      <c r="HN185" t="s">
        <v>3</v>
      </c>
      <c r="HO185" t="s">
        <v>3</v>
      </c>
      <c r="HP185" t="s">
        <v>3</v>
      </c>
      <c r="HQ185" t="s">
        <v>3</v>
      </c>
      <c r="IK185">
        <v>0</v>
      </c>
    </row>
    <row r="187" spans="1:245" x14ac:dyDescent="0.2">
      <c r="A187" s="2">
        <v>51</v>
      </c>
      <c r="B187" s="2">
        <f>B170</f>
        <v>1</v>
      </c>
      <c r="C187" s="2">
        <f>A170</f>
        <v>5</v>
      </c>
      <c r="D187" s="2">
        <f>ROW(A170)</f>
        <v>170</v>
      </c>
      <c r="E187" s="2"/>
      <c r="F187" s="2" t="str">
        <f>IF(F170&lt;&gt;"",F170,"")</f>
        <v>Новый подраздел</v>
      </c>
      <c r="G187" s="2" t="str">
        <f>IF(G170&lt;&gt;"",G170,"")</f>
        <v>1.4 Электромонтажные работы</v>
      </c>
      <c r="H187" s="2">
        <v>0</v>
      </c>
      <c r="I187" s="2"/>
      <c r="J187" s="2"/>
      <c r="K187" s="2"/>
      <c r="L187" s="2"/>
      <c r="M187" s="2"/>
      <c r="N187" s="2"/>
      <c r="O187" s="2">
        <f t="shared" ref="O187:T187" si="213">ROUND(AB187,2)</f>
        <v>290027.59999999998</v>
      </c>
      <c r="P187" s="2">
        <f t="shared" si="213"/>
        <v>236482.67</v>
      </c>
      <c r="Q187" s="2">
        <f t="shared" si="213"/>
        <v>20.34</v>
      </c>
      <c r="R187" s="2">
        <f t="shared" si="213"/>
        <v>2.13</v>
      </c>
      <c r="S187" s="2">
        <f t="shared" si="213"/>
        <v>53524.59</v>
      </c>
      <c r="T187" s="2">
        <f t="shared" si="213"/>
        <v>0</v>
      </c>
      <c r="U187" s="2">
        <f>AH187</f>
        <v>160.58394899999999</v>
      </c>
      <c r="V187" s="2">
        <f>AI187</f>
        <v>0</v>
      </c>
      <c r="W187" s="2">
        <f>ROUND(AJ187,2)</f>
        <v>0</v>
      </c>
      <c r="X187" s="2">
        <f>ROUND(AK187,2)</f>
        <v>37467.22</v>
      </c>
      <c r="Y187" s="2">
        <f>ROUND(AL187,2)</f>
        <v>5352.47</v>
      </c>
      <c r="Z187" s="2"/>
      <c r="AA187" s="2"/>
      <c r="AB187" s="2">
        <f>ROUND(SUMIF(AA174:AA185,"=72192302",O174:O185),2)</f>
        <v>290027.59999999998</v>
      </c>
      <c r="AC187" s="2">
        <f>ROUND(SUMIF(AA174:AA185,"=72192302",P174:P185),2)</f>
        <v>236482.67</v>
      </c>
      <c r="AD187" s="2">
        <f>ROUND(SUMIF(AA174:AA185,"=72192302",Q174:Q185),2)</f>
        <v>20.34</v>
      </c>
      <c r="AE187" s="2">
        <f>ROUND(SUMIF(AA174:AA185,"=72192302",R174:R185),2)</f>
        <v>2.13</v>
      </c>
      <c r="AF187" s="2">
        <f>ROUND(SUMIF(AA174:AA185,"=72192302",S174:S185),2)</f>
        <v>53524.59</v>
      </c>
      <c r="AG187" s="2">
        <f>ROUND(SUMIF(AA174:AA185,"=72192302",T174:T185),2)</f>
        <v>0</v>
      </c>
      <c r="AH187" s="2">
        <f>SUMIF(AA174:AA185,"=72192302",U174:U185)</f>
        <v>160.58394899999999</v>
      </c>
      <c r="AI187" s="2">
        <f>SUMIF(AA174:AA185,"=72192302",V174:V185)</f>
        <v>0</v>
      </c>
      <c r="AJ187" s="2">
        <f>ROUND(SUMIF(AA174:AA185,"=72192302",W174:W185),2)</f>
        <v>0</v>
      </c>
      <c r="AK187" s="2">
        <f>ROUND(SUMIF(AA174:AA185,"=72192302",X174:X185),2)</f>
        <v>37467.22</v>
      </c>
      <c r="AL187" s="2">
        <f>ROUND(SUMIF(AA174:AA185,"=72192302",Y174:Y185),2)</f>
        <v>5352.47</v>
      </c>
      <c r="AM187" s="2"/>
      <c r="AN187" s="2"/>
      <c r="AO187" s="2">
        <f t="shared" ref="AO187:BD187" si="214">ROUND(BX187,2)</f>
        <v>0</v>
      </c>
      <c r="AP187" s="2">
        <f t="shared" si="214"/>
        <v>0</v>
      </c>
      <c r="AQ187" s="2">
        <f t="shared" si="214"/>
        <v>0</v>
      </c>
      <c r="AR187" s="2">
        <f t="shared" si="214"/>
        <v>332849.59000000003</v>
      </c>
      <c r="AS187" s="2">
        <f t="shared" si="214"/>
        <v>0</v>
      </c>
      <c r="AT187" s="2">
        <f t="shared" si="214"/>
        <v>0</v>
      </c>
      <c r="AU187" s="2">
        <f t="shared" si="214"/>
        <v>332849.59000000003</v>
      </c>
      <c r="AV187" s="2">
        <f t="shared" si="214"/>
        <v>236482.67</v>
      </c>
      <c r="AW187" s="2">
        <f t="shared" si="214"/>
        <v>236482.67</v>
      </c>
      <c r="AX187" s="2">
        <f t="shared" si="214"/>
        <v>0</v>
      </c>
      <c r="AY187" s="2">
        <f t="shared" si="214"/>
        <v>236482.67</v>
      </c>
      <c r="AZ187" s="2">
        <f t="shared" si="214"/>
        <v>0</v>
      </c>
      <c r="BA187" s="2">
        <f t="shared" si="214"/>
        <v>0</v>
      </c>
      <c r="BB187" s="2">
        <f t="shared" si="214"/>
        <v>0</v>
      </c>
      <c r="BC187" s="2">
        <f t="shared" si="214"/>
        <v>0</v>
      </c>
      <c r="BD187" s="2">
        <f t="shared" si="214"/>
        <v>0</v>
      </c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>
        <f>ROUND(SUMIF(AA174:AA185,"=72192302",FQ174:FQ185),2)</f>
        <v>0</v>
      </c>
      <c r="BY187" s="2">
        <f>ROUND(SUMIF(AA174:AA185,"=72192302",FR174:FR185),2)</f>
        <v>0</v>
      </c>
      <c r="BZ187" s="2">
        <f>ROUND(SUMIF(AA174:AA185,"=72192302",GL174:GL185),2)</f>
        <v>0</v>
      </c>
      <c r="CA187" s="2">
        <f>ROUND(SUMIF(AA174:AA185,"=72192302",GM174:GM185),2)</f>
        <v>332849.59000000003</v>
      </c>
      <c r="CB187" s="2">
        <f>ROUND(SUMIF(AA174:AA185,"=72192302",GN174:GN185),2)</f>
        <v>0</v>
      </c>
      <c r="CC187" s="2">
        <f>ROUND(SUMIF(AA174:AA185,"=72192302",GO174:GO185),2)</f>
        <v>0</v>
      </c>
      <c r="CD187" s="2">
        <f>ROUND(SUMIF(AA174:AA185,"=72192302",GP174:GP185),2)</f>
        <v>332849.59000000003</v>
      </c>
      <c r="CE187" s="2">
        <f>AC187-BX187</f>
        <v>236482.67</v>
      </c>
      <c r="CF187" s="2">
        <f>AC187-BY187</f>
        <v>236482.67</v>
      </c>
      <c r="CG187" s="2">
        <f>BX187-BZ187</f>
        <v>0</v>
      </c>
      <c r="CH187" s="2">
        <f>AC187-BX187-BY187+BZ187</f>
        <v>236482.67</v>
      </c>
      <c r="CI187" s="2">
        <f>BY187-BZ187</f>
        <v>0</v>
      </c>
      <c r="CJ187" s="2">
        <f>ROUND(SUMIF(AA174:AA185,"=72192302",GX174:GX185),2)</f>
        <v>0</v>
      </c>
      <c r="CK187" s="2">
        <f>ROUND(SUMIF(AA174:AA185,"=72192302",GY174:GY185),2)</f>
        <v>0</v>
      </c>
      <c r="CL187" s="2">
        <f>ROUND(SUMIF(AA174:AA185,"=72192302",GZ174:GZ185),2)</f>
        <v>0</v>
      </c>
      <c r="CM187" s="2">
        <f>ROUND(SUMIF(AA174:AA185,"=72192302",HD174:HD185),2)</f>
        <v>0</v>
      </c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>
        <v>0</v>
      </c>
    </row>
    <row r="189" spans="1:245" x14ac:dyDescent="0.2">
      <c r="A189" s="4">
        <v>50</v>
      </c>
      <c r="B189" s="4">
        <v>0</v>
      </c>
      <c r="C189" s="4">
        <v>0</v>
      </c>
      <c r="D189" s="4">
        <v>1</v>
      </c>
      <c r="E189" s="4">
        <v>201</v>
      </c>
      <c r="F189" s="4">
        <f>ROUND(Source!O187,O189)</f>
        <v>290027.59999999998</v>
      </c>
      <c r="G189" s="4" t="s">
        <v>64</v>
      </c>
      <c r="H189" s="4" t="s">
        <v>65</v>
      </c>
      <c r="I189" s="4"/>
      <c r="J189" s="4"/>
      <c r="K189" s="4">
        <v>201</v>
      </c>
      <c r="L189" s="4">
        <v>1</v>
      </c>
      <c r="M189" s="4">
        <v>3</v>
      </c>
      <c r="N189" s="4" t="s">
        <v>3</v>
      </c>
      <c r="O189" s="4">
        <v>2</v>
      </c>
      <c r="P189" s="4"/>
      <c r="Q189" s="4"/>
      <c r="R189" s="4"/>
      <c r="S189" s="4"/>
      <c r="T189" s="4"/>
      <c r="U189" s="4"/>
      <c r="V189" s="4"/>
      <c r="W189" s="4">
        <v>290027.59999999998</v>
      </c>
      <c r="X189" s="4">
        <v>1</v>
      </c>
      <c r="Y189" s="4">
        <v>290027.59999999998</v>
      </c>
      <c r="Z189" s="4"/>
      <c r="AA189" s="4"/>
      <c r="AB189" s="4"/>
    </row>
    <row r="190" spans="1:245" x14ac:dyDescent="0.2">
      <c r="A190" s="4">
        <v>50</v>
      </c>
      <c r="B190" s="4">
        <v>0</v>
      </c>
      <c r="C190" s="4">
        <v>0</v>
      </c>
      <c r="D190" s="4">
        <v>1</v>
      </c>
      <c r="E190" s="4">
        <v>202</v>
      </c>
      <c r="F190" s="4">
        <f>ROUND(Source!P187,O190)</f>
        <v>236482.67</v>
      </c>
      <c r="G190" s="4" t="s">
        <v>66</v>
      </c>
      <c r="H190" s="4" t="s">
        <v>67</v>
      </c>
      <c r="I190" s="4"/>
      <c r="J190" s="4"/>
      <c r="K190" s="4">
        <v>202</v>
      </c>
      <c r="L190" s="4">
        <v>2</v>
      </c>
      <c r="M190" s="4">
        <v>3</v>
      </c>
      <c r="N190" s="4" t="s">
        <v>3</v>
      </c>
      <c r="O190" s="4">
        <v>2</v>
      </c>
      <c r="P190" s="4"/>
      <c r="Q190" s="4"/>
      <c r="R190" s="4"/>
      <c r="S190" s="4"/>
      <c r="T190" s="4"/>
      <c r="U190" s="4"/>
      <c r="V190" s="4"/>
      <c r="W190" s="4">
        <v>236482.67</v>
      </c>
      <c r="X190" s="4">
        <v>1</v>
      </c>
      <c r="Y190" s="4">
        <v>236482.67</v>
      </c>
      <c r="Z190" s="4"/>
      <c r="AA190" s="4"/>
      <c r="AB190" s="4"/>
    </row>
    <row r="191" spans="1:245" x14ac:dyDescent="0.2">
      <c r="A191" s="4">
        <v>50</v>
      </c>
      <c r="B191" s="4">
        <v>0</v>
      </c>
      <c r="C191" s="4">
        <v>0</v>
      </c>
      <c r="D191" s="4">
        <v>1</v>
      </c>
      <c r="E191" s="4">
        <v>222</v>
      </c>
      <c r="F191" s="4">
        <f>ROUND(Source!AO187,O191)</f>
        <v>0</v>
      </c>
      <c r="G191" s="4" t="s">
        <v>68</v>
      </c>
      <c r="H191" s="4" t="s">
        <v>69</v>
      </c>
      <c r="I191" s="4"/>
      <c r="J191" s="4"/>
      <c r="K191" s="4">
        <v>222</v>
      </c>
      <c r="L191" s="4">
        <v>3</v>
      </c>
      <c r="M191" s="4">
        <v>3</v>
      </c>
      <c r="N191" s="4" t="s">
        <v>3</v>
      </c>
      <c r="O191" s="4">
        <v>2</v>
      </c>
      <c r="P191" s="4"/>
      <c r="Q191" s="4"/>
      <c r="R191" s="4"/>
      <c r="S191" s="4"/>
      <c r="T191" s="4"/>
      <c r="U191" s="4"/>
      <c r="V191" s="4"/>
      <c r="W191" s="4">
        <v>0</v>
      </c>
      <c r="X191" s="4">
        <v>1</v>
      </c>
      <c r="Y191" s="4">
        <v>0</v>
      </c>
      <c r="Z191" s="4"/>
      <c r="AA191" s="4"/>
      <c r="AB191" s="4"/>
    </row>
    <row r="192" spans="1:245" x14ac:dyDescent="0.2">
      <c r="A192" s="4">
        <v>50</v>
      </c>
      <c r="B192" s="4">
        <v>0</v>
      </c>
      <c r="C192" s="4">
        <v>0</v>
      </c>
      <c r="D192" s="4">
        <v>1</v>
      </c>
      <c r="E192" s="4">
        <v>225</v>
      </c>
      <c r="F192" s="4">
        <f>ROUND(Source!AV187,O192)</f>
        <v>236482.67</v>
      </c>
      <c r="G192" s="4" t="s">
        <v>70</v>
      </c>
      <c r="H192" s="4" t="s">
        <v>71</v>
      </c>
      <c r="I192" s="4"/>
      <c r="J192" s="4"/>
      <c r="K192" s="4">
        <v>225</v>
      </c>
      <c r="L192" s="4">
        <v>4</v>
      </c>
      <c r="M192" s="4">
        <v>3</v>
      </c>
      <c r="N192" s="4" t="s">
        <v>3</v>
      </c>
      <c r="O192" s="4">
        <v>2</v>
      </c>
      <c r="P192" s="4"/>
      <c r="Q192" s="4"/>
      <c r="R192" s="4"/>
      <c r="S192" s="4"/>
      <c r="T192" s="4"/>
      <c r="U192" s="4"/>
      <c r="V192" s="4"/>
      <c r="W192" s="4">
        <v>236482.67</v>
      </c>
      <c r="X192" s="4">
        <v>1</v>
      </c>
      <c r="Y192" s="4">
        <v>236482.67</v>
      </c>
      <c r="Z192" s="4"/>
      <c r="AA192" s="4"/>
      <c r="AB192" s="4"/>
    </row>
    <row r="193" spans="1:28" x14ac:dyDescent="0.2">
      <c r="A193" s="4">
        <v>50</v>
      </c>
      <c r="B193" s="4">
        <v>0</v>
      </c>
      <c r="C193" s="4">
        <v>0</v>
      </c>
      <c r="D193" s="4">
        <v>1</v>
      </c>
      <c r="E193" s="4">
        <v>226</v>
      </c>
      <c r="F193" s="4">
        <f>ROUND(Source!AW187,O193)</f>
        <v>236482.67</v>
      </c>
      <c r="G193" s="4" t="s">
        <v>72</v>
      </c>
      <c r="H193" s="4" t="s">
        <v>73</v>
      </c>
      <c r="I193" s="4"/>
      <c r="J193" s="4"/>
      <c r="K193" s="4">
        <v>226</v>
      </c>
      <c r="L193" s="4">
        <v>5</v>
      </c>
      <c r="M193" s="4">
        <v>3</v>
      </c>
      <c r="N193" s="4" t="s">
        <v>3</v>
      </c>
      <c r="O193" s="4">
        <v>2</v>
      </c>
      <c r="P193" s="4"/>
      <c r="Q193" s="4"/>
      <c r="R193" s="4"/>
      <c r="S193" s="4"/>
      <c r="T193" s="4"/>
      <c r="U193" s="4"/>
      <c r="V193" s="4"/>
      <c r="W193" s="4">
        <v>236482.67</v>
      </c>
      <c r="X193" s="4">
        <v>1</v>
      </c>
      <c r="Y193" s="4">
        <v>236482.67</v>
      </c>
      <c r="Z193" s="4"/>
      <c r="AA193" s="4"/>
      <c r="AB193" s="4"/>
    </row>
    <row r="194" spans="1:28" x14ac:dyDescent="0.2">
      <c r="A194" s="4">
        <v>50</v>
      </c>
      <c r="B194" s="4">
        <v>0</v>
      </c>
      <c r="C194" s="4">
        <v>0</v>
      </c>
      <c r="D194" s="4">
        <v>1</v>
      </c>
      <c r="E194" s="4">
        <v>227</v>
      </c>
      <c r="F194" s="4">
        <f>ROUND(Source!AX187,O194)</f>
        <v>0</v>
      </c>
      <c r="G194" s="4" t="s">
        <v>74</v>
      </c>
      <c r="H194" s="4" t="s">
        <v>75</v>
      </c>
      <c r="I194" s="4"/>
      <c r="J194" s="4"/>
      <c r="K194" s="4">
        <v>227</v>
      </c>
      <c r="L194" s="4">
        <v>6</v>
      </c>
      <c r="M194" s="4">
        <v>3</v>
      </c>
      <c r="N194" s="4" t="s">
        <v>3</v>
      </c>
      <c r="O194" s="4">
        <v>2</v>
      </c>
      <c r="P194" s="4"/>
      <c r="Q194" s="4"/>
      <c r="R194" s="4"/>
      <c r="S194" s="4"/>
      <c r="T194" s="4"/>
      <c r="U194" s="4"/>
      <c r="V194" s="4"/>
      <c r="W194" s="4">
        <v>0</v>
      </c>
      <c r="X194" s="4">
        <v>1</v>
      </c>
      <c r="Y194" s="4">
        <v>0</v>
      </c>
      <c r="Z194" s="4"/>
      <c r="AA194" s="4"/>
      <c r="AB194" s="4"/>
    </row>
    <row r="195" spans="1:28" x14ac:dyDescent="0.2">
      <c r="A195" s="4">
        <v>50</v>
      </c>
      <c r="B195" s="4">
        <v>0</v>
      </c>
      <c r="C195" s="4">
        <v>0</v>
      </c>
      <c r="D195" s="4">
        <v>1</v>
      </c>
      <c r="E195" s="4">
        <v>228</v>
      </c>
      <c r="F195" s="4">
        <f>ROUND(Source!AY187,O195)</f>
        <v>236482.67</v>
      </c>
      <c r="G195" s="4" t="s">
        <v>76</v>
      </c>
      <c r="H195" s="4" t="s">
        <v>77</v>
      </c>
      <c r="I195" s="4"/>
      <c r="J195" s="4"/>
      <c r="K195" s="4">
        <v>228</v>
      </c>
      <c r="L195" s="4">
        <v>7</v>
      </c>
      <c r="M195" s="4">
        <v>3</v>
      </c>
      <c r="N195" s="4" t="s">
        <v>3</v>
      </c>
      <c r="O195" s="4">
        <v>2</v>
      </c>
      <c r="P195" s="4"/>
      <c r="Q195" s="4"/>
      <c r="R195" s="4"/>
      <c r="S195" s="4"/>
      <c r="T195" s="4"/>
      <c r="U195" s="4"/>
      <c r="V195" s="4"/>
      <c r="W195" s="4">
        <v>236482.67</v>
      </c>
      <c r="X195" s="4">
        <v>1</v>
      </c>
      <c r="Y195" s="4">
        <v>236482.67</v>
      </c>
      <c r="Z195" s="4"/>
      <c r="AA195" s="4"/>
      <c r="AB195" s="4"/>
    </row>
    <row r="196" spans="1:28" x14ac:dyDescent="0.2">
      <c r="A196" s="4">
        <v>50</v>
      </c>
      <c r="B196" s="4">
        <v>0</v>
      </c>
      <c r="C196" s="4">
        <v>0</v>
      </c>
      <c r="D196" s="4">
        <v>1</v>
      </c>
      <c r="E196" s="4">
        <v>216</v>
      </c>
      <c r="F196" s="4">
        <f>ROUND(Source!AP187,O196)</f>
        <v>0</v>
      </c>
      <c r="G196" s="4" t="s">
        <v>78</v>
      </c>
      <c r="H196" s="4" t="s">
        <v>79</v>
      </c>
      <c r="I196" s="4"/>
      <c r="J196" s="4"/>
      <c r="K196" s="4">
        <v>216</v>
      </c>
      <c r="L196" s="4">
        <v>8</v>
      </c>
      <c r="M196" s="4">
        <v>3</v>
      </c>
      <c r="N196" s="4" t="s">
        <v>3</v>
      </c>
      <c r="O196" s="4">
        <v>2</v>
      </c>
      <c r="P196" s="4"/>
      <c r="Q196" s="4"/>
      <c r="R196" s="4"/>
      <c r="S196" s="4"/>
      <c r="T196" s="4"/>
      <c r="U196" s="4"/>
      <c r="V196" s="4"/>
      <c r="W196" s="4">
        <v>0</v>
      </c>
      <c r="X196" s="4">
        <v>1</v>
      </c>
      <c r="Y196" s="4">
        <v>0</v>
      </c>
      <c r="Z196" s="4"/>
      <c r="AA196" s="4"/>
      <c r="AB196" s="4"/>
    </row>
    <row r="197" spans="1:28" x14ac:dyDescent="0.2">
      <c r="A197" s="4">
        <v>50</v>
      </c>
      <c r="B197" s="4">
        <v>0</v>
      </c>
      <c r="C197" s="4">
        <v>0</v>
      </c>
      <c r="D197" s="4">
        <v>1</v>
      </c>
      <c r="E197" s="4">
        <v>223</v>
      </c>
      <c r="F197" s="4">
        <f>ROUND(Source!AQ187,O197)</f>
        <v>0</v>
      </c>
      <c r="G197" s="4" t="s">
        <v>80</v>
      </c>
      <c r="H197" s="4" t="s">
        <v>81</v>
      </c>
      <c r="I197" s="4"/>
      <c r="J197" s="4"/>
      <c r="K197" s="4">
        <v>223</v>
      </c>
      <c r="L197" s="4">
        <v>9</v>
      </c>
      <c r="M197" s="4">
        <v>3</v>
      </c>
      <c r="N197" s="4" t="s">
        <v>3</v>
      </c>
      <c r="O197" s="4">
        <v>2</v>
      </c>
      <c r="P197" s="4"/>
      <c r="Q197" s="4"/>
      <c r="R197" s="4"/>
      <c r="S197" s="4"/>
      <c r="T197" s="4"/>
      <c r="U197" s="4"/>
      <c r="V197" s="4"/>
      <c r="W197" s="4">
        <v>0</v>
      </c>
      <c r="X197" s="4">
        <v>1</v>
      </c>
      <c r="Y197" s="4">
        <v>0</v>
      </c>
      <c r="Z197" s="4"/>
      <c r="AA197" s="4"/>
      <c r="AB197" s="4"/>
    </row>
    <row r="198" spans="1:28" x14ac:dyDescent="0.2">
      <c r="A198" s="4">
        <v>50</v>
      </c>
      <c r="B198" s="4">
        <v>0</v>
      </c>
      <c r="C198" s="4">
        <v>0</v>
      </c>
      <c r="D198" s="4">
        <v>1</v>
      </c>
      <c r="E198" s="4">
        <v>229</v>
      </c>
      <c r="F198" s="4">
        <f>ROUND(Source!AZ187,O198)</f>
        <v>0</v>
      </c>
      <c r="G198" s="4" t="s">
        <v>82</v>
      </c>
      <c r="H198" s="4" t="s">
        <v>83</v>
      </c>
      <c r="I198" s="4"/>
      <c r="J198" s="4"/>
      <c r="K198" s="4">
        <v>229</v>
      </c>
      <c r="L198" s="4">
        <v>10</v>
      </c>
      <c r="M198" s="4">
        <v>3</v>
      </c>
      <c r="N198" s="4" t="s">
        <v>3</v>
      </c>
      <c r="O198" s="4">
        <v>2</v>
      </c>
      <c r="P198" s="4"/>
      <c r="Q198" s="4"/>
      <c r="R198" s="4"/>
      <c r="S198" s="4"/>
      <c r="T198" s="4"/>
      <c r="U198" s="4"/>
      <c r="V198" s="4"/>
      <c r="W198" s="4">
        <v>0</v>
      </c>
      <c r="X198" s="4">
        <v>1</v>
      </c>
      <c r="Y198" s="4">
        <v>0</v>
      </c>
      <c r="Z198" s="4"/>
      <c r="AA198" s="4"/>
      <c r="AB198" s="4"/>
    </row>
    <row r="199" spans="1:28" x14ac:dyDescent="0.2">
      <c r="A199" s="4">
        <v>50</v>
      </c>
      <c r="B199" s="4">
        <v>0</v>
      </c>
      <c r="C199" s="4">
        <v>0</v>
      </c>
      <c r="D199" s="4">
        <v>1</v>
      </c>
      <c r="E199" s="4">
        <v>203</v>
      </c>
      <c r="F199" s="4">
        <f>ROUND(Source!Q187,O199)</f>
        <v>20.34</v>
      </c>
      <c r="G199" s="4" t="s">
        <v>84</v>
      </c>
      <c r="H199" s="4" t="s">
        <v>85</v>
      </c>
      <c r="I199" s="4"/>
      <c r="J199" s="4"/>
      <c r="K199" s="4">
        <v>203</v>
      </c>
      <c r="L199" s="4">
        <v>11</v>
      </c>
      <c r="M199" s="4">
        <v>3</v>
      </c>
      <c r="N199" s="4" t="s">
        <v>3</v>
      </c>
      <c r="O199" s="4">
        <v>2</v>
      </c>
      <c r="P199" s="4"/>
      <c r="Q199" s="4"/>
      <c r="R199" s="4"/>
      <c r="S199" s="4"/>
      <c r="T199" s="4"/>
      <c r="U199" s="4"/>
      <c r="V199" s="4"/>
      <c r="W199" s="4">
        <v>20.34</v>
      </c>
      <c r="X199" s="4">
        <v>1</v>
      </c>
      <c r="Y199" s="4">
        <v>20.34</v>
      </c>
      <c r="Z199" s="4"/>
      <c r="AA199" s="4"/>
      <c r="AB199" s="4"/>
    </row>
    <row r="200" spans="1:28" x14ac:dyDescent="0.2">
      <c r="A200" s="4">
        <v>50</v>
      </c>
      <c r="B200" s="4">
        <v>0</v>
      </c>
      <c r="C200" s="4">
        <v>0</v>
      </c>
      <c r="D200" s="4">
        <v>1</v>
      </c>
      <c r="E200" s="4">
        <v>231</v>
      </c>
      <c r="F200" s="4">
        <f>ROUND(Source!BB187,O200)</f>
        <v>0</v>
      </c>
      <c r="G200" s="4" t="s">
        <v>86</v>
      </c>
      <c r="H200" s="4" t="s">
        <v>87</v>
      </c>
      <c r="I200" s="4"/>
      <c r="J200" s="4"/>
      <c r="K200" s="4">
        <v>231</v>
      </c>
      <c r="L200" s="4">
        <v>12</v>
      </c>
      <c r="M200" s="4">
        <v>3</v>
      </c>
      <c r="N200" s="4" t="s">
        <v>3</v>
      </c>
      <c r="O200" s="4">
        <v>2</v>
      </c>
      <c r="P200" s="4"/>
      <c r="Q200" s="4"/>
      <c r="R200" s="4"/>
      <c r="S200" s="4"/>
      <c r="T200" s="4"/>
      <c r="U200" s="4"/>
      <c r="V200" s="4"/>
      <c r="W200" s="4">
        <v>0</v>
      </c>
      <c r="X200" s="4">
        <v>1</v>
      </c>
      <c r="Y200" s="4">
        <v>0</v>
      </c>
      <c r="Z200" s="4"/>
      <c r="AA200" s="4"/>
      <c r="AB200" s="4"/>
    </row>
    <row r="201" spans="1:28" x14ac:dyDescent="0.2">
      <c r="A201" s="4">
        <v>50</v>
      </c>
      <c r="B201" s="4">
        <v>0</v>
      </c>
      <c r="C201" s="4">
        <v>0</v>
      </c>
      <c r="D201" s="4">
        <v>1</v>
      </c>
      <c r="E201" s="4">
        <v>204</v>
      </c>
      <c r="F201" s="4">
        <f>ROUND(Source!R187,O201)</f>
        <v>2.13</v>
      </c>
      <c r="G201" s="4" t="s">
        <v>88</v>
      </c>
      <c r="H201" s="4" t="s">
        <v>89</v>
      </c>
      <c r="I201" s="4"/>
      <c r="J201" s="4"/>
      <c r="K201" s="4">
        <v>204</v>
      </c>
      <c r="L201" s="4">
        <v>13</v>
      </c>
      <c r="M201" s="4">
        <v>3</v>
      </c>
      <c r="N201" s="4" t="s">
        <v>3</v>
      </c>
      <c r="O201" s="4">
        <v>2</v>
      </c>
      <c r="P201" s="4"/>
      <c r="Q201" s="4"/>
      <c r="R201" s="4"/>
      <c r="S201" s="4"/>
      <c r="T201" s="4"/>
      <c r="U201" s="4"/>
      <c r="V201" s="4"/>
      <c r="W201" s="4">
        <v>2.13</v>
      </c>
      <c r="X201" s="4">
        <v>1</v>
      </c>
      <c r="Y201" s="4">
        <v>2.13</v>
      </c>
      <c r="Z201" s="4"/>
      <c r="AA201" s="4"/>
      <c r="AB201" s="4"/>
    </row>
    <row r="202" spans="1:28" x14ac:dyDescent="0.2">
      <c r="A202" s="4">
        <v>50</v>
      </c>
      <c r="B202" s="4">
        <v>0</v>
      </c>
      <c r="C202" s="4">
        <v>0</v>
      </c>
      <c r="D202" s="4">
        <v>1</v>
      </c>
      <c r="E202" s="4">
        <v>205</v>
      </c>
      <c r="F202" s="4">
        <f>ROUND(Source!S187,O202)</f>
        <v>53524.59</v>
      </c>
      <c r="G202" s="4" t="s">
        <v>90</v>
      </c>
      <c r="H202" s="4" t="s">
        <v>91</v>
      </c>
      <c r="I202" s="4"/>
      <c r="J202" s="4"/>
      <c r="K202" s="4">
        <v>205</v>
      </c>
      <c r="L202" s="4">
        <v>14</v>
      </c>
      <c r="M202" s="4">
        <v>3</v>
      </c>
      <c r="N202" s="4" t="s">
        <v>3</v>
      </c>
      <c r="O202" s="4">
        <v>2</v>
      </c>
      <c r="P202" s="4"/>
      <c r="Q202" s="4"/>
      <c r="R202" s="4"/>
      <c r="S202" s="4"/>
      <c r="T202" s="4"/>
      <c r="U202" s="4"/>
      <c r="V202" s="4"/>
      <c r="W202" s="4">
        <v>53524.59</v>
      </c>
      <c r="X202" s="4">
        <v>1</v>
      </c>
      <c r="Y202" s="4">
        <v>53524.59</v>
      </c>
      <c r="Z202" s="4"/>
      <c r="AA202" s="4"/>
      <c r="AB202" s="4"/>
    </row>
    <row r="203" spans="1:28" x14ac:dyDescent="0.2">
      <c r="A203" s="4">
        <v>50</v>
      </c>
      <c r="B203" s="4">
        <v>0</v>
      </c>
      <c r="C203" s="4">
        <v>0</v>
      </c>
      <c r="D203" s="4">
        <v>1</v>
      </c>
      <c r="E203" s="4">
        <v>232</v>
      </c>
      <c r="F203" s="4">
        <f>ROUND(Source!BC187,O203)</f>
        <v>0</v>
      </c>
      <c r="G203" s="4" t="s">
        <v>92</v>
      </c>
      <c r="H203" s="4" t="s">
        <v>93</v>
      </c>
      <c r="I203" s="4"/>
      <c r="J203" s="4"/>
      <c r="K203" s="4">
        <v>232</v>
      </c>
      <c r="L203" s="4">
        <v>15</v>
      </c>
      <c r="M203" s="4">
        <v>3</v>
      </c>
      <c r="N203" s="4" t="s">
        <v>3</v>
      </c>
      <c r="O203" s="4">
        <v>2</v>
      </c>
      <c r="P203" s="4"/>
      <c r="Q203" s="4"/>
      <c r="R203" s="4"/>
      <c r="S203" s="4"/>
      <c r="T203" s="4"/>
      <c r="U203" s="4"/>
      <c r="V203" s="4"/>
      <c r="W203" s="4">
        <v>0</v>
      </c>
      <c r="X203" s="4">
        <v>1</v>
      </c>
      <c r="Y203" s="4">
        <v>0</v>
      </c>
      <c r="Z203" s="4"/>
      <c r="AA203" s="4"/>
      <c r="AB203" s="4"/>
    </row>
    <row r="204" spans="1:28" x14ac:dyDescent="0.2">
      <c r="A204" s="4">
        <v>50</v>
      </c>
      <c r="B204" s="4">
        <v>0</v>
      </c>
      <c r="C204" s="4">
        <v>0</v>
      </c>
      <c r="D204" s="4">
        <v>1</v>
      </c>
      <c r="E204" s="4">
        <v>214</v>
      </c>
      <c r="F204" s="4">
        <f>ROUND(Source!AS187,O204)</f>
        <v>0</v>
      </c>
      <c r="G204" s="4" t="s">
        <v>94</v>
      </c>
      <c r="H204" s="4" t="s">
        <v>95</v>
      </c>
      <c r="I204" s="4"/>
      <c r="J204" s="4"/>
      <c r="K204" s="4">
        <v>214</v>
      </c>
      <c r="L204" s="4">
        <v>16</v>
      </c>
      <c r="M204" s="4">
        <v>3</v>
      </c>
      <c r="N204" s="4" t="s">
        <v>3</v>
      </c>
      <c r="O204" s="4">
        <v>2</v>
      </c>
      <c r="P204" s="4"/>
      <c r="Q204" s="4"/>
      <c r="R204" s="4"/>
      <c r="S204" s="4"/>
      <c r="T204" s="4"/>
      <c r="U204" s="4"/>
      <c r="V204" s="4"/>
      <c r="W204" s="4">
        <v>0</v>
      </c>
      <c r="X204" s="4">
        <v>1</v>
      </c>
      <c r="Y204" s="4">
        <v>0</v>
      </c>
      <c r="Z204" s="4"/>
      <c r="AA204" s="4"/>
      <c r="AB204" s="4"/>
    </row>
    <row r="205" spans="1:28" x14ac:dyDescent="0.2">
      <c r="A205" s="4">
        <v>50</v>
      </c>
      <c r="B205" s="4">
        <v>0</v>
      </c>
      <c r="C205" s="4">
        <v>0</v>
      </c>
      <c r="D205" s="4">
        <v>1</v>
      </c>
      <c r="E205" s="4">
        <v>215</v>
      </c>
      <c r="F205" s="4">
        <f>ROUND(Source!AT187,O205)</f>
        <v>0</v>
      </c>
      <c r="G205" s="4" t="s">
        <v>96</v>
      </c>
      <c r="H205" s="4" t="s">
        <v>97</v>
      </c>
      <c r="I205" s="4"/>
      <c r="J205" s="4"/>
      <c r="K205" s="4">
        <v>215</v>
      </c>
      <c r="L205" s="4">
        <v>17</v>
      </c>
      <c r="M205" s="4">
        <v>3</v>
      </c>
      <c r="N205" s="4" t="s">
        <v>3</v>
      </c>
      <c r="O205" s="4">
        <v>2</v>
      </c>
      <c r="P205" s="4"/>
      <c r="Q205" s="4"/>
      <c r="R205" s="4"/>
      <c r="S205" s="4"/>
      <c r="T205" s="4"/>
      <c r="U205" s="4"/>
      <c r="V205" s="4"/>
      <c r="W205" s="4">
        <v>0</v>
      </c>
      <c r="X205" s="4">
        <v>1</v>
      </c>
      <c r="Y205" s="4">
        <v>0</v>
      </c>
      <c r="Z205" s="4"/>
      <c r="AA205" s="4"/>
      <c r="AB205" s="4"/>
    </row>
    <row r="206" spans="1:28" x14ac:dyDescent="0.2">
      <c r="A206" s="4">
        <v>50</v>
      </c>
      <c r="B206" s="4">
        <v>0</v>
      </c>
      <c r="C206" s="4">
        <v>0</v>
      </c>
      <c r="D206" s="4">
        <v>1</v>
      </c>
      <c r="E206" s="4">
        <v>217</v>
      </c>
      <c r="F206" s="4">
        <f>ROUND(Source!AU187,O206)</f>
        <v>332849.59000000003</v>
      </c>
      <c r="G206" s="4" t="s">
        <v>98</v>
      </c>
      <c r="H206" s="4" t="s">
        <v>99</v>
      </c>
      <c r="I206" s="4"/>
      <c r="J206" s="4"/>
      <c r="K206" s="4">
        <v>217</v>
      </c>
      <c r="L206" s="4">
        <v>18</v>
      </c>
      <c r="M206" s="4">
        <v>3</v>
      </c>
      <c r="N206" s="4" t="s">
        <v>3</v>
      </c>
      <c r="O206" s="4">
        <v>2</v>
      </c>
      <c r="P206" s="4"/>
      <c r="Q206" s="4"/>
      <c r="R206" s="4"/>
      <c r="S206" s="4"/>
      <c r="T206" s="4"/>
      <c r="U206" s="4"/>
      <c r="V206" s="4"/>
      <c r="W206" s="4">
        <v>332849.59000000003</v>
      </c>
      <c r="X206" s="4">
        <v>1</v>
      </c>
      <c r="Y206" s="4">
        <v>332849.59000000003</v>
      </c>
      <c r="Z206" s="4"/>
      <c r="AA206" s="4"/>
      <c r="AB206" s="4"/>
    </row>
    <row r="207" spans="1:28" x14ac:dyDescent="0.2">
      <c r="A207" s="4">
        <v>50</v>
      </c>
      <c r="B207" s="4">
        <v>0</v>
      </c>
      <c r="C207" s="4">
        <v>0</v>
      </c>
      <c r="D207" s="4">
        <v>1</v>
      </c>
      <c r="E207" s="4">
        <v>230</v>
      </c>
      <c r="F207" s="4">
        <f>ROUND(Source!BA187,O207)</f>
        <v>0</v>
      </c>
      <c r="G207" s="4" t="s">
        <v>100</v>
      </c>
      <c r="H207" s="4" t="s">
        <v>101</v>
      </c>
      <c r="I207" s="4"/>
      <c r="J207" s="4"/>
      <c r="K207" s="4">
        <v>230</v>
      </c>
      <c r="L207" s="4">
        <v>19</v>
      </c>
      <c r="M207" s="4">
        <v>3</v>
      </c>
      <c r="N207" s="4" t="s">
        <v>3</v>
      </c>
      <c r="O207" s="4">
        <v>2</v>
      </c>
      <c r="P207" s="4"/>
      <c r="Q207" s="4"/>
      <c r="R207" s="4"/>
      <c r="S207" s="4"/>
      <c r="T207" s="4"/>
      <c r="U207" s="4"/>
      <c r="V207" s="4"/>
      <c r="W207" s="4">
        <v>0</v>
      </c>
      <c r="X207" s="4">
        <v>1</v>
      </c>
      <c r="Y207" s="4">
        <v>0</v>
      </c>
      <c r="Z207" s="4"/>
      <c r="AA207" s="4"/>
      <c r="AB207" s="4"/>
    </row>
    <row r="208" spans="1:28" x14ac:dyDescent="0.2">
      <c r="A208" s="4">
        <v>50</v>
      </c>
      <c r="B208" s="4">
        <v>0</v>
      </c>
      <c r="C208" s="4">
        <v>0</v>
      </c>
      <c r="D208" s="4">
        <v>1</v>
      </c>
      <c r="E208" s="4">
        <v>206</v>
      </c>
      <c r="F208" s="4">
        <f>ROUND(Source!T187,O208)</f>
        <v>0</v>
      </c>
      <c r="G208" s="4" t="s">
        <v>102</v>
      </c>
      <c r="H208" s="4" t="s">
        <v>103</v>
      </c>
      <c r="I208" s="4"/>
      <c r="J208" s="4"/>
      <c r="K208" s="4">
        <v>206</v>
      </c>
      <c r="L208" s="4">
        <v>20</v>
      </c>
      <c r="M208" s="4">
        <v>3</v>
      </c>
      <c r="N208" s="4" t="s">
        <v>3</v>
      </c>
      <c r="O208" s="4">
        <v>2</v>
      </c>
      <c r="P208" s="4"/>
      <c r="Q208" s="4"/>
      <c r="R208" s="4"/>
      <c r="S208" s="4"/>
      <c r="T208" s="4"/>
      <c r="U208" s="4"/>
      <c r="V208" s="4"/>
      <c r="W208" s="4">
        <v>0</v>
      </c>
      <c r="X208" s="4">
        <v>1</v>
      </c>
      <c r="Y208" s="4">
        <v>0</v>
      </c>
      <c r="Z208" s="4"/>
      <c r="AA208" s="4"/>
      <c r="AB208" s="4"/>
    </row>
    <row r="209" spans="1:206" x14ac:dyDescent="0.2">
      <c r="A209" s="4">
        <v>50</v>
      </c>
      <c r="B209" s="4">
        <v>0</v>
      </c>
      <c r="C209" s="4">
        <v>0</v>
      </c>
      <c r="D209" s="4">
        <v>1</v>
      </c>
      <c r="E209" s="4">
        <v>207</v>
      </c>
      <c r="F209" s="4">
        <f>Source!U187</f>
        <v>160.58394899999999</v>
      </c>
      <c r="G209" s="4" t="s">
        <v>104</v>
      </c>
      <c r="H209" s="4" t="s">
        <v>105</v>
      </c>
      <c r="I209" s="4"/>
      <c r="J209" s="4"/>
      <c r="K209" s="4">
        <v>207</v>
      </c>
      <c r="L209" s="4">
        <v>21</v>
      </c>
      <c r="M209" s="4">
        <v>3</v>
      </c>
      <c r="N209" s="4" t="s">
        <v>3</v>
      </c>
      <c r="O209" s="4">
        <v>-1</v>
      </c>
      <c r="P209" s="4"/>
      <c r="Q209" s="4"/>
      <c r="R209" s="4"/>
      <c r="S209" s="4"/>
      <c r="T209" s="4"/>
      <c r="U209" s="4"/>
      <c r="V209" s="4"/>
      <c r="W209" s="4">
        <v>160.58394899999999</v>
      </c>
      <c r="X209" s="4">
        <v>1</v>
      </c>
      <c r="Y209" s="4">
        <v>160.58394899999999</v>
      </c>
      <c r="Z209" s="4"/>
      <c r="AA209" s="4"/>
      <c r="AB209" s="4"/>
    </row>
    <row r="210" spans="1:206" x14ac:dyDescent="0.2">
      <c r="A210" s="4">
        <v>50</v>
      </c>
      <c r="B210" s="4">
        <v>0</v>
      </c>
      <c r="C210" s="4">
        <v>0</v>
      </c>
      <c r="D210" s="4">
        <v>1</v>
      </c>
      <c r="E210" s="4">
        <v>208</v>
      </c>
      <c r="F210" s="4">
        <f>Source!V187</f>
        <v>0</v>
      </c>
      <c r="G210" s="4" t="s">
        <v>106</v>
      </c>
      <c r="H210" s="4" t="s">
        <v>107</v>
      </c>
      <c r="I210" s="4"/>
      <c r="J210" s="4"/>
      <c r="K210" s="4">
        <v>208</v>
      </c>
      <c r="L210" s="4">
        <v>22</v>
      </c>
      <c r="M210" s="4">
        <v>3</v>
      </c>
      <c r="N210" s="4" t="s">
        <v>3</v>
      </c>
      <c r="O210" s="4">
        <v>-1</v>
      </c>
      <c r="P210" s="4"/>
      <c r="Q210" s="4"/>
      <c r="R210" s="4"/>
      <c r="S210" s="4"/>
      <c r="T210" s="4"/>
      <c r="U210" s="4"/>
      <c r="V210" s="4"/>
      <c r="W210" s="4">
        <v>0</v>
      </c>
      <c r="X210" s="4">
        <v>1</v>
      </c>
      <c r="Y210" s="4">
        <v>0</v>
      </c>
      <c r="Z210" s="4"/>
      <c r="AA210" s="4"/>
      <c r="AB210" s="4"/>
    </row>
    <row r="211" spans="1:206" x14ac:dyDescent="0.2">
      <c r="A211" s="4">
        <v>50</v>
      </c>
      <c r="B211" s="4">
        <v>0</v>
      </c>
      <c r="C211" s="4">
        <v>0</v>
      </c>
      <c r="D211" s="4">
        <v>1</v>
      </c>
      <c r="E211" s="4">
        <v>209</v>
      </c>
      <c r="F211" s="4">
        <f>ROUND(Source!W187,O211)</f>
        <v>0</v>
      </c>
      <c r="G211" s="4" t="s">
        <v>108</v>
      </c>
      <c r="H211" s="4" t="s">
        <v>109</v>
      </c>
      <c r="I211" s="4"/>
      <c r="J211" s="4"/>
      <c r="K211" s="4">
        <v>209</v>
      </c>
      <c r="L211" s="4">
        <v>23</v>
      </c>
      <c r="M211" s="4">
        <v>3</v>
      </c>
      <c r="N211" s="4" t="s">
        <v>3</v>
      </c>
      <c r="O211" s="4">
        <v>2</v>
      </c>
      <c r="P211" s="4"/>
      <c r="Q211" s="4"/>
      <c r="R211" s="4"/>
      <c r="S211" s="4"/>
      <c r="T211" s="4"/>
      <c r="U211" s="4"/>
      <c r="V211" s="4"/>
      <c r="W211" s="4">
        <v>0</v>
      </c>
      <c r="X211" s="4">
        <v>1</v>
      </c>
      <c r="Y211" s="4">
        <v>0</v>
      </c>
      <c r="Z211" s="4"/>
      <c r="AA211" s="4"/>
      <c r="AB211" s="4"/>
    </row>
    <row r="212" spans="1:206" x14ac:dyDescent="0.2">
      <c r="A212" s="4">
        <v>50</v>
      </c>
      <c r="B212" s="4">
        <v>0</v>
      </c>
      <c r="C212" s="4">
        <v>0</v>
      </c>
      <c r="D212" s="4">
        <v>1</v>
      </c>
      <c r="E212" s="4">
        <v>233</v>
      </c>
      <c r="F212" s="4">
        <f>ROUND(Source!BD187,O212)</f>
        <v>0</v>
      </c>
      <c r="G212" s="4" t="s">
        <v>110</v>
      </c>
      <c r="H212" s="4" t="s">
        <v>111</v>
      </c>
      <c r="I212" s="4"/>
      <c r="J212" s="4"/>
      <c r="K212" s="4">
        <v>233</v>
      </c>
      <c r="L212" s="4">
        <v>24</v>
      </c>
      <c r="M212" s="4">
        <v>3</v>
      </c>
      <c r="N212" s="4" t="s">
        <v>3</v>
      </c>
      <c r="O212" s="4">
        <v>2</v>
      </c>
      <c r="P212" s="4"/>
      <c r="Q212" s="4"/>
      <c r="R212" s="4"/>
      <c r="S212" s="4"/>
      <c r="T212" s="4"/>
      <c r="U212" s="4"/>
      <c r="V212" s="4"/>
      <c r="W212" s="4">
        <v>0</v>
      </c>
      <c r="X212" s="4">
        <v>1</v>
      </c>
      <c r="Y212" s="4">
        <v>0</v>
      </c>
      <c r="Z212" s="4"/>
      <c r="AA212" s="4"/>
      <c r="AB212" s="4"/>
    </row>
    <row r="213" spans="1:206" x14ac:dyDescent="0.2">
      <c r="A213" s="4">
        <v>50</v>
      </c>
      <c r="B213" s="4">
        <v>0</v>
      </c>
      <c r="C213" s="4">
        <v>0</v>
      </c>
      <c r="D213" s="4">
        <v>1</v>
      </c>
      <c r="E213" s="4">
        <v>210</v>
      </c>
      <c r="F213" s="4">
        <f>ROUND(Source!X187,O213)</f>
        <v>37467.22</v>
      </c>
      <c r="G213" s="4" t="s">
        <v>112</v>
      </c>
      <c r="H213" s="4" t="s">
        <v>113</v>
      </c>
      <c r="I213" s="4"/>
      <c r="J213" s="4"/>
      <c r="K213" s="4">
        <v>210</v>
      </c>
      <c r="L213" s="4">
        <v>25</v>
      </c>
      <c r="M213" s="4">
        <v>3</v>
      </c>
      <c r="N213" s="4" t="s">
        <v>3</v>
      </c>
      <c r="O213" s="4">
        <v>2</v>
      </c>
      <c r="P213" s="4"/>
      <c r="Q213" s="4"/>
      <c r="R213" s="4"/>
      <c r="S213" s="4"/>
      <c r="T213" s="4"/>
      <c r="U213" s="4"/>
      <c r="V213" s="4"/>
      <c r="W213" s="4">
        <v>37467.22</v>
      </c>
      <c r="X213" s="4">
        <v>1</v>
      </c>
      <c r="Y213" s="4">
        <v>37467.22</v>
      </c>
      <c r="Z213" s="4"/>
      <c r="AA213" s="4"/>
      <c r="AB213" s="4"/>
    </row>
    <row r="214" spans="1:206" x14ac:dyDescent="0.2">
      <c r="A214" s="4">
        <v>50</v>
      </c>
      <c r="B214" s="4">
        <v>0</v>
      </c>
      <c r="C214" s="4">
        <v>0</v>
      </c>
      <c r="D214" s="4">
        <v>1</v>
      </c>
      <c r="E214" s="4">
        <v>211</v>
      </c>
      <c r="F214" s="4">
        <f>ROUND(Source!Y187,O214)</f>
        <v>5352.47</v>
      </c>
      <c r="G214" s="4" t="s">
        <v>114</v>
      </c>
      <c r="H214" s="4" t="s">
        <v>115</v>
      </c>
      <c r="I214" s="4"/>
      <c r="J214" s="4"/>
      <c r="K214" s="4">
        <v>211</v>
      </c>
      <c r="L214" s="4">
        <v>26</v>
      </c>
      <c r="M214" s="4">
        <v>3</v>
      </c>
      <c r="N214" s="4" t="s">
        <v>3</v>
      </c>
      <c r="O214" s="4">
        <v>2</v>
      </c>
      <c r="P214" s="4"/>
      <c r="Q214" s="4"/>
      <c r="R214" s="4"/>
      <c r="S214" s="4"/>
      <c r="T214" s="4"/>
      <c r="U214" s="4"/>
      <c r="V214" s="4"/>
      <c r="W214" s="4">
        <v>5352.47</v>
      </c>
      <c r="X214" s="4">
        <v>1</v>
      </c>
      <c r="Y214" s="4">
        <v>5352.47</v>
      </c>
      <c r="Z214" s="4"/>
      <c r="AA214" s="4"/>
      <c r="AB214" s="4"/>
    </row>
    <row r="215" spans="1:206" x14ac:dyDescent="0.2">
      <c r="A215" s="4">
        <v>50</v>
      </c>
      <c r="B215" s="4">
        <v>0</v>
      </c>
      <c r="C215" s="4">
        <v>0</v>
      </c>
      <c r="D215" s="4">
        <v>1</v>
      </c>
      <c r="E215" s="4">
        <v>224</v>
      </c>
      <c r="F215" s="4">
        <f>ROUND(Source!AR187,O215)</f>
        <v>332849.59000000003</v>
      </c>
      <c r="G215" s="4" t="s">
        <v>116</v>
      </c>
      <c r="H215" s="4" t="s">
        <v>117</v>
      </c>
      <c r="I215" s="4"/>
      <c r="J215" s="4"/>
      <c r="K215" s="4">
        <v>224</v>
      </c>
      <c r="L215" s="4">
        <v>27</v>
      </c>
      <c r="M215" s="4">
        <v>3</v>
      </c>
      <c r="N215" s="4" t="s">
        <v>3</v>
      </c>
      <c r="O215" s="4">
        <v>2</v>
      </c>
      <c r="P215" s="4"/>
      <c r="Q215" s="4"/>
      <c r="R215" s="4"/>
      <c r="S215" s="4"/>
      <c r="T215" s="4"/>
      <c r="U215" s="4"/>
      <c r="V215" s="4"/>
      <c r="W215" s="4">
        <v>332849.59000000003</v>
      </c>
      <c r="X215" s="4">
        <v>1</v>
      </c>
      <c r="Y215" s="4">
        <v>332849.59000000003</v>
      </c>
      <c r="Z215" s="4"/>
      <c r="AA215" s="4"/>
      <c r="AB215" s="4"/>
    </row>
    <row r="217" spans="1:206" x14ac:dyDescent="0.2">
      <c r="A217" s="2">
        <v>51</v>
      </c>
      <c r="B217" s="2">
        <f>B24</f>
        <v>1</v>
      </c>
      <c r="C217" s="2">
        <f>A24</f>
        <v>4</v>
      </c>
      <c r="D217" s="2">
        <f>ROW(A24)</f>
        <v>24</v>
      </c>
      <c r="E217" s="2"/>
      <c r="F217" s="2" t="str">
        <f>IF(F24&lt;&gt;"",F24,"")</f>
        <v>Новый раздел</v>
      </c>
      <c r="G217" s="2" t="str">
        <f>IF(G24&lt;&gt;"",G24,"")</f>
        <v>1. Спортзал №1</v>
      </c>
      <c r="H217" s="2">
        <v>0</v>
      </c>
      <c r="I217" s="2"/>
      <c r="J217" s="2"/>
      <c r="K217" s="2"/>
      <c r="L217" s="2"/>
      <c r="M217" s="2"/>
      <c r="N217" s="2"/>
      <c r="O217" s="2">
        <f t="shared" ref="O217:T217" si="215">ROUND(O43+O88+O140+O187+AB217,2)</f>
        <v>1324696.28</v>
      </c>
      <c r="P217" s="2">
        <f t="shared" si="215"/>
        <v>823257.85</v>
      </c>
      <c r="Q217" s="2">
        <f t="shared" si="215"/>
        <v>18608.830000000002</v>
      </c>
      <c r="R217" s="2">
        <f t="shared" si="215"/>
        <v>15938.48</v>
      </c>
      <c r="S217" s="2">
        <f t="shared" si="215"/>
        <v>482829.6</v>
      </c>
      <c r="T217" s="2">
        <f t="shared" si="215"/>
        <v>0</v>
      </c>
      <c r="U217" s="2">
        <f>U43+U88+U140+U187+AH217</f>
        <v>1632.4503014000002</v>
      </c>
      <c r="V217" s="2">
        <f>V43+V88+V140+V187+AI217</f>
        <v>0</v>
      </c>
      <c r="W217" s="2">
        <f>ROUND(W43+W88+W140+W187+AJ217,2)</f>
        <v>0</v>
      </c>
      <c r="X217" s="2">
        <f>ROUND(X43+X88+X140+X187+AK217,2)</f>
        <v>337980.74</v>
      </c>
      <c r="Y217" s="2">
        <f>ROUND(Y43+Y88+Y140+Y187+AL217,2)</f>
        <v>48282.97</v>
      </c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>
        <f t="shared" ref="AO217:BD217" si="216">ROUND(AO43+AO88+AO140+AO187+BX217,2)</f>
        <v>0</v>
      </c>
      <c r="AP217" s="2">
        <f t="shared" si="216"/>
        <v>0</v>
      </c>
      <c r="AQ217" s="2">
        <f t="shared" si="216"/>
        <v>0</v>
      </c>
      <c r="AR217" s="2">
        <f t="shared" si="216"/>
        <v>1728173.55</v>
      </c>
      <c r="AS217" s="2">
        <f t="shared" si="216"/>
        <v>0</v>
      </c>
      <c r="AT217" s="2">
        <f t="shared" si="216"/>
        <v>0</v>
      </c>
      <c r="AU217" s="2">
        <f t="shared" si="216"/>
        <v>1728173.55</v>
      </c>
      <c r="AV217" s="2">
        <f t="shared" si="216"/>
        <v>823257.85</v>
      </c>
      <c r="AW217" s="2">
        <f t="shared" si="216"/>
        <v>823257.85</v>
      </c>
      <c r="AX217" s="2">
        <f t="shared" si="216"/>
        <v>0</v>
      </c>
      <c r="AY217" s="2">
        <f t="shared" si="216"/>
        <v>823257.85</v>
      </c>
      <c r="AZ217" s="2">
        <f t="shared" si="216"/>
        <v>0</v>
      </c>
      <c r="BA217" s="2">
        <f t="shared" si="216"/>
        <v>0</v>
      </c>
      <c r="BB217" s="2">
        <f t="shared" si="216"/>
        <v>0</v>
      </c>
      <c r="BC217" s="2">
        <f t="shared" si="216"/>
        <v>0</v>
      </c>
      <c r="BD217" s="2">
        <f t="shared" si="216"/>
        <v>0</v>
      </c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>
        <v>0</v>
      </c>
    </row>
    <row r="219" spans="1:206" x14ac:dyDescent="0.2">
      <c r="A219" s="4">
        <v>50</v>
      </c>
      <c r="B219" s="4">
        <v>0</v>
      </c>
      <c r="C219" s="4">
        <v>0</v>
      </c>
      <c r="D219" s="4">
        <v>1</v>
      </c>
      <c r="E219" s="4">
        <v>201</v>
      </c>
      <c r="F219" s="4">
        <f>ROUND(Source!O217,O219)</f>
        <v>1324696.28</v>
      </c>
      <c r="G219" s="4" t="s">
        <v>64</v>
      </c>
      <c r="H219" s="4" t="s">
        <v>65</v>
      </c>
      <c r="I219" s="4"/>
      <c r="J219" s="4"/>
      <c r="K219" s="4">
        <v>201</v>
      </c>
      <c r="L219" s="4">
        <v>1</v>
      </c>
      <c r="M219" s="4">
        <v>3</v>
      </c>
      <c r="N219" s="4" t="s">
        <v>3</v>
      </c>
      <c r="O219" s="4">
        <v>2</v>
      </c>
      <c r="P219" s="4"/>
      <c r="Q219" s="4"/>
      <c r="R219" s="4"/>
      <c r="S219" s="4"/>
      <c r="T219" s="4"/>
      <c r="U219" s="4"/>
      <c r="V219" s="4"/>
      <c r="W219" s="4">
        <v>1324696.28</v>
      </c>
      <c r="X219" s="4">
        <v>1</v>
      </c>
      <c r="Y219" s="4">
        <v>1324696.28</v>
      </c>
      <c r="Z219" s="4"/>
      <c r="AA219" s="4"/>
      <c r="AB219" s="4"/>
    </row>
    <row r="220" spans="1:206" x14ac:dyDescent="0.2">
      <c r="A220" s="4">
        <v>50</v>
      </c>
      <c r="B220" s="4">
        <v>0</v>
      </c>
      <c r="C220" s="4">
        <v>0</v>
      </c>
      <c r="D220" s="4">
        <v>1</v>
      </c>
      <c r="E220" s="4">
        <v>202</v>
      </c>
      <c r="F220" s="4">
        <f>ROUND(Source!P217,O220)</f>
        <v>823257.85</v>
      </c>
      <c r="G220" s="4" t="s">
        <v>66</v>
      </c>
      <c r="H220" s="4" t="s">
        <v>67</v>
      </c>
      <c r="I220" s="4"/>
      <c r="J220" s="4"/>
      <c r="K220" s="4">
        <v>202</v>
      </c>
      <c r="L220" s="4">
        <v>2</v>
      </c>
      <c r="M220" s="4">
        <v>3</v>
      </c>
      <c r="N220" s="4" t="s">
        <v>3</v>
      </c>
      <c r="O220" s="4">
        <v>2</v>
      </c>
      <c r="P220" s="4"/>
      <c r="Q220" s="4"/>
      <c r="R220" s="4"/>
      <c r="S220" s="4"/>
      <c r="T220" s="4"/>
      <c r="U220" s="4"/>
      <c r="V220" s="4"/>
      <c r="W220" s="4">
        <v>823257.85</v>
      </c>
      <c r="X220" s="4">
        <v>1</v>
      </c>
      <c r="Y220" s="4">
        <v>823257.85</v>
      </c>
      <c r="Z220" s="4"/>
      <c r="AA220" s="4"/>
      <c r="AB220" s="4"/>
    </row>
    <row r="221" spans="1:206" x14ac:dyDescent="0.2">
      <c r="A221" s="4">
        <v>50</v>
      </c>
      <c r="B221" s="4">
        <v>0</v>
      </c>
      <c r="C221" s="4">
        <v>0</v>
      </c>
      <c r="D221" s="4">
        <v>1</v>
      </c>
      <c r="E221" s="4">
        <v>222</v>
      </c>
      <c r="F221" s="4">
        <f>ROUND(Source!AO217,O221)</f>
        <v>0</v>
      </c>
      <c r="G221" s="4" t="s">
        <v>68</v>
      </c>
      <c r="H221" s="4" t="s">
        <v>69</v>
      </c>
      <c r="I221" s="4"/>
      <c r="J221" s="4"/>
      <c r="K221" s="4">
        <v>222</v>
      </c>
      <c r="L221" s="4">
        <v>3</v>
      </c>
      <c r="M221" s="4">
        <v>3</v>
      </c>
      <c r="N221" s="4" t="s">
        <v>3</v>
      </c>
      <c r="O221" s="4">
        <v>2</v>
      </c>
      <c r="P221" s="4"/>
      <c r="Q221" s="4"/>
      <c r="R221" s="4"/>
      <c r="S221" s="4"/>
      <c r="T221" s="4"/>
      <c r="U221" s="4"/>
      <c r="V221" s="4"/>
      <c r="W221" s="4">
        <v>0</v>
      </c>
      <c r="X221" s="4">
        <v>1</v>
      </c>
      <c r="Y221" s="4">
        <v>0</v>
      </c>
      <c r="Z221" s="4"/>
      <c r="AA221" s="4"/>
      <c r="AB221" s="4"/>
    </row>
    <row r="222" spans="1:206" x14ac:dyDescent="0.2">
      <c r="A222" s="4">
        <v>50</v>
      </c>
      <c r="B222" s="4">
        <v>0</v>
      </c>
      <c r="C222" s="4">
        <v>0</v>
      </c>
      <c r="D222" s="4">
        <v>1</v>
      </c>
      <c r="E222" s="4">
        <v>225</v>
      </c>
      <c r="F222" s="4">
        <f>ROUND(Source!AV217,O222)</f>
        <v>823257.85</v>
      </c>
      <c r="G222" s="4" t="s">
        <v>70</v>
      </c>
      <c r="H222" s="4" t="s">
        <v>71</v>
      </c>
      <c r="I222" s="4"/>
      <c r="J222" s="4"/>
      <c r="K222" s="4">
        <v>225</v>
      </c>
      <c r="L222" s="4">
        <v>4</v>
      </c>
      <c r="M222" s="4">
        <v>3</v>
      </c>
      <c r="N222" s="4" t="s">
        <v>3</v>
      </c>
      <c r="O222" s="4">
        <v>2</v>
      </c>
      <c r="P222" s="4"/>
      <c r="Q222" s="4"/>
      <c r="R222" s="4"/>
      <c r="S222" s="4"/>
      <c r="T222" s="4"/>
      <c r="U222" s="4"/>
      <c r="V222" s="4"/>
      <c r="W222" s="4">
        <v>823257.85</v>
      </c>
      <c r="X222" s="4">
        <v>1</v>
      </c>
      <c r="Y222" s="4">
        <v>823257.85</v>
      </c>
      <c r="Z222" s="4"/>
      <c r="AA222" s="4"/>
      <c r="AB222" s="4"/>
    </row>
    <row r="223" spans="1:206" x14ac:dyDescent="0.2">
      <c r="A223" s="4">
        <v>50</v>
      </c>
      <c r="B223" s="4">
        <v>0</v>
      </c>
      <c r="C223" s="4">
        <v>0</v>
      </c>
      <c r="D223" s="4">
        <v>1</v>
      </c>
      <c r="E223" s="4">
        <v>226</v>
      </c>
      <c r="F223" s="4">
        <f>ROUND(Source!AW217,O223)</f>
        <v>823257.85</v>
      </c>
      <c r="G223" s="4" t="s">
        <v>72</v>
      </c>
      <c r="H223" s="4" t="s">
        <v>73</v>
      </c>
      <c r="I223" s="4"/>
      <c r="J223" s="4"/>
      <c r="K223" s="4">
        <v>226</v>
      </c>
      <c r="L223" s="4">
        <v>5</v>
      </c>
      <c r="M223" s="4">
        <v>3</v>
      </c>
      <c r="N223" s="4" t="s">
        <v>3</v>
      </c>
      <c r="O223" s="4">
        <v>2</v>
      </c>
      <c r="P223" s="4"/>
      <c r="Q223" s="4"/>
      <c r="R223" s="4"/>
      <c r="S223" s="4"/>
      <c r="T223" s="4"/>
      <c r="U223" s="4"/>
      <c r="V223" s="4"/>
      <c r="W223" s="4">
        <v>823257.85</v>
      </c>
      <c r="X223" s="4">
        <v>1</v>
      </c>
      <c r="Y223" s="4">
        <v>823257.85</v>
      </c>
      <c r="Z223" s="4"/>
      <c r="AA223" s="4"/>
      <c r="AB223" s="4"/>
    </row>
    <row r="224" spans="1:206" x14ac:dyDescent="0.2">
      <c r="A224" s="4">
        <v>50</v>
      </c>
      <c r="B224" s="4">
        <v>0</v>
      </c>
      <c r="C224" s="4">
        <v>0</v>
      </c>
      <c r="D224" s="4">
        <v>1</v>
      </c>
      <c r="E224" s="4">
        <v>227</v>
      </c>
      <c r="F224" s="4">
        <f>ROUND(Source!AX217,O224)</f>
        <v>0</v>
      </c>
      <c r="G224" s="4" t="s">
        <v>74</v>
      </c>
      <c r="H224" s="4" t="s">
        <v>75</v>
      </c>
      <c r="I224" s="4"/>
      <c r="J224" s="4"/>
      <c r="K224" s="4">
        <v>227</v>
      </c>
      <c r="L224" s="4">
        <v>6</v>
      </c>
      <c r="M224" s="4">
        <v>3</v>
      </c>
      <c r="N224" s="4" t="s">
        <v>3</v>
      </c>
      <c r="O224" s="4">
        <v>2</v>
      </c>
      <c r="P224" s="4"/>
      <c r="Q224" s="4"/>
      <c r="R224" s="4"/>
      <c r="S224" s="4"/>
      <c r="T224" s="4"/>
      <c r="U224" s="4"/>
      <c r="V224" s="4"/>
      <c r="W224" s="4">
        <v>0</v>
      </c>
      <c r="X224" s="4">
        <v>1</v>
      </c>
      <c r="Y224" s="4">
        <v>0</v>
      </c>
      <c r="Z224" s="4"/>
      <c r="AA224" s="4"/>
      <c r="AB224" s="4"/>
    </row>
    <row r="225" spans="1:28" x14ac:dyDescent="0.2">
      <c r="A225" s="4">
        <v>50</v>
      </c>
      <c r="B225" s="4">
        <v>0</v>
      </c>
      <c r="C225" s="4">
        <v>0</v>
      </c>
      <c r="D225" s="4">
        <v>1</v>
      </c>
      <c r="E225" s="4">
        <v>228</v>
      </c>
      <c r="F225" s="4">
        <f>ROUND(Source!AY217,O225)</f>
        <v>823257.85</v>
      </c>
      <c r="G225" s="4" t="s">
        <v>76</v>
      </c>
      <c r="H225" s="4" t="s">
        <v>77</v>
      </c>
      <c r="I225" s="4"/>
      <c r="J225" s="4"/>
      <c r="K225" s="4">
        <v>228</v>
      </c>
      <c r="L225" s="4">
        <v>7</v>
      </c>
      <c r="M225" s="4">
        <v>3</v>
      </c>
      <c r="N225" s="4" t="s">
        <v>3</v>
      </c>
      <c r="O225" s="4">
        <v>2</v>
      </c>
      <c r="P225" s="4"/>
      <c r="Q225" s="4"/>
      <c r="R225" s="4"/>
      <c r="S225" s="4"/>
      <c r="T225" s="4"/>
      <c r="U225" s="4"/>
      <c r="V225" s="4"/>
      <c r="W225" s="4">
        <v>823257.85</v>
      </c>
      <c r="X225" s="4">
        <v>1</v>
      </c>
      <c r="Y225" s="4">
        <v>823257.85</v>
      </c>
      <c r="Z225" s="4"/>
      <c r="AA225" s="4"/>
      <c r="AB225" s="4"/>
    </row>
    <row r="226" spans="1:28" x14ac:dyDescent="0.2">
      <c r="A226" s="4">
        <v>50</v>
      </c>
      <c r="B226" s="4">
        <v>0</v>
      </c>
      <c r="C226" s="4">
        <v>0</v>
      </c>
      <c r="D226" s="4">
        <v>1</v>
      </c>
      <c r="E226" s="4">
        <v>216</v>
      </c>
      <c r="F226" s="4">
        <f>ROUND(Source!AP217,O226)</f>
        <v>0</v>
      </c>
      <c r="G226" s="4" t="s">
        <v>78</v>
      </c>
      <c r="H226" s="4" t="s">
        <v>79</v>
      </c>
      <c r="I226" s="4"/>
      <c r="J226" s="4"/>
      <c r="K226" s="4">
        <v>216</v>
      </c>
      <c r="L226" s="4">
        <v>8</v>
      </c>
      <c r="M226" s="4">
        <v>3</v>
      </c>
      <c r="N226" s="4" t="s">
        <v>3</v>
      </c>
      <c r="O226" s="4">
        <v>2</v>
      </c>
      <c r="P226" s="4"/>
      <c r="Q226" s="4"/>
      <c r="R226" s="4"/>
      <c r="S226" s="4"/>
      <c r="T226" s="4"/>
      <c r="U226" s="4"/>
      <c r="V226" s="4"/>
      <c r="W226" s="4">
        <v>0</v>
      </c>
      <c r="X226" s="4">
        <v>1</v>
      </c>
      <c r="Y226" s="4">
        <v>0</v>
      </c>
      <c r="Z226" s="4"/>
      <c r="AA226" s="4"/>
      <c r="AB226" s="4"/>
    </row>
    <row r="227" spans="1:28" x14ac:dyDescent="0.2">
      <c r="A227" s="4">
        <v>50</v>
      </c>
      <c r="B227" s="4">
        <v>0</v>
      </c>
      <c r="C227" s="4">
        <v>0</v>
      </c>
      <c r="D227" s="4">
        <v>1</v>
      </c>
      <c r="E227" s="4">
        <v>223</v>
      </c>
      <c r="F227" s="4">
        <f>ROUND(Source!AQ217,O227)</f>
        <v>0</v>
      </c>
      <c r="G227" s="4" t="s">
        <v>80</v>
      </c>
      <c r="H227" s="4" t="s">
        <v>81</v>
      </c>
      <c r="I227" s="4"/>
      <c r="J227" s="4"/>
      <c r="K227" s="4">
        <v>223</v>
      </c>
      <c r="L227" s="4">
        <v>9</v>
      </c>
      <c r="M227" s="4">
        <v>3</v>
      </c>
      <c r="N227" s="4" t="s">
        <v>3</v>
      </c>
      <c r="O227" s="4">
        <v>2</v>
      </c>
      <c r="P227" s="4"/>
      <c r="Q227" s="4"/>
      <c r="R227" s="4"/>
      <c r="S227" s="4"/>
      <c r="T227" s="4"/>
      <c r="U227" s="4"/>
      <c r="V227" s="4"/>
      <c r="W227" s="4">
        <v>0</v>
      </c>
      <c r="X227" s="4">
        <v>1</v>
      </c>
      <c r="Y227" s="4">
        <v>0</v>
      </c>
      <c r="Z227" s="4"/>
      <c r="AA227" s="4"/>
      <c r="AB227" s="4"/>
    </row>
    <row r="228" spans="1:28" x14ac:dyDescent="0.2">
      <c r="A228" s="4">
        <v>50</v>
      </c>
      <c r="B228" s="4">
        <v>0</v>
      </c>
      <c r="C228" s="4">
        <v>0</v>
      </c>
      <c r="D228" s="4">
        <v>1</v>
      </c>
      <c r="E228" s="4">
        <v>229</v>
      </c>
      <c r="F228" s="4">
        <f>ROUND(Source!AZ217,O228)</f>
        <v>0</v>
      </c>
      <c r="G228" s="4" t="s">
        <v>82</v>
      </c>
      <c r="H228" s="4" t="s">
        <v>83</v>
      </c>
      <c r="I228" s="4"/>
      <c r="J228" s="4"/>
      <c r="K228" s="4">
        <v>229</v>
      </c>
      <c r="L228" s="4">
        <v>10</v>
      </c>
      <c r="M228" s="4">
        <v>3</v>
      </c>
      <c r="N228" s="4" t="s">
        <v>3</v>
      </c>
      <c r="O228" s="4">
        <v>2</v>
      </c>
      <c r="P228" s="4"/>
      <c r="Q228" s="4"/>
      <c r="R228" s="4"/>
      <c r="S228" s="4"/>
      <c r="T228" s="4"/>
      <c r="U228" s="4"/>
      <c r="V228" s="4"/>
      <c r="W228" s="4">
        <v>0</v>
      </c>
      <c r="X228" s="4">
        <v>1</v>
      </c>
      <c r="Y228" s="4">
        <v>0</v>
      </c>
      <c r="Z228" s="4"/>
      <c r="AA228" s="4"/>
      <c r="AB228" s="4"/>
    </row>
    <row r="229" spans="1:28" x14ac:dyDescent="0.2">
      <c r="A229" s="4">
        <v>50</v>
      </c>
      <c r="B229" s="4">
        <v>0</v>
      </c>
      <c r="C229" s="4">
        <v>0</v>
      </c>
      <c r="D229" s="4">
        <v>1</v>
      </c>
      <c r="E229" s="4">
        <v>203</v>
      </c>
      <c r="F229" s="4">
        <f>ROUND(Source!Q217,O229)</f>
        <v>18608.830000000002</v>
      </c>
      <c r="G229" s="4" t="s">
        <v>84</v>
      </c>
      <c r="H229" s="4" t="s">
        <v>85</v>
      </c>
      <c r="I229" s="4"/>
      <c r="J229" s="4"/>
      <c r="K229" s="4">
        <v>203</v>
      </c>
      <c r="L229" s="4">
        <v>11</v>
      </c>
      <c r="M229" s="4">
        <v>3</v>
      </c>
      <c r="N229" s="4" t="s">
        <v>3</v>
      </c>
      <c r="O229" s="4">
        <v>2</v>
      </c>
      <c r="P229" s="4"/>
      <c r="Q229" s="4"/>
      <c r="R229" s="4"/>
      <c r="S229" s="4"/>
      <c r="T229" s="4"/>
      <c r="U229" s="4"/>
      <c r="V229" s="4"/>
      <c r="W229" s="4">
        <v>18608.830000000002</v>
      </c>
      <c r="X229" s="4">
        <v>1</v>
      </c>
      <c r="Y229" s="4">
        <v>18608.830000000002</v>
      </c>
      <c r="Z229" s="4"/>
      <c r="AA229" s="4"/>
      <c r="AB229" s="4"/>
    </row>
    <row r="230" spans="1:28" x14ac:dyDescent="0.2">
      <c r="A230" s="4">
        <v>50</v>
      </c>
      <c r="B230" s="4">
        <v>0</v>
      </c>
      <c r="C230" s="4">
        <v>0</v>
      </c>
      <c r="D230" s="4">
        <v>1</v>
      </c>
      <c r="E230" s="4">
        <v>231</v>
      </c>
      <c r="F230" s="4">
        <f>ROUND(Source!BB217,O230)</f>
        <v>0</v>
      </c>
      <c r="G230" s="4" t="s">
        <v>86</v>
      </c>
      <c r="H230" s="4" t="s">
        <v>87</v>
      </c>
      <c r="I230" s="4"/>
      <c r="J230" s="4"/>
      <c r="K230" s="4">
        <v>231</v>
      </c>
      <c r="L230" s="4">
        <v>12</v>
      </c>
      <c r="M230" s="4">
        <v>3</v>
      </c>
      <c r="N230" s="4" t="s">
        <v>3</v>
      </c>
      <c r="O230" s="4">
        <v>2</v>
      </c>
      <c r="P230" s="4"/>
      <c r="Q230" s="4"/>
      <c r="R230" s="4"/>
      <c r="S230" s="4"/>
      <c r="T230" s="4"/>
      <c r="U230" s="4"/>
      <c r="V230" s="4"/>
      <c r="W230" s="4">
        <v>0</v>
      </c>
      <c r="X230" s="4">
        <v>1</v>
      </c>
      <c r="Y230" s="4">
        <v>0</v>
      </c>
      <c r="Z230" s="4"/>
      <c r="AA230" s="4"/>
      <c r="AB230" s="4"/>
    </row>
    <row r="231" spans="1:28" x14ac:dyDescent="0.2">
      <c r="A231" s="4">
        <v>50</v>
      </c>
      <c r="B231" s="4">
        <v>0</v>
      </c>
      <c r="C231" s="4">
        <v>0</v>
      </c>
      <c r="D231" s="4">
        <v>1</v>
      </c>
      <c r="E231" s="4">
        <v>204</v>
      </c>
      <c r="F231" s="4">
        <f>ROUND(Source!R217,O231)</f>
        <v>15938.48</v>
      </c>
      <c r="G231" s="4" t="s">
        <v>88</v>
      </c>
      <c r="H231" s="4" t="s">
        <v>89</v>
      </c>
      <c r="I231" s="4"/>
      <c r="J231" s="4"/>
      <c r="K231" s="4">
        <v>204</v>
      </c>
      <c r="L231" s="4">
        <v>13</v>
      </c>
      <c r="M231" s="4">
        <v>3</v>
      </c>
      <c r="N231" s="4" t="s">
        <v>3</v>
      </c>
      <c r="O231" s="4">
        <v>2</v>
      </c>
      <c r="P231" s="4"/>
      <c r="Q231" s="4"/>
      <c r="R231" s="4"/>
      <c r="S231" s="4"/>
      <c r="T231" s="4"/>
      <c r="U231" s="4"/>
      <c r="V231" s="4"/>
      <c r="W231" s="4">
        <v>15938.48</v>
      </c>
      <c r="X231" s="4">
        <v>1</v>
      </c>
      <c r="Y231" s="4">
        <v>15938.48</v>
      </c>
      <c r="Z231" s="4"/>
      <c r="AA231" s="4"/>
      <c r="AB231" s="4"/>
    </row>
    <row r="232" spans="1:28" x14ac:dyDescent="0.2">
      <c r="A232" s="4">
        <v>50</v>
      </c>
      <c r="B232" s="4">
        <v>0</v>
      </c>
      <c r="C232" s="4">
        <v>0</v>
      </c>
      <c r="D232" s="4">
        <v>1</v>
      </c>
      <c r="E232" s="4">
        <v>205</v>
      </c>
      <c r="F232" s="4">
        <f>ROUND(Source!S217,O232)</f>
        <v>482829.6</v>
      </c>
      <c r="G232" s="4" t="s">
        <v>90</v>
      </c>
      <c r="H232" s="4" t="s">
        <v>91</v>
      </c>
      <c r="I232" s="4"/>
      <c r="J232" s="4"/>
      <c r="K232" s="4">
        <v>205</v>
      </c>
      <c r="L232" s="4">
        <v>14</v>
      </c>
      <c r="M232" s="4">
        <v>3</v>
      </c>
      <c r="N232" s="4" t="s">
        <v>3</v>
      </c>
      <c r="O232" s="4">
        <v>2</v>
      </c>
      <c r="P232" s="4"/>
      <c r="Q232" s="4"/>
      <c r="R232" s="4"/>
      <c r="S232" s="4"/>
      <c r="T232" s="4"/>
      <c r="U232" s="4"/>
      <c r="V232" s="4"/>
      <c r="W232" s="4">
        <v>482829.6</v>
      </c>
      <c r="X232" s="4">
        <v>1</v>
      </c>
      <c r="Y232" s="4">
        <v>482829.6</v>
      </c>
      <c r="Z232" s="4"/>
      <c r="AA232" s="4"/>
      <c r="AB232" s="4"/>
    </row>
    <row r="233" spans="1:28" x14ac:dyDescent="0.2">
      <c r="A233" s="4">
        <v>50</v>
      </c>
      <c r="B233" s="4">
        <v>0</v>
      </c>
      <c r="C233" s="4">
        <v>0</v>
      </c>
      <c r="D233" s="4">
        <v>1</v>
      </c>
      <c r="E233" s="4">
        <v>232</v>
      </c>
      <c r="F233" s="4">
        <f>ROUND(Source!BC217,O233)</f>
        <v>0</v>
      </c>
      <c r="G233" s="4" t="s">
        <v>92</v>
      </c>
      <c r="H233" s="4" t="s">
        <v>93</v>
      </c>
      <c r="I233" s="4"/>
      <c r="J233" s="4"/>
      <c r="K233" s="4">
        <v>232</v>
      </c>
      <c r="L233" s="4">
        <v>15</v>
      </c>
      <c r="M233" s="4">
        <v>3</v>
      </c>
      <c r="N233" s="4" t="s">
        <v>3</v>
      </c>
      <c r="O233" s="4">
        <v>2</v>
      </c>
      <c r="P233" s="4"/>
      <c r="Q233" s="4"/>
      <c r="R233" s="4"/>
      <c r="S233" s="4"/>
      <c r="T233" s="4"/>
      <c r="U233" s="4"/>
      <c r="V233" s="4"/>
      <c r="W233" s="4">
        <v>0</v>
      </c>
      <c r="X233" s="4">
        <v>1</v>
      </c>
      <c r="Y233" s="4">
        <v>0</v>
      </c>
      <c r="Z233" s="4"/>
      <c r="AA233" s="4"/>
      <c r="AB233" s="4"/>
    </row>
    <row r="234" spans="1:28" x14ac:dyDescent="0.2">
      <c r="A234" s="4">
        <v>50</v>
      </c>
      <c r="B234" s="4">
        <v>0</v>
      </c>
      <c r="C234" s="4">
        <v>0</v>
      </c>
      <c r="D234" s="4">
        <v>1</v>
      </c>
      <c r="E234" s="4">
        <v>214</v>
      </c>
      <c r="F234" s="4">
        <f>ROUND(Source!AS217,O234)</f>
        <v>0</v>
      </c>
      <c r="G234" s="4" t="s">
        <v>94</v>
      </c>
      <c r="H234" s="4" t="s">
        <v>95</v>
      </c>
      <c r="I234" s="4"/>
      <c r="J234" s="4"/>
      <c r="K234" s="4">
        <v>214</v>
      </c>
      <c r="L234" s="4">
        <v>16</v>
      </c>
      <c r="M234" s="4">
        <v>3</v>
      </c>
      <c r="N234" s="4" t="s">
        <v>3</v>
      </c>
      <c r="O234" s="4">
        <v>2</v>
      </c>
      <c r="P234" s="4"/>
      <c r="Q234" s="4"/>
      <c r="R234" s="4"/>
      <c r="S234" s="4"/>
      <c r="T234" s="4"/>
      <c r="U234" s="4"/>
      <c r="V234" s="4"/>
      <c r="W234" s="4">
        <v>0</v>
      </c>
      <c r="X234" s="4">
        <v>1</v>
      </c>
      <c r="Y234" s="4">
        <v>0</v>
      </c>
      <c r="Z234" s="4"/>
      <c r="AA234" s="4"/>
      <c r="AB234" s="4"/>
    </row>
    <row r="235" spans="1:28" x14ac:dyDescent="0.2">
      <c r="A235" s="4">
        <v>50</v>
      </c>
      <c r="B235" s="4">
        <v>0</v>
      </c>
      <c r="C235" s="4">
        <v>0</v>
      </c>
      <c r="D235" s="4">
        <v>1</v>
      </c>
      <c r="E235" s="4">
        <v>215</v>
      </c>
      <c r="F235" s="4">
        <f>ROUND(Source!AT217,O235)</f>
        <v>0</v>
      </c>
      <c r="G235" s="4" t="s">
        <v>96</v>
      </c>
      <c r="H235" s="4" t="s">
        <v>97</v>
      </c>
      <c r="I235" s="4"/>
      <c r="J235" s="4"/>
      <c r="K235" s="4">
        <v>215</v>
      </c>
      <c r="L235" s="4">
        <v>17</v>
      </c>
      <c r="M235" s="4">
        <v>3</v>
      </c>
      <c r="N235" s="4" t="s">
        <v>3</v>
      </c>
      <c r="O235" s="4">
        <v>2</v>
      </c>
      <c r="P235" s="4"/>
      <c r="Q235" s="4"/>
      <c r="R235" s="4"/>
      <c r="S235" s="4"/>
      <c r="T235" s="4"/>
      <c r="U235" s="4"/>
      <c r="V235" s="4"/>
      <c r="W235" s="4">
        <v>0</v>
      </c>
      <c r="X235" s="4">
        <v>1</v>
      </c>
      <c r="Y235" s="4">
        <v>0</v>
      </c>
      <c r="Z235" s="4"/>
      <c r="AA235" s="4"/>
      <c r="AB235" s="4"/>
    </row>
    <row r="236" spans="1:28" x14ac:dyDescent="0.2">
      <c r="A236" s="4">
        <v>50</v>
      </c>
      <c r="B236" s="4">
        <v>0</v>
      </c>
      <c r="C236" s="4">
        <v>0</v>
      </c>
      <c r="D236" s="4">
        <v>1</v>
      </c>
      <c r="E236" s="4">
        <v>217</v>
      </c>
      <c r="F236" s="4">
        <f>ROUND(Source!AU217,O236)</f>
        <v>1728173.55</v>
      </c>
      <c r="G236" s="4" t="s">
        <v>98</v>
      </c>
      <c r="H236" s="4" t="s">
        <v>99</v>
      </c>
      <c r="I236" s="4"/>
      <c r="J236" s="4"/>
      <c r="K236" s="4">
        <v>217</v>
      </c>
      <c r="L236" s="4">
        <v>18</v>
      </c>
      <c r="M236" s="4">
        <v>3</v>
      </c>
      <c r="N236" s="4" t="s">
        <v>3</v>
      </c>
      <c r="O236" s="4">
        <v>2</v>
      </c>
      <c r="P236" s="4"/>
      <c r="Q236" s="4"/>
      <c r="R236" s="4"/>
      <c r="S236" s="4"/>
      <c r="T236" s="4"/>
      <c r="U236" s="4"/>
      <c r="V236" s="4"/>
      <c r="W236" s="4">
        <v>1728173.55</v>
      </c>
      <c r="X236" s="4">
        <v>1</v>
      </c>
      <c r="Y236" s="4">
        <v>1728173.55</v>
      </c>
      <c r="Z236" s="4"/>
      <c r="AA236" s="4"/>
      <c r="AB236" s="4"/>
    </row>
    <row r="237" spans="1:28" x14ac:dyDescent="0.2">
      <c r="A237" s="4">
        <v>50</v>
      </c>
      <c r="B237" s="4">
        <v>0</v>
      </c>
      <c r="C237" s="4">
        <v>0</v>
      </c>
      <c r="D237" s="4">
        <v>1</v>
      </c>
      <c r="E237" s="4">
        <v>230</v>
      </c>
      <c r="F237" s="4">
        <f>ROUND(Source!BA217,O237)</f>
        <v>0</v>
      </c>
      <c r="G237" s="4" t="s">
        <v>100</v>
      </c>
      <c r="H237" s="4" t="s">
        <v>101</v>
      </c>
      <c r="I237" s="4"/>
      <c r="J237" s="4"/>
      <c r="K237" s="4">
        <v>230</v>
      </c>
      <c r="L237" s="4">
        <v>19</v>
      </c>
      <c r="M237" s="4">
        <v>3</v>
      </c>
      <c r="N237" s="4" t="s">
        <v>3</v>
      </c>
      <c r="O237" s="4">
        <v>2</v>
      </c>
      <c r="P237" s="4"/>
      <c r="Q237" s="4"/>
      <c r="R237" s="4"/>
      <c r="S237" s="4"/>
      <c r="T237" s="4"/>
      <c r="U237" s="4"/>
      <c r="V237" s="4"/>
      <c r="W237" s="4">
        <v>0</v>
      </c>
      <c r="X237" s="4">
        <v>1</v>
      </c>
      <c r="Y237" s="4">
        <v>0</v>
      </c>
      <c r="Z237" s="4"/>
      <c r="AA237" s="4"/>
      <c r="AB237" s="4"/>
    </row>
    <row r="238" spans="1:28" x14ac:dyDescent="0.2">
      <c r="A238" s="4">
        <v>50</v>
      </c>
      <c r="B238" s="4">
        <v>0</v>
      </c>
      <c r="C238" s="4">
        <v>0</v>
      </c>
      <c r="D238" s="4">
        <v>1</v>
      </c>
      <c r="E238" s="4">
        <v>206</v>
      </c>
      <c r="F238" s="4">
        <f>ROUND(Source!T217,O238)</f>
        <v>0</v>
      </c>
      <c r="G238" s="4" t="s">
        <v>102</v>
      </c>
      <c r="H238" s="4" t="s">
        <v>103</v>
      </c>
      <c r="I238" s="4"/>
      <c r="J238" s="4"/>
      <c r="K238" s="4">
        <v>206</v>
      </c>
      <c r="L238" s="4">
        <v>20</v>
      </c>
      <c r="M238" s="4">
        <v>3</v>
      </c>
      <c r="N238" s="4" t="s">
        <v>3</v>
      </c>
      <c r="O238" s="4">
        <v>2</v>
      </c>
      <c r="P238" s="4"/>
      <c r="Q238" s="4"/>
      <c r="R238" s="4"/>
      <c r="S238" s="4"/>
      <c r="T238" s="4"/>
      <c r="U238" s="4"/>
      <c r="V238" s="4"/>
      <c r="W238" s="4">
        <v>0</v>
      </c>
      <c r="X238" s="4">
        <v>1</v>
      </c>
      <c r="Y238" s="4">
        <v>0</v>
      </c>
      <c r="Z238" s="4"/>
      <c r="AA238" s="4"/>
      <c r="AB238" s="4"/>
    </row>
    <row r="239" spans="1:28" x14ac:dyDescent="0.2">
      <c r="A239" s="4">
        <v>50</v>
      </c>
      <c r="B239" s="4">
        <v>0</v>
      </c>
      <c r="C239" s="4">
        <v>0</v>
      </c>
      <c r="D239" s="4">
        <v>1</v>
      </c>
      <c r="E239" s="4">
        <v>207</v>
      </c>
      <c r="F239" s="4">
        <f>Source!U217</f>
        <v>1632.4503014000002</v>
      </c>
      <c r="G239" s="4" t="s">
        <v>104</v>
      </c>
      <c r="H239" s="4" t="s">
        <v>105</v>
      </c>
      <c r="I239" s="4"/>
      <c r="J239" s="4"/>
      <c r="K239" s="4">
        <v>207</v>
      </c>
      <c r="L239" s="4">
        <v>21</v>
      </c>
      <c r="M239" s="4">
        <v>3</v>
      </c>
      <c r="N239" s="4" t="s">
        <v>3</v>
      </c>
      <c r="O239" s="4">
        <v>-1</v>
      </c>
      <c r="P239" s="4"/>
      <c r="Q239" s="4"/>
      <c r="R239" s="4"/>
      <c r="S239" s="4"/>
      <c r="T239" s="4"/>
      <c r="U239" s="4"/>
      <c r="V239" s="4"/>
      <c r="W239" s="4">
        <v>1632.4503014000002</v>
      </c>
      <c r="X239" s="4">
        <v>1</v>
      </c>
      <c r="Y239" s="4">
        <v>1632.4503014000002</v>
      </c>
      <c r="Z239" s="4"/>
      <c r="AA239" s="4"/>
      <c r="AB239" s="4"/>
    </row>
    <row r="240" spans="1:28" x14ac:dyDescent="0.2">
      <c r="A240" s="4">
        <v>50</v>
      </c>
      <c r="B240" s="4">
        <v>0</v>
      </c>
      <c r="C240" s="4">
        <v>0</v>
      </c>
      <c r="D240" s="4">
        <v>1</v>
      </c>
      <c r="E240" s="4">
        <v>208</v>
      </c>
      <c r="F240" s="4">
        <f>Source!V217</f>
        <v>0</v>
      </c>
      <c r="G240" s="4" t="s">
        <v>106</v>
      </c>
      <c r="H240" s="4" t="s">
        <v>107</v>
      </c>
      <c r="I240" s="4"/>
      <c r="J240" s="4"/>
      <c r="K240" s="4">
        <v>208</v>
      </c>
      <c r="L240" s="4">
        <v>22</v>
      </c>
      <c r="M240" s="4">
        <v>3</v>
      </c>
      <c r="N240" s="4" t="s">
        <v>3</v>
      </c>
      <c r="O240" s="4">
        <v>-1</v>
      </c>
      <c r="P240" s="4"/>
      <c r="Q240" s="4"/>
      <c r="R240" s="4"/>
      <c r="S240" s="4"/>
      <c r="T240" s="4"/>
      <c r="U240" s="4"/>
      <c r="V240" s="4"/>
      <c r="W240" s="4">
        <v>0</v>
      </c>
      <c r="X240" s="4">
        <v>1</v>
      </c>
      <c r="Y240" s="4">
        <v>0</v>
      </c>
      <c r="Z240" s="4"/>
      <c r="AA240" s="4"/>
      <c r="AB240" s="4"/>
    </row>
    <row r="241" spans="1:245" x14ac:dyDescent="0.2">
      <c r="A241" s="4">
        <v>50</v>
      </c>
      <c r="B241" s="4">
        <v>0</v>
      </c>
      <c r="C241" s="4">
        <v>0</v>
      </c>
      <c r="D241" s="4">
        <v>1</v>
      </c>
      <c r="E241" s="4">
        <v>209</v>
      </c>
      <c r="F241" s="4">
        <f>ROUND(Source!W217,O241)</f>
        <v>0</v>
      </c>
      <c r="G241" s="4" t="s">
        <v>108</v>
      </c>
      <c r="H241" s="4" t="s">
        <v>109</v>
      </c>
      <c r="I241" s="4"/>
      <c r="J241" s="4"/>
      <c r="K241" s="4">
        <v>209</v>
      </c>
      <c r="L241" s="4">
        <v>23</v>
      </c>
      <c r="M241" s="4">
        <v>3</v>
      </c>
      <c r="N241" s="4" t="s">
        <v>3</v>
      </c>
      <c r="O241" s="4">
        <v>2</v>
      </c>
      <c r="P241" s="4"/>
      <c r="Q241" s="4"/>
      <c r="R241" s="4"/>
      <c r="S241" s="4"/>
      <c r="T241" s="4"/>
      <c r="U241" s="4"/>
      <c r="V241" s="4"/>
      <c r="W241" s="4">
        <v>0</v>
      </c>
      <c r="X241" s="4">
        <v>1</v>
      </c>
      <c r="Y241" s="4">
        <v>0</v>
      </c>
      <c r="Z241" s="4"/>
      <c r="AA241" s="4"/>
      <c r="AB241" s="4"/>
    </row>
    <row r="242" spans="1:245" x14ac:dyDescent="0.2">
      <c r="A242" s="4">
        <v>50</v>
      </c>
      <c r="B242" s="4">
        <v>0</v>
      </c>
      <c r="C242" s="4">
        <v>0</v>
      </c>
      <c r="D242" s="4">
        <v>1</v>
      </c>
      <c r="E242" s="4">
        <v>233</v>
      </c>
      <c r="F242" s="4">
        <f>ROUND(Source!BD217,O242)</f>
        <v>0</v>
      </c>
      <c r="G242" s="4" t="s">
        <v>110</v>
      </c>
      <c r="H242" s="4" t="s">
        <v>111</v>
      </c>
      <c r="I242" s="4"/>
      <c r="J242" s="4"/>
      <c r="K242" s="4">
        <v>233</v>
      </c>
      <c r="L242" s="4">
        <v>24</v>
      </c>
      <c r="M242" s="4">
        <v>3</v>
      </c>
      <c r="N242" s="4" t="s">
        <v>3</v>
      </c>
      <c r="O242" s="4">
        <v>2</v>
      </c>
      <c r="P242" s="4"/>
      <c r="Q242" s="4"/>
      <c r="R242" s="4"/>
      <c r="S242" s="4"/>
      <c r="T242" s="4"/>
      <c r="U242" s="4"/>
      <c r="V242" s="4"/>
      <c r="W242" s="4">
        <v>0</v>
      </c>
      <c r="X242" s="4">
        <v>1</v>
      </c>
      <c r="Y242" s="4">
        <v>0</v>
      </c>
      <c r="Z242" s="4"/>
      <c r="AA242" s="4"/>
      <c r="AB242" s="4"/>
    </row>
    <row r="243" spans="1:245" x14ac:dyDescent="0.2">
      <c r="A243" s="4">
        <v>50</v>
      </c>
      <c r="B243" s="4">
        <v>0</v>
      </c>
      <c r="C243" s="4">
        <v>0</v>
      </c>
      <c r="D243" s="4">
        <v>1</v>
      </c>
      <c r="E243" s="4">
        <v>210</v>
      </c>
      <c r="F243" s="4">
        <f>ROUND(Source!X217,O243)</f>
        <v>337980.74</v>
      </c>
      <c r="G243" s="4" t="s">
        <v>112</v>
      </c>
      <c r="H243" s="4" t="s">
        <v>113</v>
      </c>
      <c r="I243" s="4"/>
      <c r="J243" s="4"/>
      <c r="K243" s="4">
        <v>210</v>
      </c>
      <c r="L243" s="4">
        <v>25</v>
      </c>
      <c r="M243" s="4">
        <v>3</v>
      </c>
      <c r="N243" s="4" t="s">
        <v>3</v>
      </c>
      <c r="O243" s="4">
        <v>2</v>
      </c>
      <c r="P243" s="4"/>
      <c r="Q243" s="4"/>
      <c r="R243" s="4"/>
      <c r="S243" s="4"/>
      <c r="T243" s="4"/>
      <c r="U243" s="4"/>
      <c r="V243" s="4"/>
      <c r="W243" s="4">
        <v>337980.74</v>
      </c>
      <c r="X243" s="4">
        <v>1</v>
      </c>
      <c r="Y243" s="4">
        <v>337980.74</v>
      </c>
      <c r="Z243" s="4"/>
      <c r="AA243" s="4"/>
      <c r="AB243" s="4"/>
    </row>
    <row r="244" spans="1:245" x14ac:dyDescent="0.2">
      <c r="A244" s="4">
        <v>50</v>
      </c>
      <c r="B244" s="4">
        <v>0</v>
      </c>
      <c r="C244" s="4">
        <v>0</v>
      </c>
      <c r="D244" s="4">
        <v>1</v>
      </c>
      <c r="E244" s="4">
        <v>211</v>
      </c>
      <c r="F244" s="4">
        <f>ROUND(Source!Y217,O244)</f>
        <v>48282.97</v>
      </c>
      <c r="G244" s="4" t="s">
        <v>114</v>
      </c>
      <c r="H244" s="4" t="s">
        <v>115</v>
      </c>
      <c r="I244" s="4"/>
      <c r="J244" s="4"/>
      <c r="K244" s="4">
        <v>211</v>
      </c>
      <c r="L244" s="4">
        <v>26</v>
      </c>
      <c r="M244" s="4">
        <v>3</v>
      </c>
      <c r="N244" s="4" t="s">
        <v>3</v>
      </c>
      <c r="O244" s="4">
        <v>2</v>
      </c>
      <c r="P244" s="4"/>
      <c r="Q244" s="4"/>
      <c r="R244" s="4"/>
      <c r="S244" s="4"/>
      <c r="T244" s="4"/>
      <c r="U244" s="4"/>
      <c r="V244" s="4"/>
      <c r="W244" s="4">
        <v>48282.97</v>
      </c>
      <c r="X244" s="4">
        <v>1</v>
      </c>
      <c r="Y244" s="4">
        <v>48282.97</v>
      </c>
      <c r="Z244" s="4"/>
      <c r="AA244" s="4"/>
      <c r="AB244" s="4"/>
    </row>
    <row r="245" spans="1:245" x14ac:dyDescent="0.2">
      <c r="A245" s="4">
        <v>50</v>
      </c>
      <c r="B245" s="4">
        <v>0</v>
      </c>
      <c r="C245" s="4">
        <v>0</v>
      </c>
      <c r="D245" s="4">
        <v>1</v>
      </c>
      <c r="E245" s="4">
        <v>224</v>
      </c>
      <c r="F245" s="4">
        <f>ROUND(Source!AR217,O245)</f>
        <v>1728173.55</v>
      </c>
      <c r="G245" s="4" t="s">
        <v>116</v>
      </c>
      <c r="H245" s="4" t="s">
        <v>117</v>
      </c>
      <c r="I245" s="4"/>
      <c r="J245" s="4"/>
      <c r="K245" s="4">
        <v>224</v>
      </c>
      <c r="L245" s="4">
        <v>27</v>
      </c>
      <c r="M245" s="4">
        <v>3</v>
      </c>
      <c r="N245" s="4" t="s">
        <v>3</v>
      </c>
      <c r="O245" s="4">
        <v>2</v>
      </c>
      <c r="P245" s="4"/>
      <c r="Q245" s="4"/>
      <c r="R245" s="4"/>
      <c r="S245" s="4"/>
      <c r="T245" s="4"/>
      <c r="U245" s="4"/>
      <c r="V245" s="4"/>
      <c r="W245" s="4">
        <v>1728173.55</v>
      </c>
      <c r="X245" s="4">
        <v>1</v>
      </c>
      <c r="Y245" s="4">
        <v>1728173.55</v>
      </c>
      <c r="Z245" s="4"/>
      <c r="AA245" s="4"/>
      <c r="AB245" s="4"/>
    </row>
    <row r="247" spans="1:245" x14ac:dyDescent="0.2">
      <c r="A247" s="1">
        <v>4</v>
      </c>
      <c r="B247" s="1">
        <v>1</v>
      </c>
      <c r="C247" s="1"/>
      <c r="D247" s="1">
        <f>ROW(A424)</f>
        <v>424</v>
      </c>
      <c r="E247" s="1"/>
      <c r="F247" s="1" t="s">
        <v>13</v>
      </c>
      <c r="G247" s="1" t="s">
        <v>267</v>
      </c>
      <c r="H247" s="1" t="s">
        <v>3</v>
      </c>
      <c r="I247" s="1">
        <v>0</v>
      </c>
      <c r="J247" s="1"/>
      <c r="K247" s="1">
        <v>0</v>
      </c>
      <c r="L247" s="1"/>
      <c r="M247" s="1" t="s">
        <v>3</v>
      </c>
      <c r="N247" s="1"/>
      <c r="O247" s="1"/>
      <c r="P247" s="1"/>
      <c r="Q247" s="1"/>
      <c r="R247" s="1"/>
      <c r="S247" s="1">
        <v>0</v>
      </c>
      <c r="T247" s="1"/>
      <c r="U247" s="1" t="s">
        <v>3</v>
      </c>
      <c r="V247" s="1">
        <v>0</v>
      </c>
      <c r="W247" s="1"/>
      <c r="X247" s="1"/>
      <c r="Y247" s="1"/>
      <c r="Z247" s="1"/>
      <c r="AA247" s="1"/>
      <c r="AB247" s="1" t="s">
        <v>3</v>
      </c>
      <c r="AC247" s="1" t="s">
        <v>3</v>
      </c>
      <c r="AD247" s="1" t="s">
        <v>3</v>
      </c>
      <c r="AE247" s="1" t="s">
        <v>3</v>
      </c>
      <c r="AF247" s="1" t="s">
        <v>3</v>
      </c>
      <c r="AG247" s="1" t="s">
        <v>3</v>
      </c>
      <c r="AH247" s="1"/>
      <c r="AI247" s="1"/>
      <c r="AJ247" s="1"/>
      <c r="AK247" s="1"/>
      <c r="AL247" s="1"/>
      <c r="AM247" s="1"/>
      <c r="AN247" s="1"/>
      <c r="AO247" s="1"/>
      <c r="AP247" s="1" t="s">
        <v>3</v>
      </c>
      <c r="AQ247" s="1" t="s">
        <v>3</v>
      </c>
      <c r="AR247" s="1" t="s">
        <v>3</v>
      </c>
      <c r="AS247" s="1"/>
      <c r="AT247" s="1"/>
      <c r="AU247" s="1"/>
      <c r="AV247" s="1"/>
      <c r="AW247" s="1"/>
      <c r="AX247" s="1"/>
      <c r="AY247" s="1"/>
      <c r="AZ247" s="1" t="s">
        <v>3</v>
      </c>
      <c r="BA247" s="1"/>
      <c r="BB247" s="1" t="s">
        <v>3</v>
      </c>
      <c r="BC247" s="1" t="s">
        <v>3</v>
      </c>
      <c r="BD247" s="1" t="s">
        <v>3</v>
      </c>
      <c r="BE247" s="1" t="s">
        <v>3</v>
      </c>
      <c r="BF247" s="1" t="s">
        <v>3</v>
      </c>
      <c r="BG247" s="1" t="s">
        <v>3</v>
      </c>
      <c r="BH247" s="1" t="s">
        <v>3</v>
      </c>
      <c r="BI247" s="1" t="s">
        <v>3</v>
      </c>
      <c r="BJ247" s="1" t="s">
        <v>3</v>
      </c>
      <c r="BK247" s="1" t="s">
        <v>3</v>
      </c>
      <c r="BL247" s="1" t="s">
        <v>3</v>
      </c>
      <c r="BM247" s="1" t="s">
        <v>3</v>
      </c>
      <c r="BN247" s="1" t="s">
        <v>3</v>
      </c>
      <c r="BO247" s="1" t="s">
        <v>3</v>
      </c>
      <c r="BP247" s="1" t="s">
        <v>3</v>
      </c>
      <c r="BQ247" s="1"/>
      <c r="BR247" s="1"/>
      <c r="BS247" s="1"/>
      <c r="BT247" s="1"/>
      <c r="BU247" s="1"/>
      <c r="BV247" s="1"/>
      <c r="BW247" s="1"/>
      <c r="BX247" s="1">
        <v>0</v>
      </c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>
        <v>0</v>
      </c>
    </row>
    <row r="249" spans="1:245" x14ac:dyDescent="0.2">
      <c r="A249" s="2">
        <v>52</v>
      </c>
      <c r="B249" s="2">
        <f t="shared" ref="B249:G249" si="217">B424</f>
        <v>1</v>
      </c>
      <c r="C249" s="2">
        <f t="shared" si="217"/>
        <v>4</v>
      </c>
      <c r="D249" s="2">
        <f t="shared" si="217"/>
        <v>247</v>
      </c>
      <c r="E249" s="2">
        <f t="shared" si="217"/>
        <v>0</v>
      </c>
      <c r="F249" s="2" t="str">
        <f t="shared" si="217"/>
        <v>Новый раздел</v>
      </c>
      <c r="G249" s="2" t="str">
        <f t="shared" si="217"/>
        <v>2. Тренерская</v>
      </c>
      <c r="H249" s="2"/>
      <c r="I249" s="2"/>
      <c r="J249" s="2"/>
      <c r="K249" s="2"/>
      <c r="L249" s="2"/>
      <c r="M249" s="2"/>
      <c r="N249" s="2"/>
      <c r="O249" s="2">
        <f t="shared" ref="O249:AT249" si="218">O424</f>
        <v>296763.56</v>
      </c>
      <c r="P249" s="2">
        <f t="shared" si="218"/>
        <v>188016.85</v>
      </c>
      <c r="Q249" s="2">
        <f t="shared" si="218"/>
        <v>288.57</v>
      </c>
      <c r="R249" s="2">
        <f t="shared" si="218"/>
        <v>91.01</v>
      </c>
      <c r="S249" s="2">
        <f t="shared" si="218"/>
        <v>108458.14</v>
      </c>
      <c r="T249" s="2">
        <f t="shared" si="218"/>
        <v>0</v>
      </c>
      <c r="U249" s="2">
        <f t="shared" si="218"/>
        <v>347.447024</v>
      </c>
      <c r="V249" s="2">
        <f t="shared" si="218"/>
        <v>0</v>
      </c>
      <c r="W249" s="2">
        <f t="shared" si="218"/>
        <v>0</v>
      </c>
      <c r="X249" s="2">
        <f t="shared" si="218"/>
        <v>75920.7</v>
      </c>
      <c r="Y249" s="2">
        <f t="shared" si="218"/>
        <v>10845.82</v>
      </c>
      <c r="Z249" s="2">
        <f t="shared" si="218"/>
        <v>0</v>
      </c>
      <c r="AA249" s="2">
        <f t="shared" si="218"/>
        <v>0</v>
      </c>
      <c r="AB249" s="2">
        <f t="shared" si="218"/>
        <v>0</v>
      </c>
      <c r="AC249" s="2">
        <f t="shared" si="218"/>
        <v>0</v>
      </c>
      <c r="AD249" s="2">
        <f t="shared" si="218"/>
        <v>0</v>
      </c>
      <c r="AE249" s="2">
        <f t="shared" si="218"/>
        <v>0</v>
      </c>
      <c r="AF249" s="2">
        <f t="shared" si="218"/>
        <v>0</v>
      </c>
      <c r="AG249" s="2">
        <f t="shared" si="218"/>
        <v>0</v>
      </c>
      <c r="AH249" s="2">
        <f t="shared" si="218"/>
        <v>0</v>
      </c>
      <c r="AI249" s="2">
        <f t="shared" si="218"/>
        <v>0</v>
      </c>
      <c r="AJ249" s="2">
        <f t="shared" si="218"/>
        <v>0</v>
      </c>
      <c r="AK249" s="2">
        <f t="shared" si="218"/>
        <v>0</v>
      </c>
      <c r="AL249" s="2">
        <f t="shared" si="218"/>
        <v>0</v>
      </c>
      <c r="AM249" s="2">
        <f t="shared" si="218"/>
        <v>0</v>
      </c>
      <c r="AN249" s="2">
        <f t="shared" si="218"/>
        <v>0</v>
      </c>
      <c r="AO249" s="2">
        <f t="shared" si="218"/>
        <v>0</v>
      </c>
      <c r="AP249" s="2">
        <f t="shared" si="218"/>
        <v>0</v>
      </c>
      <c r="AQ249" s="2">
        <f t="shared" si="218"/>
        <v>0</v>
      </c>
      <c r="AR249" s="2">
        <f t="shared" si="218"/>
        <v>383628.37</v>
      </c>
      <c r="AS249" s="2">
        <f t="shared" si="218"/>
        <v>0</v>
      </c>
      <c r="AT249" s="2">
        <f t="shared" si="218"/>
        <v>0</v>
      </c>
      <c r="AU249" s="2">
        <f t="shared" ref="AU249:BZ249" si="219">AU424</f>
        <v>383628.37</v>
      </c>
      <c r="AV249" s="2">
        <f t="shared" si="219"/>
        <v>188016.85</v>
      </c>
      <c r="AW249" s="2">
        <f t="shared" si="219"/>
        <v>188016.85</v>
      </c>
      <c r="AX249" s="2">
        <f t="shared" si="219"/>
        <v>0</v>
      </c>
      <c r="AY249" s="2">
        <f t="shared" si="219"/>
        <v>188016.85</v>
      </c>
      <c r="AZ249" s="2">
        <f t="shared" si="219"/>
        <v>0</v>
      </c>
      <c r="BA249" s="2">
        <f t="shared" si="219"/>
        <v>0</v>
      </c>
      <c r="BB249" s="2">
        <f t="shared" si="219"/>
        <v>0</v>
      </c>
      <c r="BC249" s="2">
        <f t="shared" si="219"/>
        <v>0</v>
      </c>
      <c r="BD249" s="2">
        <f t="shared" si="219"/>
        <v>0</v>
      </c>
      <c r="BE249" s="2">
        <f t="shared" si="219"/>
        <v>0</v>
      </c>
      <c r="BF249" s="2">
        <f t="shared" si="219"/>
        <v>0</v>
      </c>
      <c r="BG249" s="2">
        <f t="shared" si="219"/>
        <v>0</v>
      </c>
      <c r="BH249" s="2">
        <f t="shared" si="219"/>
        <v>0</v>
      </c>
      <c r="BI249" s="2">
        <f t="shared" si="219"/>
        <v>0</v>
      </c>
      <c r="BJ249" s="2">
        <f t="shared" si="219"/>
        <v>0</v>
      </c>
      <c r="BK249" s="2">
        <f t="shared" si="219"/>
        <v>0</v>
      </c>
      <c r="BL249" s="2">
        <f t="shared" si="219"/>
        <v>0</v>
      </c>
      <c r="BM249" s="2">
        <f t="shared" si="219"/>
        <v>0</v>
      </c>
      <c r="BN249" s="2">
        <f t="shared" si="219"/>
        <v>0</v>
      </c>
      <c r="BO249" s="2">
        <f t="shared" si="219"/>
        <v>0</v>
      </c>
      <c r="BP249" s="2">
        <f t="shared" si="219"/>
        <v>0</v>
      </c>
      <c r="BQ249" s="2">
        <f t="shared" si="219"/>
        <v>0</v>
      </c>
      <c r="BR249" s="2">
        <f t="shared" si="219"/>
        <v>0</v>
      </c>
      <c r="BS249" s="2">
        <f t="shared" si="219"/>
        <v>0</v>
      </c>
      <c r="BT249" s="2">
        <f t="shared" si="219"/>
        <v>0</v>
      </c>
      <c r="BU249" s="2">
        <f t="shared" si="219"/>
        <v>0</v>
      </c>
      <c r="BV249" s="2">
        <f t="shared" si="219"/>
        <v>0</v>
      </c>
      <c r="BW249" s="2">
        <f t="shared" si="219"/>
        <v>0</v>
      </c>
      <c r="BX249" s="2">
        <f t="shared" si="219"/>
        <v>0</v>
      </c>
      <c r="BY249" s="2">
        <f t="shared" si="219"/>
        <v>0</v>
      </c>
      <c r="BZ249" s="2">
        <f t="shared" si="219"/>
        <v>0</v>
      </c>
      <c r="CA249" s="2">
        <f t="shared" ref="CA249:DF249" si="220">CA424</f>
        <v>0</v>
      </c>
      <c r="CB249" s="2">
        <f t="shared" si="220"/>
        <v>0</v>
      </c>
      <c r="CC249" s="2">
        <f t="shared" si="220"/>
        <v>0</v>
      </c>
      <c r="CD249" s="2">
        <f t="shared" si="220"/>
        <v>0</v>
      </c>
      <c r="CE249" s="2">
        <f t="shared" si="220"/>
        <v>0</v>
      </c>
      <c r="CF249" s="2">
        <f t="shared" si="220"/>
        <v>0</v>
      </c>
      <c r="CG249" s="2">
        <f t="shared" si="220"/>
        <v>0</v>
      </c>
      <c r="CH249" s="2">
        <f t="shared" si="220"/>
        <v>0</v>
      </c>
      <c r="CI249" s="2">
        <f t="shared" si="220"/>
        <v>0</v>
      </c>
      <c r="CJ249" s="2">
        <f t="shared" si="220"/>
        <v>0</v>
      </c>
      <c r="CK249" s="2">
        <f t="shared" si="220"/>
        <v>0</v>
      </c>
      <c r="CL249" s="2">
        <f t="shared" si="220"/>
        <v>0</v>
      </c>
      <c r="CM249" s="2">
        <f t="shared" si="220"/>
        <v>0</v>
      </c>
      <c r="CN249" s="2">
        <f t="shared" si="220"/>
        <v>0</v>
      </c>
      <c r="CO249" s="2">
        <f t="shared" si="220"/>
        <v>0</v>
      </c>
      <c r="CP249" s="2">
        <f t="shared" si="220"/>
        <v>0</v>
      </c>
      <c r="CQ249" s="2">
        <f t="shared" si="220"/>
        <v>0</v>
      </c>
      <c r="CR249" s="2">
        <f t="shared" si="220"/>
        <v>0</v>
      </c>
      <c r="CS249" s="2">
        <f t="shared" si="220"/>
        <v>0</v>
      </c>
      <c r="CT249" s="2">
        <f t="shared" si="220"/>
        <v>0</v>
      </c>
      <c r="CU249" s="2">
        <f t="shared" si="220"/>
        <v>0</v>
      </c>
      <c r="CV249" s="2">
        <f t="shared" si="220"/>
        <v>0</v>
      </c>
      <c r="CW249" s="2">
        <f t="shared" si="220"/>
        <v>0</v>
      </c>
      <c r="CX249" s="2">
        <f t="shared" si="220"/>
        <v>0</v>
      </c>
      <c r="CY249" s="2">
        <f t="shared" si="220"/>
        <v>0</v>
      </c>
      <c r="CZ249" s="2">
        <f t="shared" si="220"/>
        <v>0</v>
      </c>
      <c r="DA249" s="2">
        <f t="shared" si="220"/>
        <v>0</v>
      </c>
      <c r="DB249" s="2">
        <f t="shared" si="220"/>
        <v>0</v>
      </c>
      <c r="DC249" s="2">
        <f t="shared" si="220"/>
        <v>0</v>
      </c>
      <c r="DD249" s="2">
        <f t="shared" si="220"/>
        <v>0</v>
      </c>
      <c r="DE249" s="2">
        <f t="shared" si="220"/>
        <v>0</v>
      </c>
      <c r="DF249" s="2">
        <f t="shared" si="220"/>
        <v>0</v>
      </c>
      <c r="DG249" s="3">
        <f t="shared" ref="DG249:EL249" si="221">DG424</f>
        <v>0</v>
      </c>
      <c r="DH249" s="3">
        <f t="shared" si="221"/>
        <v>0</v>
      </c>
      <c r="DI249" s="3">
        <f t="shared" si="221"/>
        <v>0</v>
      </c>
      <c r="DJ249" s="3">
        <f t="shared" si="221"/>
        <v>0</v>
      </c>
      <c r="DK249" s="3">
        <f t="shared" si="221"/>
        <v>0</v>
      </c>
      <c r="DL249" s="3">
        <f t="shared" si="221"/>
        <v>0</v>
      </c>
      <c r="DM249" s="3">
        <f t="shared" si="221"/>
        <v>0</v>
      </c>
      <c r="DN249" s="3">
        <f t="shared" si="221"/>
        <v>0</v>
      </c>
      <c r="DO249" s="3">
        <f t="shared" si="221"/>
        <v>0</v>
      </c>
      <c r="DP249" s="3">
        <f t="shared" si="221"/>
        <v>0</v>
      </c>
      <c r="DQ249" s="3">
        <f t="shared" si="221"/>
        <v>0</v>
      </c>
      <c r="DR249" s="3">
        <f t="shared" si="221"/>
        <v>0</v>
      </c>
      <c r="DS249" s="3">
        <f t="shared" si="221"/>
        <v>0</v>
      </c>
      <c r="DT249" s="3">
        <f t="shared" si="221"/>
        <v>0</v>
      </c>
      <c r="DU249" s="3">
        <f t="shared" si="221"/>
        <v>0</v>
      </c>
      <c r="DV249" s="3">
        <f t="shared" si="221"/>
        <v>0</v>
      </c>
      <c r="DW249" s="3">
        <f t="shared" si="221"/>
        <v>0</v>
      </c>
      <c r="DX249" s="3">
        <f t="shared" si="221"/>
        <v>0</v>
      </c>
      <c r="DY249" s="3">
        <f t="shared" si="221"/>
        <v>0</v>
      </c>
      <c r="DZ249" s="3">
        <f t="shared" si="221"/>
        <v>0</v>
      </c>
      <c r="EA249" s="3">
        <f t="shared" si="221"/>
        <v>0</v>
      </c>
      <c r="EB249" s="3">
        <f t="shared" si="221"/>
        <v>0</v>
      </c>
      <c r="EC249" s="3">
        <f t="shared" si="221"/>
        <v>0</v>
      </c>
      <c r="ED249" s="3">
        <f t="shared" si="221"/>
        <v>0</v>
      </c>
      <c r="EE249" s="3">
        <f t="shared" si="221"/>
        <v>0</v>
      </c>
      <c r="EF249" s="3">
        <f t="shared" si="221"/>
        <v>0</v>
      </c>
      <c r="EG249" s="3">
        <f t="shared" si="221"/>
        <v>0</v>
      </c>
      <c r="EH249" s="3">
        <f t="shared" si="221"/>
        <v>0</v>
      </c>
      <c r="EI249" s="3">
        <f t="shared" si="221"/>
        <v>0</v>
      </c>
      <c r="EJ249" s="3">
        <f t="shared" si="221"/>
        <v>0</v>
      </c>
      <c r="EK249" s="3">
        <f t="shared" si="221"/>
        <v>0</v>
      </c>
      <c r="EL249" s="3">
        <f t="shared" si="221"/>
        <v>0</v>
      </c>
      <c r="EM249" s="3">
        <f t="shared" ref="EM249:FR249" si="222">EM424</f>
        <v>0</v>
      </c>
      <c r="EN249" s="3">
        <f t="shared" si="222"/>
        <v>0</v>
      </c>
      <c r="EO249" s="3">
        <f t="shared" si="222"/>
        <v>0</v>
      </c>
      <c r="EP249" s="3">
        <f t="shared" si="222"/>
        <v>0</v>
      </c>
      <c r="EQ249" s="3">
        <f t="shared" si="222"/>
        <v>0</v>
      </c>
      <c r="ER249" s="3">
        <f t="shared" si="222"/>
        <v>0</v>
      </c>
      <c r="ES249" s="3">
        <f t="shared" si="222"/>
        <v>0</v>
      </c>
      <c r="ET249" s="3">
        <f t="shared" si="222"/>
        <v>0</v>
      </c>
      <c r="EU249" s="3">
        <f t="shared" si="222"/>
        <v>0</v>
      </c>
      <c r="EV249" s="3">
        <f t="shared" si="222"/>
        <v>0</v>
      </c>
      <c r="EW249" s="3">
        <f t="shared" si="222"/>
        <v>0</v>
      </c>
      <c r="EX249" s="3">
        <f t="shared" si="222"/>
        <v>0</v>
      </c>
      <c r="EY249" s="3">
        <f t="shared" si="222"/>
        <v>0</v>
      </c>
      <c r="EZ249" s="3">
        <f t="shared" si="222"/>
        <v>0</v>
      </c>
      <c r="FA249" s="3">
        <f t="shared" si="222"/>
        <v>0</v>
      </c>
      <c r="FB249" s="3">
        <f t="shared" si="222"/>
        <v>0</v>
      </c>
      <c r="FC249" s="3">
        <f t="shared" si="222"/>
        <v>0</v>
      </c>
      <c r="FD249" s="3">
        <f t="shared" si="222"/>
        <v>0</v>
      </c>
      <c r="FE249" s="3">
        <f t="shared" si="222"/>
        <v>0</v>
      </c>
      <c r="FF249" s="3">
        <f t="shared" si="222"/>
        <v>0</v>
      </c>
      <c r="FG249" s="3">
        <f t="shared" si="222"/>
        <v>0</v>
      </c>
      <c r="FH249" s="3">
        <f t="shared" si="222"/>
        <v>0</v>
      </c>
      <c r="FI249" s="3">
        <f t="shared" si="222"/>
        <v>0</v>
      </c>
      <c r="FJ249" s="3">
        <f t="shared" si="222"/>
        <v>0</v>
      </c>
      <c r="FK249" s="3">
        <f t="shared" si="222"/>
        <v>0</v>
      </c>
      <c r="FL249" s="3">
        <f t="shared" si="222"/>
        <v>0</v>
      </c>
      <c r="FM249" s="3">
        <f t="shared" si="222"/>
        <v>0</v>
      </c>
      <c r="FN249" s="3">
        <f t="shared" si="222"/>
        <v>0</v>
      </c>
      <c r="FO249" s="3">
        <f t="shared" si="222"/>
        <v>0</v>
      </c>
      <c r="FP249" s="3">
        <f t="shared" si="222"/>
        <v>0</v>
      </c>
      <c r="FQ249" s="3">
        <f t="shared" si="222"/>
        <v>0</v>
      </c>
      <c r="FR249" s="3">
        <f t="shared" si="222"/>
        <v>0</v>
      </c>
      <c r="FS249" s="3">
        <f t="shared" ref="FS249:GX249" si="223">FS424</f>
        <v>0</v>
      </c>
      <c r="FT249" s="3">
        <f t="shared" si="223"/>
        <v>0</v>
      </c>
      <c r="FU249" s="3">
        <f t="shared" si="223"/>
        <v>0</v>
      </c>
      <c r="FV249" s="3">
        <f t="shared" si="223"/>
        <v>0</v>
      </c>
      <c r="FW249" s="3">
        <f t="shared" si="223"/>
        <v>0</v>
      </c>
      <c r="FX249" s="3">
        <f t="shared" si="223"/>
        <v>0</v>
      </c>
      <c r="FY249" s="3">
        <f t="shared" si="223"/>
        <v>0</v>
      </c>
      <c r="FZ249" s="3">
        <f t="shared" si="223"/>
        <v>0</v>
      </c>
      <c r="GA249" s="3">
        <f t="shared" si="223"/>
        <v>0</v>
      </c>
      <c r="GB249" s="3">
        <f t="shared" si="223"/>
        <v>0</v>
      </c>
      <c r="GC249" s="3">
        <f t="shared" si="223"/>
        <v>0</v>
      </c>
      <c r="GD249" s="3">
        <f t="shared" si="223"/>
        <v>0</v>
      </c>
      <c r="GE249" s="3">
        <f t="shared" si="223"/>
        <v>0</v>
      </c>
      <c r="GF249" s="3">
        <f t="shared" si="223"/>
        <v>0</v>
      </c>
      <c r="GG249" s="3">
        <f t="shared" si="223"/>
        <v>0</v>
      </c>
      <c r="GH249" s="3">
        <f t="shared" si="223"/>
        <v>0</v>
      </c>
      <c r="GI249" s="3">
        <f t="shared" si="223"/>
        <v>0</v>
      </c>
      <c r="GJ249" s="3">
        <f t="shared" si="223"/>
        <v>0</v>
      </c>
      <c r="GK249" s="3">
        <f t="shared" si="223"/>
        <v>0</v>
      </c>
      <c r="GL249" s="3">
        <f t="shared" si="223"/>
        <v>0</v>
      </c>
      <c r="GM249" s="3">
        <f t="shared" si="223"/>
        <v>0</v>
      </c>
      <c r="GN249" s="3">
        <f t="shared" si="223"/>
        <v>0</v>
      </c>
      <c r="GO249" s="3">
        <f t="shared" si="223"/>
        <v>0</v>
      </c>
      <c r="GP249" s="3">
        <f t="shared" si="223"/>
        <v>0</v>
      </c>
      <c r="GQ249" s="3">
        <f t="shared" si="223"/>
        <v>0</v>
      </c>
      <c r="GR249" s="3">
        <f t="shared" si="223"/>
        <v>0</v>
      </c>
      <c r="GS249" s="3">
        <f t="shared" si="223"/>
        <v>0</v>
      </c>
      <c r="GT249" s="3">
        <f t="shared" si="223"/>
        <v>0</v>
      </c>
      <c r="GU249" s="3">
        <f t="shared" si="223"/>
        <v>0</v>
      </c>
      <c r="GV249" s="3">
        <f t="shared" si="223"/>
        <v>0</v>
      </c>
      <c r="GW249" s="3">
        <f t="shared" si="223"/>
        <v>0</v>
      </c>
      <c r="GX249" s="3">
        <f t="shared" si="223"/>
        <v>0</v>
      </c>
    </row>
    <row r="251" spans="1:245" x14ac:dyDescent="0.2">
      <c r="A251" s="1">
        <v>5</v>
      </c>
      <c r="B251" s="1">
        <v>1</v>
      </c>
      <c r="C251" s="1"/>
      <c r="D251" s="1">
        <f>ROW(A264)</f>
        <v>264</v>
      </c>
      <c r="E251" s="1"/>
      <c r="F251" s="1" t="s">
        <v>15</v>
      </c>
      <c r="G251" s="1" t="s">
        <v>268</v>
      </c>
      <c r="H251" s="1" t="s">
        <v>3</v>
      </c>
      <c r="I251" s="1">
        <v>0</v>
      </c>
      <c r="J251" s="1"/>
      <c r="K251" s="1">
        <v>-1</v>
      </c>
      <c r="L251" s="1"/>
      <c r="M251" s="1" t="s">
        <v>3</v>
      </c>
      <c r="N251" s="1"/>
      <c r="O251" s="1"/>
      <c r="P251" s="1"/>
      <c r="Q251" s="1"/>
      <c r="R251" s="1"/>
      <c r="S251" s="1">
        <v>0</v>
      </c>
      <c r="T251" s="1"/>
      <c r="U251" s="1" t="s">
        <v>3</v>
      </c>
      <c r="V251" s="1">
        <v>0</v>
      </c>
      <c r="W251" s="1"/>
      <c r="X251" s="1"/>
      <c r="Y251" s="1"/>
      <c r="Z251" s="1"/>
      <c r="AA251" s="1"/>
      <c r="AB251" s="1" t="s">
        <v>3</v>
      </c>
      <c r="AC251" s="1" t="s">
        <v>3</v>
      </c>
      <c r="AD251" s="1" t="s">
        <v>3</v>
      </c>
      <c r="AE251" s="1" t="s">
        <v>3</v>
      </c>
      <c r="AF251" s="1" t="s">
        <v>3</v>
      </c>
      <c r="AG251" s="1" t="s">
        <v>3</v>
      </c>
      <c r="AH251" s="1"/>
      <c r="AI251" s="1"/>
      <c r="AJ251" s="1"/>
      <c r="AK251" s="1"/>
      <c r="AL251" s="1"/>
      <c r="AM251" s="1"/>
      <c r="AN251" s="1"/>
      <c r="AO251" s="1"/>
      <c r="AP251" s="1" t="s">
        <v>3</v>
      </c>
      <c r="AQ251" s="1" t="s">
        <v>3</v>
      </c>
      <c r="AR251" s="1" t="s">
        <v>3</v>
      </c>
      <c r="AS251" s="1"/>
      <c r="AT251" s="1"/>
      <c r="AU251" s="1"/>
      <c r="AV251" s="1"/>
      <c r="AW251" s="1"/>
      <c r="AX251" s="1"/>
      <c r="AY251" s="1"/>
      <c r="AZ251" s="1" t="s">
        <v>3</v>
      </c>
      <c r="BA251" s="1"/>
      <c r="BB251" s="1" t="s">
        <v>3</v>
      </c>
      <c r="BC251" s="1" t="s">
        <v>3</v>
      </c>
      <c r="BD251" s="1" t="s">
        <v>3</v>
      </c>
      <c r="BE251" s="1" t="s">
        <v>3</v>
      </c>
      <c r="BF251" s="1" t="s">
        <v>3</v>
      </c>
      <c r="BG251" s="1" t="s">
        <v>3</v>
      </c>
      <c r="BH251" s="1" t="s">
        <v>3</v>
      </c>
      <c r="BI251" s="1" t="s">
        <v>3</v>
      </c>
      <c r="BJ251" s="1" t="s">
        <v>3</v>
      </c>
      <c r="BK251" s="1" t="s">
        <v>3</v>
      </c>
      <c r="BL251" s="1" t="s">
        <v>3</v>
      </c>
      <c r="BM251" s="1" t="s">
        <v>3</v>
      </c>
      <c r="BN251" s="1" t="s">
        <v>3</v>
      </c>
      <c r="BO251" s="1" t="s">
        <v>3</v>
      </c>
      <c r="BP251" s="1" t="s">
        <v>3</v>
      </c>
      <c r="BQ251" s="1"/>
      <c r="BR251" s="1"/>
      <c r="BS251" s="1"/>
      <c r="BT251" s="1"/>
      <c r="BU251" s="1"/>
      <c r="BV251" s="1"/>
      <c r="BW251" s="1"/>
      <c r="BX251" s="1">
        <v>0</v>
      </c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>
        <v>0</v>
      </c>
    </row>
    <row r="253" spans="1:245" x14ac:dyDescent="0.2">
      <c r="A253" s="2">
        <v>52</v>
      </c>
      <c r="B253" s="2">
        <f t="shared" ref="B253:G253" si="224">B264</f>
        <v>1</v>
      </c>
      <c r="C253" s="2">
        <f t="shared" si="224"/>
        <v>5</v>
      </c>
      <c r="D253" s="2">
        <f t="shared" si="224"/>
        <v>251</v>
      </c>
      <c r="E253" s="2">
        <f t="shared" si="224"/>
        <v>0</v>
      </c>
      <c r="F253" s="2" t="str">
        <f t="shared" si="224"/>
        <v>Новый подраздел</v>
      </c>
      <c r="G253" s="2" t="str">
        <f t="shared" si="224"/>
        <v>2.1 Тренерская</v>
      </c>
      <c r="H253" s="2"/>
      <c r="I253" s="2"/>
      <c r="J253" s="2"/>
      <c r="K253" s="2"/>
      <c r="L253" s="2"/>
      <c r="M253" s="2"/>
      <c r="N253" s="2"/>
      <c r="O253" s="2">
        <f t="shared" ref="O253:AT253" si="225">O264</f>
        <v>5343.62</v>
      </c>
      <c r="P253" s="2">
        <f t="shared" si="225"/>
        <v>30.97</v>
      </c>
      <c r="Q253" s="2">
        <f t="shared" si="225"/>
        <v>2.1800000000000002</v>
      </c>
      <c r="R253" s="2">
        <f t="shared" si="225"/>
        <v>0.05</v>
      </c>
      <c r="S253" s="2">
        <f t="shared" si="225"/>
        <v>5310.47</v>
      </c>
      <c r="T253" s="2">
        <f t="shared" si="225"/>
        <v>0</v>
      </c>
      <c r="U253" s="2">
        <f t="shared" si="225"/>
        <v>20.925216000000002</v>
      </c>
      <c r="V253" s="2">
        <f t="shared" si="225"/>
        <v>0</v>
      </c>
      <c r="W253" s="2">
        <f t="shared" si="225"/>
        <v>0</v>
      </c>
      <c r="X253" s="2">
        <f t="shared" si="225"/>
        <v>3717.34</v>
      </c>
      <c r="Y253" s="2">
        <f t="shared" si="225"/>
        <v>531.04999999999995</v>
      </c>
      <c r="Z253" s="2">
        <f t="shared" si="225"/>
        <v>0</v>
      </c>
      <c r="AA253" s="2">
        <f t="shared" si="225"/>
        <v>0</v>
      </c>
      <c r="AB253" s="2">
        <f t="shared" si="225"/>
        <v>5343.62</v>
      </c>
      <c r="AC253" s="2">
        <f t="shared" si="225"/>
        <v>30.97</v>
      </c>
      <c r="AD253" s="2">
        <f t="shared" si="225"/>
        <v>2.1800000000000002</v>
      </c>
      <c r="AE253" s="2">
        <f t="shared" si="225"/>
        <v>0.05</v>
      </c>
      <c r="AF253" s="2">
        <f t="shared" si="225"/>
        <v>5310.47</v>
      </c>
      <c r="AG253" s="2">
        <f t="shared" si="225"/>
        <v>0</v>
      </c>
      <c r="AH253" s="2">
        <f t="shared" si="225"/>
        <v>20.925216000000002</v>
      </c>
      <c r="AI253" s="2">
        <f t="shared" si="225"/>
        <v>0</v>
      </c>
      <c r="AJ253" s="2">
        <f t="shared" si="225"/>
        <v>0</v>
      </c>
      <c r="AK253" s="2">
        <f t="shared" si="225"/>
        <v>3717.34</v>
      </c>
      <c r="AL253" s="2">
        <f t="shared" si="225"/>
        <v>531.04999999999995</v>
      </c>
      <c r="AM253" s="2">
        <f t="shared" si="225"/>
        <v>0</v>
      </c>
      <c r="AN253" s="2">
        <f t="shared" si="225"/>
        <v>0</v>
      </c>
      <c r="AO253" s="2">
        <f t="shared" si="225"/>
        <v>0</v>
      </c>
      <c r="AP253" s="2">
        <f t="shared" si="225"/>
        <v>0</v>
      </c>
      <c r="AQ253" s="2">
        <f t="shared" si="225"/>
        <v>0</v>
      </c>
      <c r="AR253" s="2">
        <f t="shared" si="225"/>
        <v>9592.06</v>
      </c>
      <c r="AS253" s="2">
        <f t="shared" si="225"/>
        <v>0</v>
      </c>
      <c r="AT253" s="2">
        <f t="shared" si="225"/>
        <v>0</v>
      </c>
      <c r="AU253" s="2">
        <f t="shared" ref="AU253:BZ253" si="226">AU264</f>
        <v>9592.06</v>
      </c>
      <c r="AV253" s="2">
        <f t="shared" si="226"/>
        <v>30.97</v>
      </c>
      <c r="AW253" s="2">
        <f t="shared" si="226"/>
        <v>30.97</v>
      </c>
      <c r="AX253" s="2">
        <f t="shared" si="226"/>
        <v>0</v>
      </c>
      <c r="AY253" s="2">
        <f t="shared" si="226"/>
        <v>30.97</v>
      </c>
      <c r="AZ253" s="2">
        <f t="shared" si="226"/>
        <v>0</v>
      </c>
      <c r="BA253" s="2">
        <f t="shared" si="226"/>
        <v>0</v>
      </c>
      <c r="BB253" s="2">
        <f t="shared" si="226"/>
        <v>0</v>
      </c>
      <c r="BC253" s="2">
        <f t="shared" si="226"/>
        <v>0</v>
      </c>
      <c r="BD253" s="2">
        <f t="shared" si="226"/>
        <v>0</v>
      </c>
      <c r="BE253" s="2">
        <f t="shared" si="226"/>
        <v>0</v>
      </c>
      <c r="BF253" s="2">
        <f t="shared" si="226"/>
        <v>0</v>
      </c>
      <c r="BG253" s="2">
        <f t="shared" si="226"/>
        <v>0</v>
      </c>
      <c r="BH253" s="2">
        <f t="shared" si="226"/>
        <v>0</v>
      </c>
      <c r="BI253" s="2">
        <f t="shared" si="226"/>
        <v>0</v>
      </c>
      <c r="BJ253" s="2">
        <f t="shared" si="226"/>
        <v>0</v>
      </c>
      <c r="BK253" s="2">
        <f t="shared" si="226"/>
        <v>0</v>
      </c>
      <c r="BL253" s="2">
        <f t="shared" si="226"/>
        <v>0</v>
      </c>
      <c r="BM253" s="2">
        <f t="shared" si="226"/>
        <v>0</v>
      </c>
      <c r="BN253" s="2">
        <f t="shared" si="226"/>
        <v>0</v>
      </c>
      <c r="BO253" s="2">
        <f t="shared" si="226"/>
        <v>0</v>
      </c>
      <c r="BP253" s="2">
        <f t="shared" si="226"/>
        <v>0</v>
      </c>
      <c r="BQ253" s="2">
        <f t="shared" si="226"/>
        <v>0</v>
      </c>
      <c r="BR253" s="2">
        <f t="shared" si="226"/>
        <v>0</v>
      </c>
      <c r="BS253" s="2">
        <f t="shared" si="226"/>
        <v>0</v>
      </c>
      <c r="BT253" s="2">
        <f t="shared" si="226"/>
        <v>0</v>
      </c>
      <c r="BU253" s="2">
        <f t="shared" si="226"/>
        <v>0</v>
      </c>
      <c r="BV253" s="2">
        <f t="shared" si="226"/>
        <v>0</v>
      </c>
      <c r="BW253" s="2">
        <f t="shared" si="226"/>
        <v>0</v>
      </c>
      <c r="BX253" s="2">
        <f t="shared" si="226"/>
        <v>0</v>
      </c>
      <c r="BY253" s="2">
        <f t="shared" si="226"/>
        <v>0</v>
      </c>
      <c r="BZ253" s="2">
        <f t="shared" si="226"/>
        <v>0</v>
      </c>
      <c r="CA253" s="2">
        <f t="shared" ref="CA253:DF253" si="227">CA264</f>
        <v>9592.06</v>
      </c>
      <c r="CB253" s="2">
        <f t="shared" si="227"/>
        <v>0</v>
      </c>
      <c r="CC253" s="2">
        <f t="shared" si="227"/>
        <v>0</v>
      </c>
      <c r="CD253" s="2">
        <f t="shared" si="227"/>
        <v>9592.06</v>
      </c>
      <c r="CE253" s="2">
        <f t="shared" si="227"/>
        <v>30.97</v>
      </c>
      <c r="CF253" s="2">
        <f t="shared" si="227"/>
        <v>30.97</v>
      </c>
      <c r="CG253" s="2">
        <f t="shared" si="227"/>
        <v>0</v>
      </c>
      <c r="CH253" s="2">
        <f t="shared" si="227"/>
        <v>30.97</v>
      </c>
      <c r="CI253" s="2">
        <f t="shared" si="227"/>
        <v>0</v>
      </c>
      <c r="CJ253" s="2">
        <f t="shared" si="227"/>
        <v>0</v>
      </c>
      <c r="CK253" s="2">
        <f t="shared" si="227"/>
        <v>0</v>
      </c>
      <c r="CL253" s="2">
        <f t="shared" si="227"/>
        <v>0</v>
      </c>
      <c r="CM253" s="2">
        <f t="shared" si="227"/>
        <v>0</v>
      </c>
      <c r="CN253" s="2">
        <f t="shared" si="227"/>
        <v>0</v>
      </c>
      <c r="CO253" s="2">
        <f t="shared" si="227"/>
        <v>0</v>
      </c>
      <c r="CP253" s="2">
        <f t="shared" si="227"/>
        <v>0</v>
      </c>
      <c r="CQ253" s="2">
        <f t="shared" si="227"/>
        <v>0</v>
      </c>
      <c r="CR253" s="2">
        <f t="shared" si="227"/>
        <v>0</v>
      </c>
      <c r="CS253" s="2">
        <f t="shared" si="227"/>
        <v>0</v>
      </c>
      <c r="CT253" s="2">
        <f t="shared" si="227"/>
        <v>0</v>
      </c>
      <c r="CU253" s="2">
        <f t="shared" si="227"/>
        <v>0</v>
      </c>
      <c r="CV253" s="2">
        <f t="shared" si="227"/>
        <v>0</v>
      </c>
      <c r="CW253" s="2">
        <f t="shared" si="227"/>
        <v>0</v>
      </c>
      <c r="CX253" s="2">
        <f t="shared" si="227"/>
        <v>0</v>
      </c>
      <c r="CY253" s="2">
        <f t="shared" si="227"/>
        <v>0</v>
      </c>
      <c r="CZ253" s="2">
        <f t="shared" si="227"/>
        <v>0</v>
      </c>
      <c r="DA253" s="2">
        <f t="shared" si="227"/>
        <v>0</v>
      </c>
      <c r="DB253" s="2">
        <f t="shared" si="227"/>
        <v>0</v>
      </c>
      <c r="DC253" s="2">
        <f t="shared" si="227"/>
        <v>0</v>
      </c>
      <c r="DD253" s="2">
        <f t="shared" si="227"/>
        <v>0</v>
      </c>
      <c r="DE253" s="2">
        <f t="shared" si="227"/>
        <v>0</v>
      </c>
      <c r="DF253" s="2">
        <f t="shared" si="227"/>
        <v>0</v>
      </c>
      <c r="DG253" s="3">
        <f t="shared" ref="DG253:EL253" si="228">DG264</f>
        <v>0</v>
      </c>
      <c r="DH253" s="3">
        <f t="shared" si="228"/>
        <v>0</v>
      </c>
      <c r="DI253" s="3">
        <f t="shared" si="228"/>
        <v>0</v>
      </c>
      <c r="DJ253" s="3">
        <f t="shared" si="228"/>
        <v>0</v>
      </c>
      <c r="DK253" s="3">
        <f t="shared" si="228"/>
        <v>0</v>
      </c>
      <c r="DL253" s="3">
        <f t="shared" si="228"/>
        <v>0</v>
      </c>
      <c r="DM253" s="3">
        <f t="shared" si="228"/>
        <v>0</v>
      </c>
      <c r="DN253" s="3">
        <f t="shared" si="228"/>
        <v>0</v>
      </c>
      <c r="DO253" s="3">
        <f t="shared" si="228"/>
        <v>0</v>
      </c>
      <c r="DP253" s="3">
        <f t="shared" si="228"/>
        <v>0</v>
      </c>
      <c r="DQ253" s="3">
        <f t="shared" si="228"/>
        <v>0</v>
      </c>
      <c r="DR253" s="3">
        <f t="shared" si="228"/>
        <v>0</v>
      </c>
      <c r="DS253" s="3">
        <f t="shared" si="228"/>
        <v>0</v>
      </c>
      <c r="DT253" s="3">
        <f t="shared" si="228"/>
        <v>0</v>
      </c>
      <c r="DU253" s="3">
        <f t="shared" si="228"/>
        <v>0</v>
      </c>
      <c r="DV253" s="3">
        <f t="shared" si="228"/>
        <v>0</v>
      </c>
      <c r="DW253" s="3">
        <f t="shared" si="228"/>
        <v>0</v>
      </c>
      <c r="DX253" s="3">
        <f t="shared" si="228"/>
        <v>0</v>
      </c>
      <c r="DY253" s="3">
        <f t="shared" si="228"/>
        <v>0</v>
      </c>
      <c r="DZ253" s="3">
        <f t="shared" si="228"/>
        <v>0</v>
      </c>
      <c r="EA253" s="3">
        <f t="shared" si="228"/>
        <v>0</v>
      </c>
      <c r="EB253" s="3">
        <f t="shared" si="228"/>
        <v>0</v>
      </c>
      <c r="EC253" s="3">
        <f t="shared" si="228"/>
        <v>0</v>
      </c>
      <c r="ED253" s="3">
        <f t="shared" si="228"/>
        <v>0</v>
      </c>
      <c r="EE253" s="3">
        <f t="shared" si="228"/>
        <v>0</v>
      </c>
      <c r="EF253" s="3">
        <f t="shared" si="228"/>
        <v>0</v>
      </c>
      <c r="EG253" s="3">
        <f t="shared" si="228"/>
        <v>0</v>
      </c>
      <c r="EH253" s="3">
        <f t="shared" si="228"/>
        <v>0</v>
      </c>
      <c r="EI253" s="3">
        <f t="shared" si="228"/>
        <v>0</v>
      </c>
      <c r="EJ253" s="3">
        <f t="shared" si="228"/>
        <v>0</v>
      </c>
      <c r="EK253" s="3">
        <f t="shared" si="228"/>
        <v>0</v>
      </c>
      <c r="EL253" s="3">
        <f t="shared" si="228"/>
        <v>0</v>
      </c>
      <c r="EM253" s="3">
        <f t="shared" ref="EM253:FR253" si="229">EM264</f>
        <v>0</v>
      </c>
      <c r="EN253" s="3">
        <f t="shared" si="229"/>
        <v>0</v>
      </c>
      <c r="EO253" s="3">
        <f t="shared" si="229"/>
        <v>0</v>
      </c>
      <c r="EP253" s="3">
        <f t="shared" si="229"/>
        <v>0</v>
      </c>
      <c r="EQ253" s="3">
        <f t="shared" si="229"/>
        <v>0</v>
      </c>
      <c r="ER253" s="3">
        <f t="shared" si="229"/>
        <v>0</v>
      </c>
      <c r="ES253" s="3">
        <f t="shared" si="229"/>
        <v>0</v>
      </c>
      <c r="ET253" s="3">
        <f t="shared" si="229"/>
        <v>0</v>
      </c>
      <c r="EU253" s="3">
        <f t="shared" si="229"/>
        <v>0</v>
      </c>
      <c r="EV253" s="3">
        <f t="shared" si="229"/>
        <v>0</v>
      </c>
      <c r="EW253" s="3">
        <f t="shared" si="229"/>
        <v>0</v>
      </c>
      <c r="EX253" s="3">
        <f t="shared" si="229"/>
        <v>0</v>
      </c>
      <c r="EY253" s="3">
        <f t="shared" si="229"/>
        <v>0</v>
      </c>
      <c r="EZ253" s="3">
        <f t="shared" si="229"/>
        <v>0</v>
      </c>
      <c r="FA253" s="3">
        <f t="shared" si="229"/>
        <v>0</v>
      </c>
      <c r="FB253" s="3">
        <f t="shared" si="229"/>
        <v>0</v>
      </c>
      <c r="FC253" s="3">
        <f t="shared" si="229"/>
        <v>0</v>
      </c>
      <c r="FD253" s="3">
        <f t="shared" si="229"/>
        <v>0</v>
      </c>
      <c r="FE253" s="3">
        <f t="shared" si="229"/>
        <v>0</v>
      </c>
      <c r="FF253" s="3">
        <f t="shared" si="229"/>
        <v>0</v>
      </c>
      <c r="FG253" s="3">
        <f t="shared" si="229"/>
        <v>0</v>
      </c>
      <c r="FH253" s="3">
        <f t="shared" si="229"/>
        <v>0</v>
      </c>
      <c r="FI253" s="3">
        <f t="shared" si="229"/>
        <v>0</v>
      </c>
      <c r="FJ253" s="3">
        <f t="shared" si="229"/>
        <v>0</v>
      </c>
      <c r="FK253" s="3">
        <f t="shared" si="229"/>
        <v>0</v>
      </c>
      <c r="FL253" s="3">
        <f t="shared" si="229"/>
        <v>0</v>
      </c>
      <c r="FM253" s="3">
        <f t="shared" si="229"/>
        <v>0</v>
      </c>
      <c r="FN253" s="3">
        <f t="shared" si="229"/>
        <v>0</v>
      </c>
      <c r="FO253" s="3">
        <f t="shared" si="229"/>
        <v>0</v>
      </c>
      <c r="FP253" s="3">
        <f t="shared" si="229"/>
        <v>0</v>
      </c>
      <c r="FQ253" s="3">
        <f t="shared" si="229"/>
        <v>0</v>
      </c>
      <c r="FR253" s="3">
        <f t="shared" si="229"/>
        <v>0</v>
      </c>
      <c r="FS253" s="3">
        <f t="shared" ref="FS253:GX253" si="230">FS264</f>
        <v>0</v>
      </c>
      <c r="FT253" s="3">
        <f t="shared" si="230"/>
        <v>0</v>
      </c>
      <c r="FU253" s="3">
        <f t="shared" si="230"/>
        <v>0</v>
      </c>
      <c r="FV253" s="3">
        <f t="shared" si="230"/>
        <v>0</v>
      </c>
      <c r="FW253" s="3">
        <f t="shared" si="230"/>
        <v>0</v>
      </c>
      <c r="FX253" s="3">
        <f t="shared" si="230"/>
        <v>0</v>
      </c>
      <c r="FY253" s="3">
        <f t="shared" si="230"/>
        <v>0</v>
      </c>
      <c r="FZ253" s="3">
        <f t="shared" si="230"/>
        <v>0</v>
      </c>
      <c r="GA253" s="3">
        <f t="shared" si="230"/>
        <v>0</v>
      </c>
      <c r="GB253" s="3">
        <f t="shared" si="230"/>
        <v>0</v>
      </c>
      <c r="GC253" s="3">
        <f t="shared" si="230"/>
        <v>0</v>
      </c>
      <c r="GD253" s="3">
        <f t="shared" si="230"/>
        <v>0</v>
      </c>
      <c r="GE253" s="3">
        <f t="shared" si="230"/>
        <v>0</v>
      </c>
      <c r="GF253" s="3">
        <f t="shared" si="230"/>
        <v>0</v>
      </c>
      <c r="GG253" s="3">
        <f t="shared" si="230"/>
        <v>0</v>
      </c>
      <c r="GH253" s="3">
        <f t="shared" si="230"/>
        <v>0</v>
      </c>
      <c r="GI253" s="3">
        <f t="shared" si="230"/>
        <v>0</v>
      </c>
      <c r="GJ253" s="3">
        <f t="shared" si="230"/>
        <v>0</v>
      </c>
      <c r="GK253" s="3">
        <f t="shared" si="230"/>
        <v>0</v>
      </c>
      <c r="GL253" s="3">
        <f t="shared" si="230"/>
        <v>0</v>
      </c>
      <c r="GM253" s="3">
        <f t="shared" si="230"/>
        <v>0</v>
      </c>
      <c r="GN253" s="3">
        <f t="shared" si="230"/>
        <v>0</v>
      </c>
      <c r="GO253" s="3">
        <f t="shared" si="230"/>
        <v>0</v>
      </c>
      <c r="GP253" s="3">
        <f t="shared" si="230"/>
        <v>0</v>
      </c>
      <c r="GQ253" s="3">
        <f t="shared" si="230"/>
        <v>0</v>
      </c>
      <c r="GR253" s="3">
        <f t="shared" si="230"/>
        <v>0</v>
      </c>
      <c r="GS253" s="3">
        <f t="shared" si="230"/>
        <v>0</v>
      </c>
      <c r="GT253" s="3">
        <f t="shared" si="230"/>
        <v>0</v>
      </c>
      <c r="GU253" s="3">
        <f t="shared" si="230"/>
        <v>0</v>
      </c>
      <c r="GV253" s="3">
        <f t="shared" si="230"/>
        <v>0</v>
      </c>
      <c r="GW253" s="3">
        <f t="shared" si="230"/>
        <v>0</v>
      </c>
      <c r="GX253" s="3">
        <f t="shared" si="230"/>
        <v>0</v>
      </c>
    </row>
    <row r="255" spans="1:245" x14ac:dyDescent="0.2">
      <c r="A255">
        <v>17</v>
      </c>
      <c r="B255">
        <v>1</v>
      </c>
      <c r="D255">
        <f>ROW(EtalonRes!A157)</f>
        <v>157</v>
      </c>
      <c r="E255" t="s">
        <v>269</v>
      </c>
      <c r="F255" t="s">
        <v>18</v>
      </c>
      <c r="G255" t="s">
        <v>19</v>
      </c>
      <c r="H255" t="s">
        <v>20</v>
      </c>
      <c r="I255">
        <v>0.26100000000000001</v>
      </c>
      <c r="J255">
        <v>0</v>
      </c>
      <c r="K255">
        <v>0.26100000000000001</v>
      </c>
      <c r="O255">
        <f t="shared" ref="O255:O262" si="231">ROUND(CP255,2)</f>
        <v>183.05</v>
      </c>
      <c r="P255">
        <f t="shared" ref="P255:P262" si="232">ROUND(CQ255*I255,2)</f>
        <v>0</v>
      </c>
      <c r="Q255">
        <f t="shared" ref="Q255:Q262" si="233">ROUND(CR255*I255,2)</f>
        <v>0.47</v>
      </c>
      <c r="R255">
        <f t="shared" ref="R255:R262" si="234">ROUND(CS255*I255,2)</f>
        <v>0</v>
      </c>
      <c r="S255">
        <f t="shared" ref="S255:S262" si="235">ROUND(CT255*I255,2)</f>
        <v>182.58</v>
      </c>
      <c r="T255">
        <f t="shared" ref="T255:T262" si="236">ROUND(CU255*I255,2)</f>
        <v>0</v>
      </c>
      <c r="U255">
        <f t="shared" ref="U255:U262" si="237">CV255*I255</f>
        <v>0.72558</v>
      </c>
      <c r="V255">
        <f t="shared" ref="V255:V262" si="238">CW255*I255</f>
        <v>0</v>
      </c>
      <c r="W255">
        <f t="shared" ref="W255:W262" si="239">ROUND(CX255*I255,2)</f>
        <v>0</v>
      </c>
      <c r="X255">
        <f t="shared" ref="X255:Y262" si="240">ROUND(CY255,2)</f>
        <v>127.81</v>
      </c>
      <c r="Y255">
        <f t="shared" si="240"/>
        <v>18.260000000000002</v>
      </c>
      <c r="AA255">
        <v>72192302</v>
      </c>
      <c r="AB255">
        <f t="shared" ref="AB255:AB262" si="241">ROUND((AC255+AD255+AF255),6)</f>
        <v>701.32</v>
      </c>
      <c r="AC255">
        <f t="shared" ref="AC255:AC262" si="242">ROUND((ES255),6)</f>
        <v>0</v>
      </c>
      <c r="AD255">
        <f t="shared" ref="AD255:AD262" si="243">ROUND((((ET255)-(EU255))+AE255),6)</f>
        <v>1.79</v>
      </c>
      <c r="AE255">
        <f t="shared" ref="AE255:AF262" si="244">ROUND((EU255),6)</f>
        <v>0</v>
      </c>
      <c r="AF255">
        <f t="shared" si="244"/>
        <v>699.53</v>
      </c>
      <c r="AG255">
        <f t="shared" ref="AG255:AG262" si="245">ROUND((AP255),6)</f>
        <v>0</v>
      </c>
      <c r="AH255">
        <f t="shared" ref="AH255:AI262" si="246">(EW255)</f>
        <v>2.78</v>
      </c>
      <c r="AI255">
        <f t="shared" si="246"/>
        <v>0</v>
      </c>
      <c r="AJ255">
        <f t="shared" ref="AJ255:AJ262" si="247">(AS255)</f>
        <v>0</v>
      </c>
      <c r="AK255">
        <v>701.32</v>
      </c>
      <c r="AL255">
        <v>0</v>
      </c>
      <c r="AM255">
        <v>1.79</v>
      </c>
      <c r="AN255">
        <v>0</v>
      </c>
      <c r="AO255">
        <v>699.53</v>
      </c>
      <c r="AP255">
        <v>0</v>
      </c>
      <c r="AQ255">
        <v>2.78</v>
      </c>
      <c r="AR255">
        <v>0</v>
      </c>
      <c r="AS255">
        <v>0</v>
      </c>
      <c r="AT255">
        <v>70</v>
      </c>
      <c r="AU255">
        <v>10</v>
      </c>
      <c r="AV255">
        <v>1</v>
      </c>
      <c r="AW255">
        <v>1</v>
      </c>
      <c r="AZ255">
        <v>1</v>
      </c>
      <c r="BA255">
        <v>1</v>
      </c>
      <c r="BB255">
        <v>1</v>
      </c>
      <c r="BC255">
        <v>1</v>
      </c>
      <c r="BD255" t="s">
        <v>3</v>
      </c>
      <c r="BE255" t="s">
        <v>3</v>
      </c>
      <c r="BF255" t="s">
        <v>3</v>
      </c>
      <c r="BG255" t="s">
        <v>3</v>
      </c>
      <c r="BH255">
        <v>0</v>
      </c>
      <c r="BI255">
        <v>4</v>
      </c>
      <c r="BJ255" t="s">
        <v>21</v>
      </c>
      <c r="BM255">
        <v>0</v>
      </c>
      <c r="BN255">
        <v>0</v>
      </c>
      <c r="BO255" t="s">
        <v>3</v>
      </c>
      <c r="BP255">
        <v>0</v>
      </c>
      <c r="BQ255">
        <v>1</v>
      </c>
      <c r="BR255">
        <v>0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 t="s">
        <v>3</v>
      </c>
      <c r="BZ255">
        <v>70</v>
      </c>
      <c r="CA255">
        <v>10</v>
      </c>
      <c r="CB255" t="s">
        <v>3</v>
      </c>
      <c r="CE255">
        <v>0</v>
      </c>
      <c r="CF255">
        <v>0</v>
      </c>
      <c r="CG255">
        <v>0</v>
      </c>
      <c r="CM255">
        <v>0</v>
      </c>
      <c r="CN255" t="s">
        <v>3</v>
      </c>
      <c r="CO255">
        <v>0</v>
      </c>
      <c r="CP255">
        <f t="shared" ref="CP255:CP262" si="248">(P255+Q255+S255)</f>
        <v>183.05</v>
      </c>
      <c r="CQ255">
        <f t="shared" ref="CQ255:CQ262" si="249">(AC255*BC255*AW255)</f>
        <v>0</v>
      </c>
      <c r="CR255">
        <f t="shared" ref="CR255:CR262" si="250">((((ET255)*BB255-(EU255)*BS255)+AE255*BS255)*AV255)</f>
        <v>1.79</v>
      </c>
      <c r="CS255">
        <f t="shared" ref="CS255:CS262" si="251">(AE255*BS255*AV255)</f>
        <v>0</v>
      </c>
      <c r="CT255">
        <f t="shared" ref="CT255:CT262" si="252">(AF255*BA255*AV255)</f>
        <v>699.53</v>
      </c>
      <c r="CU255">
        <f t="shared" ref="CU255:CU262" si="253">AG255</f>
        <v>0</v>
      </c>
      <c r="CV255">
        <f t="shared" ref="CV255:CV262" si="254">(AH255*AV255)</f>
        <v>2.78</v>
      </c>
      <c r="CW255">
        <f t="shared" ref="CW255:CX262" si="255">AI255</f>
        <v>0</v>
      </c>
      <c r="CX255">
        <f t="shared" si="255"/>
        <v>0</v>
      </c>
      <c r="CY255">
        <f t="shared" ref="CY255:CY262" si="256">((S255*BZ255)/100)</f>
        <v>127.806</v>
      </c>
      <c r="CZ255">
        <f t="shared" ref="CZ255:CZ262" si="257">((S255*CA255)/100)</f>
        <v>18.258000000000003</v>
      </c>
      <c r="DC255" t="s">
        <v>3</v>
      </c>
      <c r="DD255" t="s">
        <v>3</v>
      </c>
      <c r="DE255" t="s">
        <v>3</v>
      </c>
      <c r="DF255" t="s">
        <v>3</v>
      </c>
      <c r="DG255" t="s">
        <v>3</v>
      </c>
      <c r="DH255" t="s">
        <v>3</v>
      </c>
      <c r="DI255" t="s">
        <v>3</v>
      </c>
      <c r="DJ255" t="s">
        <v>3</v>
      </c>
      <c r="DK255" t="s">
        <v>3</v>
      </c>
      <c r="DL255" t="s">
        <v>3</v>
      </c>
      <c r="DM255" t="s">
        <v>3</v>
      </c>
      <c r="DN255">
        <v>0</v>
      </c>
      <c r="DO255">
        <v>0</v>
      </c>
      <c r="DP255">
        <v>1</v>
      </c>
      <c r="DQ255">
        <v>1</v>
      </c>
      <c r="DU255">
        <v>1003</v>
      </c>
      <c r="DV255" t="s">
        <v>20</v>
      </c>
      <c r="DW255" t="s">
        <v>20</v>
      </c>
      <c r="DX255">
        <v>100</v>
      </c>
      <c r="DZ255" t="s">
        <v>3</v>
      </c>
      <c r="EA255" t="s">
        <v>3</v>
      </c>
      <c r="EB255" t="s">
        <v>3</v>
      </c>
      <c r="EC255" t="s">
        <v>3</v>
      </c>
      <c r="EE255">
        <v>71753531</v>
      </c>
      <c r="EF255">
        <v>1</v>
      </c>
      <c r="EG255" t="s">
        <v>22</v>
      </c>
      <c r="EH255">
        <v>0</v>
      </c>
      <c r="EI255" t="s">
        <v>3</v>
      </c>
      <c r="EJ255">
        <v>4</v>
      </c>
      <c r="EK255">
        <v>0</v>
      </c>
      <c r="EL255" t="s">
        <v>23</v>
      </c>
      <c r="EM255" t="s">
        <v>24</v>
      </c>
      <c r="EO255" t="s">
        <v>3</v>
      </c>
      <c r="EQ255">
        <v>0</v>
      </c>
      <c r="ER255">
        <v>701.32</v>
      </c>
      <c r="ES255">
        <v>0</v>
      </c>
      <c r="ET255">
        <v>1.79</v>
      </c>
      <c r="EU255">
        <v>0</v>
      </c>
      <c r="EV255">
        <v>699.53</v>
      </c>
      <c r="EW255">
        <v>2.78</v>
      </c>
      <c r="EX255">
        <v>0</v>
      </c>
      <c r="EY255">
        <v>0</v>
      </c>
      <c r="FQ255">
        <v>0</v>
      </c>
      <c r="FR255">
        <f t="shared" ref="FR255:FR262" si="258">ROUND(IF(BI255=3,GM255,0),2)</f>
        <v>0</v>
      </c>
      <c r="FS255">
        <v>0</v>
      </c>
      <c r="FX255">
        <v>70</v>
      </c>
      <c r="FY255">
        <v>10</v>
      </c>
      <c r="GA255" t="s">
        <v>3</v>
      </c>
      <c r="GD255">
        <v>0</v>
      </c>
      <c r="GF255">
        <v>-1249124778</v>
      </c>
      <c r="GG255">
        <v>2</v>
      </c>
      <c r="GH255">
        <v>1</v>
      </c>
      <c r="GI255">
        <v>-2</v>
      </c>
      <c r="GJ255">
        <v>0</v>
      </c>
      <c r="GK255">
        <f>ROUND(R255*(R12)/100,2)</f>
        <v>0</v>
      </c>
      <c r="GL255">
        <f t="shared" ref="GL255:GL262" si="259">ROUND(IF(AND(BH255=3,BI255=3,FS255&lt;&gt;0),P255,0),2)</f>
        <v>0</v>
      </c>
      <c r="GM255">
        <f t="shared" ref="GM255:GM262" si="260">ROUND(O255+X255+Y255+GK255,2)+GX255</f>
        <v>329.12</v>
      </c>
      <c r="GN255">
        <f t="shared" ref="GN255:GN262" si="261">IF(OR(BI255=0,BI255=1),GM255,0)</f>
        <v>0</v>
      </c>
      <c r="GO255">
        <f t="shared" ref="GO255:GO262" si="262">IF(BI255=2,GM255,0)</f>
        <v>0</v>
      </c>
      <c r="GP255">
        <f t="shared" ref="GP255:GP262" si="263">IF(BI255=4,GM255+GX255,0)</f>
        <v>329.12</v>
      </c>
      <c r="GR255">
        <v>0</v>
      </c>
      <c r="GS255">
        <v>3</v>
      </c>
      <c r="GT255">
        <v>0</v>
      </c>
      <c r="GU255" t="s">
        <v>3</v>
      </c>
      <c r="GV255">
        <f t="shared" ref="GV255:GV262" si="264">ROUND((GT255),6)</f>
        <v>0</v>
      </c>
      <c r="GW255">
        <v>1</v>
      </c>
      <c r="GX255">
        <f t="shared" ref="GX255:GX262" si="265">ROUND(HC255*I255,2)</f>
        <v>0</v>
      </c>
      <c r="HA255">
        <v>0</v>
      </c>
      <c r="HB255">
        <v>0</v>
      </c>
      <c r="HC255">
        <f t="shared" ref="HC255:HC262" si="266">GV255*GW255</f>
        <v>0</v>
      </c>
      <c r="HE255" t="s">
        <v>3</v>
      </c>
      <c r="HF255" t="s">
        <v>3</v>
      </c>
      <c r="HM255" t="s">
        <v>3</v>
      </c>
      <c r="HN255" t="s">
        <v>3</v>
      </c>
      <c r="HO255" t="s">
        <v>3</v>
      </c>
      <c r="HP255" t="s">
        <v>3</v>
      </c>
      <c r="HQ255" t="s">
        <v>3</v>
      </c>
      <c r="IK255">
        <v>0</v>
      </c>
    </row>
    <row r="256" spans="1:245" x14ac:dyDescent="0.2">
      <c r="A256">
        <v>17</v>
      </c>
      <c r="B256">
        <v>1</v>
      </c>
      <c r="D256">
        <f>ROW(EtalonRes!A158)</f>
        <v>158</v>
      </c>
      <c r="E256" t="s">
        <v>270</v>
      </c>
      <c r="F256" t="s">
        <v>26</v>
      </c>
      <c r="G256" t="s">
        <v>27</v>
      </c>
      <c r="H256" t="s">
        <v>28</v>
      </c>
      <c r="I256">
        <v>16.5</v>
      </c>
      <c r="J256">
        <v>0</v>
      </c>
      <c r="K256">
        <v>16.5</v>
      </c>
      <c r="O256">
        <f t="shared" si="231"/>
        <v>2454.54</v>
      </c>
      <c r="P256">
        <f t="shared" si="232"/>
        <v>0</v>
      </c>
      <c r="Q256">
        <f t="shared" si="233"/>
        <v>0</v>
      </c>
      <c r="R256">
        <f t="shared" si="234"/>
        <v>0</v>
      </c>
      <c r="S256">
        <f t="shared" si="235"/>
        <v>2454.54</v>
      </c>
      <c r="T256">
        <f t="shared" si="236"/>
        <v>0</v>
      </c>
      <c r="U256">
        <f t="shared" si="237"/>
        <v>9.9</v>
      </c>
      <c r="V256">
        <f t="shared" si="238"/>
        <v>0</v>
      </c>
      <c r="W256">
        <f t="shared" si="239"/>
        <v>0</v>
      </c>
      <c r="X256">
        <f t="shared" si="240"/>
        <v>1718.18</v>
      </c>
      <c r="Y256">
        <f t="shared" si="240"/>
        <v>245.45</v>
      </c>
      <c r="AA256">
        <v>72192302</v>
      </c>
      <c r="AB256">
        <f t="shared" si="241"/>
        <v>148.76</v>
      </c>
      <c r="AC256">
        <f t="shared" si="242"/>
        <v>0</v>
      </c>
      <c r="AD256">
        <f t="shared" si="243"/>
        <v>0</v>
      </c>
      <c r="AE256">
        <f t="shared" si="244"/>
        <v>0</v>
      </c>
      <c r="AF256">
        <f t="shared" si="244"/>
        <v>148.76</v>
      </c>
      <c r="AG256">
        <f t="shared" si="245"/>
        <v>0</v>
      </c>
      <c r="AH256">
        <f t="shared" si="246"/>
        <v>0.6</v>
      </c>
      <c r="AI256">
        <f t="shared" si="246"/>
        <v>0</v>
      </c>
      <c r="AJ256">
        <f t="shared" si="247"/>
        <v>0</v>
      </c>
      <c r="AK256">
        <v>148.76</v>
      </c>
      <c r="AL256">
        <v>0</v>
      </c>
      <c r="AM256">
        <v>0</v>
      </c>
      <c r="AN256">
        <v>0</v>
      </c>
      <c r="AO256">
        <v>148.76</v>
      </c>
      <c r="AP256">
        <v>0</v>
      </c>
      <c r="AQ256">
        <v>0.6</v>
      </c>
      <c r="AR256">
        <v>0</v>
      </c>
      <c r="AS256">
        <v>0</v>
      </c>
      <c r="AT256">
        <v>70</v>
      </c>
      <c r="AU256">
        <v>10</v>
      </c>
      <c r="AV256">
        <v>1</v>
      </c>
      <c r="AW256">
        <v>1</v>
      </c>
      <c r="AZ256">
        <v>1</v>
      </c>
      <c r="BA256">
        <v>1</v>
      </c>
      <c r="BB256">
        <v>1</v>
      </c>
      <c r="BC256">
        <v>1</v>
      </c>
      <c r="BD256" t="s">
        <v>3</v>
      </c>
      <c r="BE256" t="s">
        <v>3</v>
      </c>
      <c r="BF256" t="s">
        <v>3</v>
      </c>
      <c r="BG256" t="s">
        <v>3</v>
      </c>
      <c r="BH256">
        <v>0</v>
      </c>
      <c r="BI256">
        <v>4</v>
      </c>
      <c r="BJ256" t="s">
        <v>29</v>
      </c>
      <c r="BM256">
        <v>0</v>
      </c>
      <c r="BN256">
        <v>0</v>
      </c>
      <c r="BO256" t="s">
        <v>3</v>
      </c>
      <c r="BP256">
        <v>0</v>
      </c>
      <c r="BQ256">
        <v>1</v>
      </c>
      <c r="BR256">
        <v>0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 t="s">
        <v>3</v>
      </c>
      <c r="BZ256">
        <v>70</v>
      </c>
      <c r="CA256">
        <v>10</v>
      </c>
      <c r="CB256" t="s">
        <v>3</v>
      </c>
      <c r="CE256">
        <v>0</v>
      </c>
      <c r="CF256">
        <v>0</v>
      </c>
      <c r="CG256">
        <v>0</v>
      </c>
      <c r="CM256">
        <v>0</v>
      </c>
      <c r="CN256" t="s">
        <v>3</v>
      </c>
      <c r="CO256">
        <v>0</v>
      </c>
      <c r="CP256">
        <f t="shared" si="248"/>
        <v>2454.54</v>
      </c>
      <c r="CQ256">
        <f t="shared" si="249"/>
        <v>0</v>
      </c>
      <c r="CR256">
        <f t="shared" si="250"/>
        <v>0</v>
      </c>
      <c r="CS256">
        <f t="shared" si="251"/>
        <v>0</v>
      </c>
      <c r="CT256">
        <f t="shared" si="252"/>
        <v>148.76</v>
      </c>
      <c r="CU256">
        <f t="shared" si="253"/>
        <v>0</v>
      </c>
      <c r="CV256">
        <f t="shared" si="254"/>
        <v>0.6</v>
      </c>
      <c r="CW256">
        <f t="shared" si="255"/>
        <v>0</v>
      </c>
      <c r="CX256">
        <f t="shared" si="255"/>
        <v>0</v>
      </c>
      <c r="CY256">
        <f t="shared" si="256"/>
        <v>1718.1779999999999</v>
      </c>
      <c r="CZ256">
        <f t="shared" si="257"/>
        <v>245.45400000000001</v>
      </c>
      <c r="DC256" t="s">
        <v>3</v>
      </c>
      <c r="DD256" t="s">
        <v>3</v>
      </c>
      <c r="DE256" t="s">
        <v>3</v>
      </c>
      <c r="DF256" t="s">
        <v>3</v>
      </c>
      <c r="DG256" t="s">
        <v>3</v>
      </c>
      <c r="DH256" t="s">
        <v>3</v>
      </c>
      <c r="DI256" t="s">
        <v>3</v>
      </c>
      <c r="DJ256" t="s">
        <v>3</v>
      </c>
      <c r="DK256" t="s">
        <v>3</v>
      </c>
      <c r="DL256" t="s">
        <v>3</v>
      </c>
      <c r="DM256" t="s">
        <v>3</v>
      </c>
      <c r="DN256">
        <v>0</v>
      </c>
      <c r="DO256">
        <v>0</v>
      </c>
      <c r="DP256">
        <v>1</v>
      </c>
      <c r="DQ256">
        <v>1</v>
      </c>
      <c r="DU256">
        <v>1005</v>
      </c>
      <c r="DV256" t="s">
        <v>28</v>
      </c>
      <c r="DW256" t="s">
        <v>28</v>
      </c>
      <c r="DX256">
        <v>1</v>
      </c>
      <c r="DZ256" t="s">
        <v>3</v>
      </c>
      <c r="EA256" t="s">
        <v>3</v>
      </c>
      <c r="EB256" t="s">
        <v>3</v>
      </c>
      <c r="EC256" t="s">
        <v>3</v>
      </c>
      <c r="EE256">
        <v>71753531</v>
      </c>
      <c r="EF256">
        <v>1</v>
      </c>
      <c r="EG256" t="s">
        <v>22</v>
      </c>
      <c r="EH256">
        <v>0</v>
      </c>
      <c r="EI256" t="s">
        <v>3</v>
      </c>
      <c r="EJ256">
        <v>4</v>
      </c>
      <c r="EK256">
        <v>0</v>
      </c>
      <c r="EL256" t="s">
        <v>23</v>
      </c>
      <c r="EM256" t="s">
        <v>24</v>
      </c>
      <c r="EO256" t="s">
        <v>3</v>
      </c>
      <c r="EQ256">
        <v>0</v>
      </c>
      <c r="ER256">
        <v>148.76</v>
      </c>
      <c r="ES256">
        <v>0</v>
      </c>
      <c r="ET256">
        <v>0</v>
      </c>
      <c r="EU256">
        <v>0</v>
      </c>
      <c r="EV256">
        <v>148.76</v>
      </c>
      <c r="EW256">
        <v>0.6</v>
      </c>
      <c r="EX256">
        <v>0</v>
      </c>
      <c r="EY256">
        <v>0</v>
      </c>
      <c r="FQ256">
        <v>0</v>
      </c>
      <c r="FR256">
        <f t="shared" si="258"/>
        <v>0</v>
      </c>
      <c r="FS256">
        <v>0</v>
      </c>
      <c r="FX256">
        <v>70</v>
      </c>
      <c r="FY256">
        <v>10</v>
      </c>
      <c r="GA256" t="s">
        <v>3</v>
      </c>
      <c r="GD256">
        <v>0</v>
      </c>
      <c r="GF256">
        <v>-1536673318</v>
      </c>
      <c r="GG256">
        <v>2</v>
      </c>
      <c r="GH256">
        <v>1</v>
      </c>
      <c r="GI256">
        <v>-2</v>
      </c>
      <c r="GJ256">
        <v>0</v>
      </c>
      <c r="GK256">
        <f>ROUND(R256*(R12)/100,2)</f>
        <v>0</v>
      </c>
      <c r="GL256">
        <f t="shared" si="259"/>
        <v>0</v>
      </c>
      <c r="GM256">
        <f t="shared" si="260"/>
        <v>4418.17</v>
      </c>
      <c r="GN256">
        <f t="shared" si="261"/>
        <v>0</v>
      </c>
      <c r="GO256">
        <f t="shared" si="262"/>
        <v>0</v>
      </c>
      <c r="GP256">
        <f t="shared" si="263"/>
        <v>4418.17</v>
      </c>
      <c r="GR256">
        <v>0</v>
      </c>
      <c r="GS256">
        <v>3</v>
      </c>
      <c r="GT256">
        <v>0</v>
      </c>
      <c r="GU256" t="s">
        <v>3</v>
      </c>
      <c r="GV256">
        <f t="shared" si="264"/>
        <v>0</v>
      </c>
      <c r="GW256">
        <v>1</v>
      </c>
      <c r="GX256">
        <f t="shared" si="265"/>
        <v>0</v>
      </c>
      <c r="HA256">
        <v>0</v>
      </c>
      <c r="HB256">
        <v>0</v>
      </c>
      <c r="HC256">
        <f t="shared" si="266"/>
        <v>0</v>
      </c>
      <c r="HE256" t="s">
        <v>3</v>
      </c>
      <c r="HF256" t="s">
        <v>3</v>
      </c>
      <c r="HM256" t="s">
        <v>3</v>
      </c>
      <c r="HN256" t="s">
        <v>3</v>
      </c>
      <c r="HO256" t="s">
        <v>3</v>
      </c>
      <c r="HP256" t="s">
        <v>3</v>
      </c>
      <c r="HQ256" t="s">
        <v>3</v>
      </c>
      <c r="IK256">
        <v>0</v>
      </c>
    </row>
    <row r="257" spans="1:245" x14ac:dyDescent="0.2">
      <c r="A257">
        <v>17</v>
      </c>
      <c r="B257">
        <v>1</v>
      </c>
      <c r="D257">
        <f>ROW(EtalonRes!A160)</f>
        <v>160</v>
      </c>
      <c r="E257" t="s">
        <v>271</v>
      </c>
      <c r="F257" t="s">
        <v>31</v>
      </c>
      <c r="G257" t="s">
        <v>32</v>
      </c>
      <c r="H257" t="s">
        <v>33</v>
      </c>
      <c r="I257">
        <v>0.03</v>
      </c>
      <c r="J257">
        <v>0</v>
      </c>
      <c r="K257">
        <v>0.03</v>
      </c>
      <c r="O257">
        <f t="shared" si="231"/>
        <v>950.12</v>
      </c>
      <c r="P257">
        <f t="shared" si="232"/>
        <v>0</v>
      </c>
      <c r="Q257">
        <f t="shared" si="233"/>
        <v>0</v>
      </c>
      <c r="R257">
        <f t="shared" si="234"/>
        <v>0</v>
      </c>
      <c r="S257">
        <f t="shared" si="235"/>
        <v>950.12</v>
      </c>
      <c r="T257">
        <f t="shared" si="236"/>
        <v>0</v>
      </c>
      <c r="U257">
        <f t="shared" si="237"/>
        <v>3.6177000000000001</v>
      </c>
      <c r="V257">
        <f t="shared" si="238"/>
        <v>0</v>
      </c>
      <c r="W257">
        <f t="shared" si="239"/>
        <v>0</v>
      </c>
      <c r="X257">
        <f t="shared" si="240"/>
        <v>665.08</v>
      </c>
      <c r="Y257">
        <f t="shared" si="240"/>
        <v>95.01</v>
      </c>
      <c r="AA257">
        <v>72192302</v>
      </c>
      <c r="AB257">
        <f t="shared" si="241"/>
        <v>31670.55</v>
      </c>
      <c r="AC257">
        <f t="shared" si="242"/>
        <v>0</v>
      </c>
      <c r="AD257">
        <f t="shared" si="243"/>
        <v>0</v>
      </c>
      <c r="AE257">
        <f t="shared" si="244"/>
        <v>0</v>
      </c>
      <c r="AF257">
        <f t="shared" si="244"/>
        <v>31670.55</v>
      </c>
      <c r="AG257">
        <f t="shared" si="245"/>
        <v>0</v>
      </c>
      <c r="AH257">
        <f t="shared" si="246"/>
        <v>120.59</v>
      </c>
      <c r="AI257">
        <f t="shared" si="246"/>
        <v>0</v>
      </c>
      <c r="AJ257">
        <f t="shared" si="247"/>
        <v>0</v>
      </c>
      <c r="AK257">
        <v>31670.55</v>
      </c>
      <c r="AL257">
        <v>0</v>
      </c>
      <c r="AM257">
        <v>0</v>
      </c>
      <c r="AN257">
        <v>0</v>
      </c>
      <c r="AO257">
        <v>31670.55</v>
      </c>
      <c r="AP257">
        <v>0</v>
      </c>
      <c r="AQ257">
        <v>120.59</v>
      </c>
      <c r="AR257">
        <v>0</v>
      </c>
      <c r="AS257">
        <v>0</v>
      </c>
      <c r="AT257">
        <v>70</v>
      </c>
      <c r="AU257">
        <v>10</v>
      </c>
      <c r="AV257">
        <v>1</v>
      </c>
      <c r="AW257">
        <v>1</v>
      </c>
      <c r="AZ257">
        <v>1</v>
      </c>
      <c r="BA257">
        <v>1</v>
      </c>
      <c r="BB257">
        <v>1</v>
      </c>
      <c r="BC257">
        <v>1</v>
      </c>
      <c r="BD257" t="s">
        <v>3</v>
      </c>
      <c r="BE257" t="s">
        <v>3</v>
      </c>
      <c r="BF257" t="s">
        <v>3</v>
      </c>
      <c r="BG257" t="s">
        <v>3</v>
      </c>
      <c r="BH257">
        <v>0</v>
      </c>
      <c r="BI257">
        <v>4</v>
      </c>
      <c r="BJ257" t="s">
        <v>34</v>
      </c>
      <c r="BM257">
        <v>0</v>
      </c>
      <c r="BN257">
        <v>0</v>
      </c>
      <c r="BO257" t="s">
        <v>3</v>
      </c>
      <c r="BP257">
        <v>0</v>
      </c>
      <c r="BQ257">
        <v>1</v>
      </c>
      <c r="BR257">
        <v>0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 t="s">
        <v>3</v>
      </c>
      <c r="BZ257">
        <v>70</v>
      </c>
      <c r="CA257">
        <v>10</v>
      </c>
      <c r="CB257" t="s">
        <v>3</v>
      </c>
      <c r="CE257">
        <v>0</v>
      </c>
      <c r="CF257">
        <v>0</v>
      </c>
      <c r="CG257">
        <v>0</v>
      </c>
      <c r="CM257">
        <v>0</v>
      </c>
      <c r="CN257" t="s">
        <v>3</v>
      </c>
      <c r="CO257">
        <v>0</v>
      </c>
      <c r="CP257">
        <f t="shared" si="248"/>
        <v>950.12</v>
      </c>
      <c r="CQ257">
        <f t="shared" si="249"/>
        <v>0</v>
      </c>
      <c r="CR257">
        <f t="shared" si="250"/>
        <v>0</v>
      </c>
      <c r="CS257">
        <f t="shared" si="251"/>
        <v>0</v>
      </c>
      <c r="CT257">
        <f t="shared" si="252"/>
        <v>31670.55</v>
      </c>
      <c r="CU257">
        <f t="shared" si="253"/>
        <v>0</v>
      </c>
      <c r="CV257">
        <f t="shared" si="254"/>
        <v>120.59</v>
      </c>
      <c r="CW257">
        <f t="shared" si="255"/>
        <v>0</v>
      </c>
      <c r="CX257">
        <f t="shared" si="255"/>
        <v>0</v>
      </c>
      <c r="CY257">
        <f t="shared" si="256"/>
        <v>665.08399999999995</v>
      </c>
      <c r="CZ257">
        <f t="shared" si="257"/>
        <v>95.012</v>
      </c>
      <c r="DC257" t="s">
        <v>3</v>
      </c>
      <c r="DD257" t="s">
        <v>3</v>
      </c>
      <c r="DE257" t="s">
        <v>3</v>
      </c>
      <c r="DF257" t="s">
        <v>3</v>
      </c>
      <c r="DG257" t="s">
        <v>3</v>
      </c>
      <c r="DH257" t="s">
        <v>3</v>
      </c>
      <c r="DI257" t="s">
        <v>3</v>
      </c>
      <c r="DJ257" t="s">
        <v>3</v>
      </c>
      <c r="DK257" t="s">
        <v>3</v>
      </c>
      <c r="DL257" t="s">
        <v>3</v>
      </c>
      <c r="DM257" t="s">
        <v>3</v>
      </c>
      <c r="DN257">
        <v>0</v>
      </c>
      <c r="DO257">
        <v>0</v>
      </c>
      <c r="DP257">
        <v>1</v>
      </c>
      <c r="DQ257">
        <v>1</v>
      </c>
      <c r="DU257">
        <v>1010</v>
      </c>
      <c r="DV257" t="s">
        <v>33</v>
      </c>
      <c r="DW257" t="s">
        <v>33</v>
      </c>
      <c r="DX257">
        <v>100</v>
      </c>
      <c r="DZ257" t="s">
        <v>3</v>
      </c>
      <c r="EA257" t="s">
        <v>3</v>
      </c>
      <c r="EB257" t="s">
        <v>3</v>
      </c>
      <c r="EC257" t="s">
        <v>3</v>
      </c>
      <c r="EE257">
        <v>71753531</v>
      </c>
      <c r="EF257">
        <v>1</v>
      </c>
      <c r="EG257" t="s">
        <v>22</v>
      </c>
      <c r="EH257">
        <v>0</v>
      </c>
      <c r="EI257" t="s">
        <v>3</v>
      </c>
      <c r="EJ257">
        <v>4</v>
      </c>
      <c r="EK257">
        <v>0</v>
      </c>
      <c r="EL257" t="s">
        <v>23</v>
      </c>
      <c r="EM257" t="s">
        <v>24</v>
      </c>
      <c r="EO257" t="s">
        <v>3</v>
      </c>
      <c r="EQ257">
        <v>0</v>
      </c>
      <c r="ER257">
        <v>31670.55</v>
      </c>
      <c r="ES257">
        <v>0</v>
      </c>
      <c r="ET257">
        <v>0</v>
      </c>
      <c r="EU257">
        <v>0</v>
      </c>
      <c r="EV257">
        <v>31670.55</v>
      </c>
      <c r="EW257">
        <v>120.59</v>
      </c>
      <c r="EX257">
        <v>0</v>
      </c>
      <c r="EY257">
        <v>0</v>
      </c>
      <c r="FQ257">
        <v>0</v>
      </c>
      <c r="FR257">
        <f t="shared" si="258"/>
        <v>0</v>
      </c>
      <c r="FS257">
        <v>0</v>
      </c>
      <c r="FX257">
        <v>70</v>
      </c>
      <c r="FY257">
        <v>10</v>
      </c>
      <c r="GA257" t="s">
        <v>3</v>
      </c>
      <c r="GD257">
        <v>0</v>
      </c>
      <c r="GF257">
        <v>1879916655</v>
      </c>
      <c r="GG257">
        <v>2</v>
      </c>
      <c r="GH257">
        <v>1</v>
      </c>
      <c r="GI257">
        <v>-2</v>
      </c>
      <c r="GJ257">
        <v>0</v>
      </c>
      <c r="GK257">
        <f>ROUND(R257*(R12)/100,2)</f>
        <v>0</v>
      </c>
      <c r="GL257">
        <f t="shared" si="259"/>
        <v>0</v>
      </c>
      <c r="GM257">
        <f t="shared" si="260"/>
        <v>1710.21</v>
      </c>
      <c r="GN257">
        <f t="shared" si="261"/>
        <v>0</v>
      </c>
      <c r="GO257">
        <f t="shared" si="262"/>
        <v>0</v>
      </c>
      <c r="GP257">
        <f t="shared" si="263"/>
        <v>1710.21</v>
      </c>
      <c r="GR257">
        <v>0</v>
      </c>
      <c r="GS257">
        <v>3</v>
      </c>
      <c r="GT257">
        <v>0</v>
      </c>
      <c r="GU257" t="s">
        <v>3</v>
      </c>
      <c r="GV257">
        <f t="shared" si="264"/>
        <v>0</v>
      </c>
      <c r="GW257">
        <v>1</v>
      </c>
      <c r="GX257">
        <f t="shared" si="265"/>
        <v>0</v>
      </c>
      <c r="HA257">
        <v>0</v>
      </c>
      <c r="HB257">
        <v>0</v>
      </c>
      <c r="HC257">
        <f t="shared" si="266"/>
        <v>0</v>
      </c>
      <c r="HE257" t="s">
        <v>3</v>
      </c>
      <c r="HF257" t="s">
        <v>3</v>
      </c>
      <c r="HM257" t="s">
        <v>3</v>
      </c>
      <c r="HN257" t="s">
        <v>3</v>
      </c>
      <c r="HO257" t="s">
        <v>3</v>
      </c>
      <c r="HP257" t="s">
        <v>3</v>
      </c>
      <c r="HQ257" t="s">
        <v>3</v>
      </c>
      <c r="IK257">
        <v>0</v>
      </c>
    </row>
    <row r="258" spans="1:245" x14ac:dyDescent="0.2">
      <c r="A258">
        <v>18</v>
      </c>
      <c r="B258">
        <v>1</v>
      </c>
      <c r="E258" t="s">
        <v>272</v>
      </c>
      <c r="F258" t="s">
        <v>36</v>
      </c>
      <c r="G258" t="s">
        <v>37</v>
      </c>
      <c r="H258" t="s">
        <v>38</v>
      </c>
      <c r="I258">
        <f>I257*J258</f>
        <v>-0.24</v>
      </c>
      <c r="J258">
        <v>-8</v>
      </c>
      <c r="K258">
        <v>-8</v>
      </c>
      <c r="O258">
        <f t="shared" si="231"/>
        <v>0</v>
      </c>
      <c r="P258">
        <f t="shared" si="232"/>
        <v>0</v>
      </c>
      <c r="Q258">
        <f t="shared" si="233"/>
        <v>0</v>
      </c>
      <c r="R258">
        <f t="shared" si="234"/>
        <v>0</v>
      </c>
      <c r="S258">
        <f t="shared" si="235"/>
        <v>0</v>
      </c>
      <c r="T258">
        <f t="shared" si="236"/>
        <v>0</v>
      </c>
      <c r="U258">
        <f t="shared" si="237"/>
        <v>0</v>
      </c>
      <c r="V258">
        <f t="shared" si="238"/>
        <v>0</v>
      </c>
      <c r="W258">
        <f t="shared" si="239"/>
        <v>0</v>
      </c>
      <c r="X258">
        <f t="shared" si="240"/>
        <v>0</v>
      </c>
      <c r="Y258">
        <f t="shared" si="240"/>
        <v>0</v>
      </c>
      <c r="AA258">
        <v>72192302</v>
      </c>
      <c r="AB258">
        <f t="shared" si="241"/>
        <v>0</v>
      </c>
      <c r="AC258">
        <f t="shared" si="242"/>
        <v>0</v>
      </c>
      <c r="AD258">
        <f t="shared" si="243"/>
        <v>0</v>
      </c>
      <c r="AE258">
        <f t="shared" si="244"/>
        <v>0</v>
      </c>
      <c r="AF258">
        <f t="shared" si="244"/>
        <v>0</v>
      </c>
      <c r="AG258">
        <f t="shared" si="245"/>
        <v>0</v>
      </c>
      <c r="AH258">
        <f t="shared" si="246"/>
        <v>0</v>
      </c>
      <c r="AI258">
        <f t="shared" si="246"/>
        <v>0</v>
      </c>
      <c r="AJ258">
        <f t="shared" si="247"/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70</v>
      </c>
      <c r="AU258">
        <v>10</v>
      </c>
      <c r="AV258">
        <v>1</v>
      </c>
      <c r="AW258">
        <v>1</v>
      </c>
      <c r="AZ258">
        <v>1</v>
      </c>
      <c r="BA258">
        <v>1</v>
      </c>
      <c r="BB258">
        <v>1</v>
      </c>
      <c r="BC258">
        <v>1</v>
      </c>
      <c r="BD258" t="s">
        <v>3</v>
      </c>
      <c r="BE258" t="s">
        <v>3</v>
      </c>
      <c r="BF258" t="s">
        <v>3</v>
      </c>
      <c r="BG258" t="s">
        <v>3</v>
      </c>
      <c r="BH258">
        <v>3</v>
      </c>
      <c r="BI258">
        <v>4</v>
      </c>
      <c r="BJ258" t="s">
        <v>3</v>
      </c>
      <c r="BM258">
        <v>0</v>
      </c>
      <c r="BN258">
        <v>0</v>
      </c>
      <c r="BO258" t="s">
        <v>3</v>
      </c>
      <c r="BP258">
        <v>0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 t="s">
        <v>3</v>
      </c>
      <c r="BZ258">
        <v>70</v>
      </c>
      <c r="CA258">
        <v>10</v>
      </c>
      <c r="CB258" t="s">
        <v>3</v>
      </c>
      <c r="CE258">
        <v>0</v>
      </c>
      <c r="CF258">
        <v>0</v>
      </c>
      <c r="CG258">
        <v>0</v>
      </c>
      <c r="CM258">
        <v>0</v>
      </c>
      <c r="CN258" t="s">
        <v>3</v>
      </c>
      <c r="CO258">
        <v>0</v>
      </c>
      <c r="CP258">
        <f t="shared" si="248"/>
        <v>0</v>
      </c>
      <c r="CQ258">
        <f t="shared" si="249"/>
        <v>0</v>
      </c>
      <c r="CR258">
        <f t="shared" si="250"/>
        <v>0</v>
      </c>
      <c r="CS258">
        <f t="shared" si="251"/>
        <v>0</v>
      </c>
      <c r="CT258">
        <f t="shared" si="252"/>
        <v>0</v>
      </c>
      <c r="CU258">
        <f t="shared" si="253"/>
        <v>0</v>
      </c>
      <c r="CV258">
        <f t="shared" si="254"/>
        <v>0</v>
      </c>
      <c r="CW258">
        <f t="shared" si="255"/>
        <v>0</v>
      </c>
      <c r="CX258">
        <f t="shared" si="255"/>
        <v>0</v>
      </c>
      <c r="CY258">
        <f t="shared" si="256"/>
        <v>0</v>
      </c>
      <c r="CZ258">
        <f t="shared" si="257"/>
        <v>0</v>
      </c>
      <c r="DC258" t="s">
        <v>3</v>
      </c>
      <c r="DD258" t="s">
        <v>3</v>
      </c>
      <c r="DE258" t="s">
        <v>3</v>
      </c>
      <c r="DF258" t="s">
        <v>3</v>
      </c>
      <c r="DG258" t="s">
        <v>3</v>
      </c>
      <c r="DH258" t="s">
        <v>3</v>
      </c>
      <c r="DI258" t="s">
        <v>3</v>
      </c>
      <c r="DJ258" t="s">
        <v>3</v>
      </c>
      <c r="DK258" t="s">
        <v>3</v>
      </c>
      <c r="DL258" t="s">
        <v>3</v>
      </c>
      <c r="DM258" t="s">
        <v>3</v>
      </c>
      <c r="DN258">
        <v>0</v>
      </c>
      <c r="DO258">
        <v>0</v>
      </c>
      <c r="DP258">
        <v>1</v>
      </c>
      <c r="DQ258">
        <v>1</v>
      </c>
      <c r="DU258">
        <v>1009</v>
      </c>
      <c r="DV258" t="s">
        <v>38</v>
      </c>
      <c r="DW258" t="s">
        <v>38</v>
      </c>
      <c r="DX258">
        <v>1000</v>
      </c>
      <c r="DZ258" t="s">
        <v>3</v>
      </c>
      <c r="EA258" t="s">
        <v>3</v>
      </c>
      <c r="EB258" t="s">
        <v>3</v>
      </c>
      <c r="EC258" t="s">
        <v>3</v>
      </c>
      <c r="EE258">
        <v>71753531</v>
      </c>
      <c r="EF258">
        <v>1</v>
      </c>
      <c r="EG258" t="s">
        <v>22</v>
      </c>
      <c r="EH258">
        <v>0</v>
      </c>
      <c r="EI258" t="s">
        <v>3</v>
      </c>
      <c r="EJ258">
        <v>4</v>
      </c>
      <c r="EK258">
        <v>0</v>
      </c>
      <c r="EL258" t="s">
        <v>23</v>
      </c>
      <c r="EM258" t="s">
        <v>24</v>
      </c>
      <c r="EO258" t="s">
        <v>3</v>
      </c>
      <c r="EQ258">
        <v>32768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FQ258">
        <v>0</v>
      </c>
      <c r="FR258">
        <f t="shared" si="258"/>
        <v>0</v>
      </c>
      <c r="FS258">
        <v>0</v>
      </c>
      <c r="FX258">
        <v>70</v>
      </c>
      <c r="FY258">
        <v>10</v>
      </c>
      <c r="GA258" t="s">
        <v>3</v>
      </c>
      <c r="GD258">
        <v>0</v>
      </c>
      <c r="GF258">
        <v>1489638031</v>
      </c>
      <c r="GG258">
        <v>2</v>
      </c>
      <c r="GH258">
        <v>1</v>
      </c>
      <c r="GI258">
        <v>-2</v>
      </c>
      <c r="GJ258">
        <v>0</v>
      </c>
      <c r="GK258">
        <f>ROUND(R258*(R12)/100,2)</f>
        <v>0</v>
      </c>
      <c r="GL258">
        <f t="shared" si="259"/>
        <v>0</v>
      </c>
      <c r="GM258">
        <f t="shared" si="260"/>
        <v>0</v>
      </c>
      <c r="GN258">
        <f t="shared" si="261"/>
        <v>0</v>
      </c>
      <c r="GO258">
        <f t="shared" si="262"/>
        <v>0</v>
      </c>
      <c r="GP258">
        <f t="shared" si="263"/>
        <v>0</v>
      </c>
      <c r="GR258">
        <v>0</v>
      </c>
      <c r="GS258">
        <v>3</v>
      </c>
      <c r="GT258">
        <v>0</v>
      </c>
      <c r="GU258" t="s">
        <v>3</v>
      </c>
      <c r="GV258">
        <f t="shared" si="264"/>
        <v>0</v>
      </c>
      <c r="GW258">
        <v>1</v>
      </c>
      <c r="GX258">
        <f t="shared" si="265"/>
        <v>0</v>
      </c>
      <c r="HA258">
        <v>0</v>
      </c>
      <c r="HB258">
        <v>0</v>
      </c>
      <c r="HC258">
        <f t="shared" si="266"/>
        <v>0</v>
      </c>
      <c r="HE258" t="s">
        <v>3</v>
      </c>
      <c r="HF258" t="s">
        <v>3</v>
      </c>
      <c r="HM258" t="s">
        <v>3</v>
      </c>
      <c r="HN258" t="s">
        <v>3</v>
      </c>
      <c r="HO258" t="s">
        <v>3</v>
      </c>
      <c r="HP258" t="s">
        <v>3</v>
      </c>
      <c r="HQ258" t="s">
        <v>3</v>
      </c>
      <c r="IK258">
        <v>0</v>
      </c>
    </row>
    <row r="259" spans="1:245" x14ac:dyDescent="0.2">
      <c r="A259">
        <v>17</v>
      </c>
      <c r="B259">
        <v>1</v>
      </c>
      <c r="D259">
        <f>ROW(EtalonRes!A165)</f>
        <v>165</v>
      </c>
      <c r="E259" t="s">
        <v>273</v>
      </c>
      <c r="F259" t="s">
        <v>45</v>
      </c>
      <c r="G259" t="s">
        <v>46</v>
      </c>
      <c r="H259" t="s">
        <v>20</v>
      </c>
      <c r="I259">
        <v>5.74E-2</v>
      </c>
      <c r="J259">
        <v>0</v>
      </c>
      <c r="K259">
        <v>5.74E-2</v>
      </c>
      <c r="O259">
        <f t="shared" si="231"/>
        <v>801.43</v>
      </c>
      <c r="P259">
        <f t="shared" si="232"/>
        <v>30.97</v>
      </c>
      <c r="Q259">
        <f t="shared" si="233"/>
        <v>1.71</v>
      </c>
      <c r="R259">
        <f t="shared" si="234"/>
        <v>0.05</v>
      </c>
      <c r="S259">
        <f t="shared" si="235"/>
        <v>768.75</v>
      </c>
      <c r="T259">
        <f t="shared" si="236"/>
        <v>0</v>
      </c>
      <c r="U259">
        <f t="shared" si="237"/>
        <v>2.8321160000000001</v>
      </c>
      <c r="V259">
        <f t="shared" si="238"/>
        <v>0</v>
      </c>
      <c r="W259">
        <f t="shared" si="239"/>
        <v>0</v>
      </c>
      <c r="X259">
        <f t="shared" si="240"/>
        <v>538.13</v>
      </c>
      <c r="Y259">
        <f t="shared" si="240"/>
        <v>76.88</v>
      </c>
      <c r="AA259">
        <v>72192302</v>
      </c>
      <c r="AB259">
        <f t="shared" si="241"/>
        <v>13962.07</v>
      </c>
      <c r="AC259">
        <f t="shared" si="242"/>
        <v>539.47</v>
      </c>
      <c r="AD259">
        <f t="shared" si="243"/>
        <v>29.75</v>
      </c>
      <c r="AE259">
        <f t="shared" si="244"/>
        <v>0.85</v>
      </c>
      <c r="AF259">
        <f t="shared" si="244"/>
        <v>13392.85</v>
      </c>
      <c r="AG259">
        <f t="shared" si="245"/>
        <v>0</v>
      </c>
      <c r="AH259">
        <f t="shared" si="246"/>
        <v>49.34</v>
      </c>
      <c r="AI259">
        <f t="shared" si="246"/>
        <v>0</v>
      </c>
      <c r="AJ259">
        <f t="shared" si="247"/>
        <v>0</v>
      </c>
      <c r="AK259">
        <v>13962.07</v>
      </c>
      <c r="AL259">
        <v>539.47</v>
      </c>
      <c r="AM259">
        <v>29.75</v>
      </c>
      <c r="AN259">
        <v>0.85</v>
      </c>
      <c r="AO259">
        <v>13392.85</v>
      </c>
      <c r="AP259">
        <v>0</v>
      </c>
      <c r="AQ259">
        <v>49.34</v>
      </c>
      <c r="AR259">
        <v>0</v>
      </c>
      <c r="AS259">
        <v>0</v>
      </c>
      <c r="AT259">
        <v>70</v>
      </c>
      <c r="AU259">
        <v>10</v>
      </c>
      <c r="AV259">
        <v>1</v>
      </c>
      <c r="AW259">
        <v>1</v>
      </c>
      <c r="AZ259">
        <v>1</v>
      </c>
      <c r="BA259">
        <v>1</v>
      </c>
      <c r="BB259">
        <v>1</v>
      </c>
      <c r="BC259">
        <v>1</v>
      </c>
      <c r="BD259" t="s">
        <v>3</v>
      </c>
      <c r="BE259" t="s">
        <v>3</v>
      </c>
      <c r="BF259" t="s">
        <v>3</v>
      </c>
      <c r="BG259" t="s">
        <v>3</v>
      </c>
      <c r="BH259">
        <v>0</v>
      </c>
      <c r="BI259">
        <v>4</v>
      </c>
      <c r="BJ259" t="s">
        <v>47</v>
      </c>
      <c r="BM259">
        <v>0</v>
      </c>
      <c r="BN259">
        <v>0</v>
      </c>
      <c r="BO259" t="s">
        <v>3</v>
      </c>
      <c r="BP259">
        <v>0</v>
      </c>
      <c r="BQ259">
        <v>1</v>
      </c>
      <c r="BR259">
        <v>0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 t="s">
        <v>3</v>
      </c>
      <c r="BZ259">
        <v>70</v>
      </c>
      <c r="CA259">
        <v>10</v>
      </c>
      <c r="CB259" t="s">
        <v>3</v>
      </c>
      <c r="CE259">
        <v>0</v>
      </c>
      <c r="CF259">
        <v>0</v>
      </c>
      <c r="CG259">
        <v>0</v>
      </c>
      <c r="CM259">
        <v>0</v>
      </c>
      <c r="CN259" t="s">
        <v>3</v>
      </c>
      <c r="CO259">
        <v>0</v>
      </c>
      <c r="CP259">
        <f t="shared" si="248"/>
        <v>801.43</v>
      </c>
      <c r="CQ259">
        <f t="shared" si="249"/>
        <v>539.47</v>
      </c>
      <c r="CR259">
        <f t="shared" si="250"/>
        <v>29.75</v>
      </c>
      <c r="CS259">
        <f t="shared" si="251"/>
        <v>0.85</v>
      </c>
      <c r="CT259">
        <f t="shared" si="252"/>
        <v>13392.85</v>
      </c>
      <c r="CU259">
        <f t="shared" si="253"/>
        <v>0</v>
      </c>
      <c r="CV259">
        <f t="shared" si="254"/>
        <v>49.34</v>
      </c>
      <c r="CW259">
        <f t="shared" si="255"/>
        <v>0</v>
      </c>
      <c r="CX259">
        <f t="shared" si="255"/>
        <v>0</v>
      </c>
      <c r="CY259">
        <f t="shared" si="256"/>
        <v>538.125</v>
      </c>
      <c r="CZ259">
        <f t="shared" si="257"/>
        <v>76.875</v>
      </c>
      <c r="DC259" t="s">
        <v>3</v>
      </c>
      <c r="DD259" t="s">
        <v>3</v>
      </c>
      <c r="DE259" t="s">
        <v>3</v>
      </c>
      <c r="DF259" t="s">
        <v>3</v>
      </c>
      <c r="DG259" t="s">
        <v>3</v>
      </c>
      <c r="DH259" t="s">
        <v>3</v>
      </c>
      <c r="DI259" t="s">
        <v>3</v>
      </c>
      <c r="DJ259" t="s">
        <v>3</v>
      </c>
      <c r="DK259" t="s">
        <v>3</v>
      </c>
      <c r="DL259" t="s">
        <v>3</v>
      </c>
      <c r="DM259" t="s">
        <v>3</v>
      </c>
      <c r="DN259">
        <v>0</v>
      </c>
      <c r="DO259">
        <v>0</v>
      </c>
      <c r="DP259">
        <v>1</v>
      </c>
      <c r="DQ259">
        <v>1</v>
      </c>
      <c r="DU259">
        <v>1003</v>
      </c>
      <c r="DV259" t="s">
        <v>20</v>
      </c>
      <c r="DW259" t="s">
        <v>20</v>
      </c>
      <c r="DX259">
        <v>100</v>
      </c>
      <c r="DZ259" t="s">
        <v>3</v>
      </c>
      <c r="EA259" t="s">
        <v>3</v>
      </c>
      <c r="EB259" t="s">
        <v>3</v>
      </c>
      <c r="EC259" t="s">
        <v>3</v>
      </c>
      <c r="EE259">
        <v>71753531</v>
      </c>
      <c r="EF259">
        <v>1</v>
      </c>
      <c r="EG259" t="s">
        <v>22</v>
      </c>
      <c r="EH259">
        <v>0</v>
      </c>
      <c r="EI259" t="s">
        <v>3</v>
      </c>
      <c r="EJ259">
        <v>4</v>
      </c>
      <c r="EK259">
        <v>0</v>
      </c>
      <c r="EL259" t="s">
        <v>23</v>
      </c>
      <c r="EM259" t="s">
        <v>24</v>
      </c>
      <c r="EO259" t="s">
        <v>3</v>
      </c>
      <c r="EQ259">
        <v>0</v>
      </c>
      <c r="ER259">
        <v>13962.07</v>
      </c>
      <c r="ES259">
        <v>539.47</v>
      </c>
      <c r="ET259">
        <v>29.75</v>
      </c>
      <c r="EU259">
        <v>0.85</v>
      </c>
      <c r="EV259">
        <v>13392.85</v>
      </c>
      <c r="EW259">
        <v>49.34</v>
      </c>
      <c r="EX259">
        <v>0</v>
      </c>
      <c r="EY259">
        <v>0</v>
      </c>
      <c r="FQ259">
        <v>0</v>
      </c>
      <c r="FR259">
        <f t="shared" si="258"/>
        <v>0</v>
      </c>
      <c r="FS259">
        <v>0</v>
      </c>
      <c r="FX259">
        <v>70</v>
      </c>
      <c r="FY259">
        <v>10</v>
      </c>
      <c r="GA259" t="s">
        <v>3</v>
      </c>
      <c r="GD259">
        <v>0</v>
      </c>
      <c r="GF259">
        <v>393771794</v>
      </c>
      <c r="GG259">
        <v>2</v>
      </c>
      <c r="GH259">
        <v>1</v>
      </c>
      <c r="GI259">
        <v>-2</v>
      </c>
      <c r="GJ259">
        <v>0</v>
      </c>
      <c r="GK259">
        <f>ROUND(R259*(R12)/100,2)</f>
        <v>0.05</v>
      </c>
      <c r="GL259">
        <f t="shared" si="259"/>
        <v>0</v>
      </c>
      <c r="GM259">
        <f t="shared" si="260"/>
        <v>1416.49</v>
      </c>
      <c r="GN259">
        <f t="shared" si="261"/>
        <v>0</v>
      </c>
      <c r="GO259">
        <f t="shared" si="262"/>
        <v>0</v>
      </c>
      <c r="GP259">
        <f t="shared" si="263"/>
        <v>1416.49</v>
      </c>
      <c r="GR259">
        <v>0</v>
      </c>
      <c r="GS259">
        <v>3</v>
      </c>
      <c r="GT259">
        <v>0</v>
      </c>
      <c r="GU259" t="s">
        <v>3</v>
      </c>
      <c r="GV259">
        <f t="shared" si="264"/>
        <v>0</v>
      </c>
      <c r="GW259">
        <v>1</v>
      </c>
      <c r="GX259">
        <f t="shared" si="265"/>
        <v>0</v>
      </c>
      <c r="HA259">
        <v>0</v>
      </c>
      <c r="HB259">
        <v>0</v>
      </c>
      <c r="HC259">
        <f t="shared" si="266"/>
        <v>0</v>
      </c>
      <c r="HE259" t="s">
        <v>3</v>
      </c>
      <c r="HF259" t="s">
        <v>3</v>
      </c>
      <c r="HM259" t="s">
        <v>3</v>
      </c>
      <c r="HN259" t="s">
        <v>3</v>
      </c>
      <c r="HO259" t="s">
        <v>3</v>
      </c>
      <c r="HP259" t="s">
        <v>3</v>
      </c>
      <c r="HQ259" t="s">
        <v>3</v>
      </c>
      <c r="IK259">
        <v>0</v>
      </c>
    </row>
    <row r="260" spans="1:245" x14ac:dyDescent="0.2">
      <c r="A260">
        <v>18</v>
      </c>
      <c r="B260">
        <v>1</v>
      </c>
      <c r="E260" t="s">
        <v>274</v>
      </c>
      <c r="F260" t="s">
        <v>36</v>
      </c>
      <c r="G260" t="s">
        <v>37</v>
      </c>
      <c r="H260" t="s">
        <v>38</v>
      </c>
      <c r="I260">
        <f>I259*J260</f>
        <v>-2.606E-2</v>
      </c>
      <c r="J260">
        <v>-0.45400696864111501</v>
      </c>
      <c r="K260">
        <v>-0.45400000000000001</v>
      </c>
      <c r="O260">
        <f t="shared" si="231"/>
        <v>0</v>
      </c>
      <c r="P260">
        <f t="shared" si="232"/>
        <v>0</v>
      </c>
      <c r="Q260">
        <f t="shared" si="233"/>
        <v>0</v>
      </c>
      <c r="R260">
        <f t="shared" si="234"/>
        <v>0</v>
      </c>
      <c r="S260">
        <f t="shared" si="235"/>
        <v>0</v>
      </c>
      <c r="T260">
        <f t="shared" si="236"/>
        <v>0</v>
      </c>
      <c r="U260">
        <f t="shared" si="237"/>
        <v>0</v>
      </c>
      <c r="V260">
        <f t="shared" si="238"/>
        <v>0</v>
      </c>
      <c r="W260">
        <f t="shared" si="239"/>
        <v>0</v>
      </c>
      <c r="X260">
        <f t="shared" si="240"/>
        <v>0</v>
      </c>
      <c r="Y260">
        <f t="shared" si="240"/>
        <v>0</v>
      </c>
      <c r="AA260">
        <v>72192302</v>
      </c>
      <c r="AB260">
        <f t="shared" si="241"/>
        <v>0</v>
      </c>
      <c r="AC260">
        <f t="shared" si="242"/>
        <v>0</v>
      </c>
      <c r="AD260">
        <f t="shared" si="243"/>
        <v>0</v>
      </c>
      <c r="AE260">
        <f t="shared" si="244"/>
        <v>0</v>
      </c>
      <c r="AF260">
        <f t="shared" si="244"/>
        <v>0</v>
      </c>
      <c r="AG260">
        <f t="shared" si="245"/>
        <v>0</v>
      </c>
      <c r="AH260">
        <f t="shared" si="246"/>
        <v>0</v>
      </c>
      <c r="AI260">
        <f t="shared" si="246"/>
        <v>0</v>
      </c>
      <c r="AJ260">
        <f t="shared" si="247"/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70</v>
      </c>
      <c r="AU260">
        <v>10</v>
      </c>
      <c r="AV260">
        <v>1</v>
      </c>
      <c r="AW260">
        <v>1</v>
      </c>
      <c r="AZ260">
        <v>1</v>
      </c>
      <c r="BA260">
        <v>1</v>
      </c>
      <c r="BB260">
        <v>1</v>
      </c>
      <c r="BC260">
        <v>1</v>
      </c>
      <c r="BD260" t="s">
        <v>3</v>
      </c>
      <c r="BE260" t="s">
        <v>3</v>
      </c>
      <c r="BF260" t="s">
        <v>3</v>
      </c>
      <c r="BG260" t="s">
        <v>3</v>
      </c>
      <c r="BH260">
        <v>3</v>
      </c>
      <c r="BI260">
        <v>4</v>
      </c>
      <c r="BJ260" t="s">
        <v>3</v>
      </c>
      <c r="BM260">
        <v>0</v>
      </c>
      <c r="BN260">
        <v>0</v>
      </c>
      <c r="BO260" t="s">
        <v>3</v>
      </c>
      <c r="BP260">
        <v>0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 t="s">
        <v>3</v>
      </c>
      <c r="BZ260">
        <v>70</v>
      </c>
      <c r="CA260">
        <v>10</v>
      </c>
      <c r="CB260" t="s">
        <v>3</v>
      </c>
      <c r="CE260">
        <v>0</v>
      </c>
      <c r="CF260">
        <v>0</v>
      </c>
      <c r="CG260">
        <v>0</v>
      </c>
      <c r="CM260">
        <v>0</v>
      </c>
      <c r="CN260" t="s">
        <v>3</v>
      </c>
      <c r="CO260">
        <v>0</v>
      </c>
      <c r="CP260">
        <f t="shared" si="248"/>
        <v>0</v>
      </c>
      <c r="CQ260">
        <f t="shared" si="249"/>
        <v>0</v>
      </c>
      <c r="CR260">
        <f t="shared" si="250"/>
        <v>0</v>
      </c>
      <c r="CS260">
        <f t="shared" si="251"/>
        <v>0</v>
      </c>
      <c r="CT260">
        <f t="shared" si="252"/>
        <v>0</v>
      </c>
      <c r="CU260">
        <f t="shared" si="253"/>
        <v>0</v>
      </c>
      <c r="CV260">
        <f t="shared" si="254"/>
        <v>0</v>
      </c>
      <c r="CW260">
        <f t="shared" si="255"/>
        <v>0</v>
      </c>
      <c r="CX260">
        <f t="shared" si="255"/>
        <v>0</v>
      </c>
      <c r="CY260">
        <f t="shared" si="256"/>
        <v>0</v>
      </c>
      <c r="CZ260">
        <f t="shared" si="257"/>
        <v>0</v>
      </c>
      <c r="DC260" t="s">
        <v>3</v>
      </c>
      <c r="DD260" t="s">
        <v>3</v>
      </c>
      <c r="DE260" t="s">
        <v>3</v>
      </c>
      <c r="DF260" t="s">
        <v>3</v>
      </c>
      <c r="DG260" t="s">
        <v>3</v>
      </c>
      <c r="DH260" t="s">
        <v>3</v>
      </c>
      <c r="DI260" t="s">
        <v>3</v>
      </c>
      <c r="DJ260" t="s">
        <v>3</v>
      </c>
      <c r="DK260" t="s">
        <v>3</v>
      </c>
      <c r="DL260" t="s">
        <v>3</v>
      </c>
      <c r="DM260" t="s">
        <v>3</v>
      </c>
      <c r="DN260">
        <v>0</v>
      </c>
      <c r="DO260">
        <v>0</v>
      </c>
      <c r="DP260">
        <v>1</v>
      </c>
      <c r="DQ260">
        <v>1</v>
      </c>
      <c r="DU260">
        <v>1009</v>
      </c>
      <c r="DV260" t="s">
        <v>38</v>
      </c>
      <c r="DW260" t="s">
        <v>38</v>
      </c>
      <c r="DX260">
        <v>1000</v>
      </c>
      <c r="DZ260" t="s">
        <v>3</v>
      </c>
      <c r="EA260" t="s">
        <v>3</v>
      </c>
      <c r="EB260" t="s">
        <v>3</v>
      </c>
      <c r="EC260" t="s">
        <v>3</v>
      </c>
      <c r="EE260">
        <v>71753531</v>
      </c>
      <c r="EF260">
        <v>1</v>
      </c>
      <c r="EG260" t="s">
        <v>22</v>
      </c>
      <c r="EH260">
        <v>0</v>
      </c>
      <c r="EI260" t="s">
        <v>3</v>
      </c>
      <c r="EJ260">
        <v>4</v>
      </c>
      <c r="EK260">
        <v>0</v>
      </c>
      <c r="EL260" t="s">
        <v>23</v>
      </c>
      <c r="EM260" t="s">
        <v>24</v>
      </c>
      <c r="EO260" t="s">
        <v>3</v>
      </c>
      <c r="EQ260">
        <v>32768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FQ260">
        <v>0</v>
      </c>
      <c r="FR260">
        <f t="shared" si="258"/>
        <v>0</v>
      </c>
      <c r="FS260">
        <v>0</v>
      </c>
      <c r="FX260">
        <v>70</v>
      </c>
      <c r="FY260">
        <v>10</v>
      </c>
      <c r="GA260" t="s">
        <v>3</v>
      </c>
      <c r="GD260">
        <v>0</v>
      </c>
      <c r="GF260">
        <v>1489638031</v>
      </c>
      <c r="GG260">
        <v>2</v>
      </c>
      <c r="GH260">
        <v>1</v>
      </c>
      <c r="GI260">
        <v>-2</v>
      </c>
      <c r="GJ260">
        <v>0</v>
      </c>
      <c r="GK260">
        <f>ROUND(R260*(R12)/100,2)</f>
        <v>0</v>
      </c>
      <c r="GL260">
        <f t="shared" si="259"/>
        <v>0</v>
      </c>
      <c r="GM260">
        <f t="shared" si="260"/>
        <v>0</v>
      </c>
      <c r="GN260">
        <f t="shared" si="261"/>
        <v>0</v>
      </c>
      <c r="GO260">
        <f t="shared" si="262"/>
        <v>0</v>
      </c>
      <c r="GP260">
        <f t="shared" si="263"/>
        <v>0</v>
      </c>
      <c r="GR260">
        <v>0</v>
      </c>
      <c r="GS260">
        <v>3</v>
      </c>
      <c r="GT260">
        <v>0</v>
      </c>
      <c r="GU260" t="s">
        <v>3</v>
      </c>
      <c r="GV260">
        <f t="shared" si="264"/>
        <v>0</v>
      </c>
      <c r="GW260">
        <v>1</v>
      </c>
      <c r="GX260">
        <f t="shared" si="265"/>
        <v>0</v>
      </c>
      <c r="HA260">
        <v>0</v>
      </c>
      <c r="HB260">
        <v>0</v>
      </c>
      <c r="HC260">
        <f t="shared" si="266"/>
        <v>0</v>
      </c>
      <c r="HE260" t="s">
        <v>3</v>
      </c>
      <c r="HF260" t="s">
        <v>3</v>
      </c>
      <c r="HM260" t="s">
        <v>3</v>
      </c>
      <c r="HN260" t="s">
        <v>3</v>
      </c>
      <c r="HO260" t="s">
        <v>3</v>
      </c>
      <c r="HP260" t="s">
        <v>3</v>
      </c>
      <c r="HQ260" t="s">
        <v>3</v>
      </c>
      <c r="IK260">
        <v>0</v>
      </c>
    </row>
    <row r="261" spans="1:245" x14ac:dyDescent="0.2">
      <c r="A261">
        <v>17</v>
      </c>
      <c r="B261">
        <v>1</v>
      </c>
      <c r="D261">
        <f>ROW(EtalonRes!A167)</f>
        <v>167</v>
      </c>
      <c r="E261" t="s">
        <v>275</v>
      </c>
      <c r="F261" t="s">
        <v>276</v>
      </c>
      <c r="G261" t="s">
        <v>277</v>
      </c>
      <c r="H261" t="s">
        <v>42</v>
      </c>
      <c r="I261">
        <v>0.33800000000000002</v>
      </c>
      <c r="J261">
        <v>0</v>
      </c>
      <c r="K261">
        <v>0.33800000000000002</v>
      </c>
      <c r="O261">
        <f t="shared" si="231"/>
        <v>954.48</v>
      </c>
      <c r="P261">
        <f t="shared" si="232"/>
        <v>0</v>
      </c>
      <c r="Q261">
        <f t="shared" si="233"/>
        <v>0</v>
      </c>
      <c r="R261">
        <f t="shared" si="234"/>
        <v>0</v>
      </c>
      <c r="S261">
        <f t="shared" si="235"/>
        <v>954.48</v>
      </c>
      <c r="T261">
        <f t="shared" si="236"/>
        <v>0</v>
      </c>
      <c r="U261">
        <f t="shared" si="237"/>
        <v>3.8498200000000002</v>
      </c>
      <c r="V261">
        <f t="shared" si="238"/>
        <v>0</v>
      </c>
      <c r="W261">
        <f t="shared" si="239"/>
        <v>0</v>
      </c>
      <c r="X261">
        <f t="shared" si="240"/>
        <v>668.14</v>
      </c>
      <c r="Y261">
        <f t="shared" si="240"/>
        <v>95.45</v>
      </c>
      <c r="AA261">
        <v>72192302</v>
      </c>
      <c r="AB261">
        <f t="shared" si="241"/>
        <v>2823.92</v>
      </c>
      <c r="AC261">
        <f t="shared" si="242"/>
        <v>0</v>
      </c>
      <c r="AD261">
        <f t="shared" si="243"/>
        <v>0</v>
      </c>
      <c r="AE261">
        <f t="shared" si="244"/>
        <v>0</v>
      </c>
      <c r="AF261">
        <f t="shared" si="244"/>
        <v>2823.92</v>
      </c>
      <c r="AG261">
        <f t="shared" si="245"/>
        <v>0</v>
      </c>
      <c r="AH261">
        <f t="shared" si="246"/>
        <v>11.39</v>
      </c>
      <c r="AI261">
        <f t="shared" si="246"/>
        <v>0</v>
      </c>
      <c r="AJ261">
        <f t="shared" si="247"/>
        <v>0</v>
      </c>
      <c r="AK261">
        <v>2823.92</v>
      </c>
      <c r="AL261">
        <v>0</v>
      </c>
      <c r="AM261">
        <v>0</v>
      </c>
      <c r="AN261">
        <v>0</v>
      </c>
      <c r="AO261">
        <v>2823.92</v>
      </c>
      <c r="AP261">
        <v>0</v>
      </c>
      <c r="AQ261">
        <v>11.39</v>
      </c>
      <c r="AR261">
        <v>0</v>
      </c>
      <c r="AS261">
        <v>0</v>
      </c>
      <c r="AT261">
        <v>70</v>
      </c>
      <c r="AU261">
        <v>10</v>
      </c>
      <c r="AV261">
        <v>1</v>
      </c>
      <c r="AW261">
        <v>1</v>
      </c>
      <c r="AZ261">
        <v>1</v>
      </c>
      <c r="BA261">
        <v>1</v>
      </c>
      <c r="BB261">
        <v>1</v>
      </c>
      <c r="BC261">
        <v>1</v>
      </c>
      <c r="BD261" t="s">
        <v>3</v>
      </c>
      <c r="BE261" t="s">
        <v>3</v>
      </c>
      <c r="BF261" t="s">
        <v>3</v>
      </c>
      <c r="BG261" t="s">
        <v>3</v>
      </c>
      <c r="BH261">
        <v>0</v>
      </c>
      <c r="BI261">
        <v>4</v>
      </c>
      <c r="BJ261" t="s">
        <v>278</v>
      </c>
      <c r="BM261">
        <v>0</v>
      </c>
      <c r="BN261">
        <v>0</v>
      </c>
      <c r="BO261" t="s">
        <v>3</v>
      </c>
      <c r="BP261">
        <v>0</v>
      </c>
      <c r="BQ261">
        <v>1</v>
      </c>
      <c r="BR261">
        <v>0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 t="s">
        <v>3</v>
      </c>
      <c r="BZ261">
        <v>70</v>
      </c>
      <c r="CA261">
        <v>10</v>
      </c>
      <c r="CB261" t="s">
        <v>3</v>
      </c>
      <c r="CE261">
        <v>0</v>
      </c>
      <c r="CF261">
        <v>0</v>
      </c>
      <c r="CG261">
        <v>0</v>
      </c>
      <c r="CM261">
        <v>0</v>
      </c>
      <c r="CN261" t="s">
        <v>3</v>
      </c>
      <c r="CO261">
        <v>0</v>
      </c>
      <c r="CP261">
        <f t="shared" si="248"/>
        <v>954.48</v>
      </c>
      <c r="CQ261">
        <f t="shared" si="249"/>
        <v>0</v>
      </c>
      <c r="CR261">
        <f t="shared" si="250"/>
        <v>0</v>
      </c>
      <c r="CS261">
        <f t="shared" si="251"/>
        <v>0</v>
      </c>
      <c r="CT261">
        <f t="shared" si="252"/>
        <v>2823.92</v>
      </c>
      <c r="CU261">
        <f t="shared" si="253"/>
        <v>0</v>
      </c>
      <c r="CV261">
        <f t="shared" si="254"/>
        <v>11.39</v>
      </c>
      <c r="CW261">
        <f t="shared" si="255"/>
        <v>0</v>
      </c>
      <c r="CX261">
        <f t="shared" si="255"/>
        <v>0</v>
      </c>
      <c r="CY261">
        <f t="shared" si="256"/>
        <v>668.13600000000008</v>
      </c>
      <c r="CZ261">
        <f t="shared" si="257"/>
        <v>95.447999999999993</v>
      </c>
      <c r="DC261" t="s">
        <v>3</v>
      </c>
      <c r="DD261" t="s">
        <v>3</v>
      </c>
      <c r="DE261" t="s">
        <v>3</v>
      </c>
      <c r="DF261" t="s">
        <v>3</v>
      </c>
      <c r="DG261" t="s">
        <v>3</v>
      </c>
      <c r="DH261" t="s">
        <v>3</v>
      </c>
      <c r="DI261" t="s">
        <v>3</v>
      </c>
      <c r="DJ261" t="s">
        <v>3</v>
      </c>
      <c r="DK261" t="s">
        <v>3</v>
      </c>
      <c r="DL261" t="s">
        <v>3</v>
      </c>
      <c r="DM261" t="s">
        <v>3</v>
      </c>
      <c r="DN261">
        <v>0</v>
      </c>
      <c r="DO261">
        <v>0</v>
      </c>
      <c r="DP261">
        <v>1</v>
      </c>
      <c r="DQ261">
        <v>1</v>
      </c>
      <c r="DU261">
        <v>1005</v>
      </c>
      <c r="DV261" t="s">
        <v>42</v>
      </c>
      <c r="DW261" t="s">
        <v>42</v>
      </c>
      <c r="DX261">
        <v>100</v>
      </c>
      <c r="DZ261" t="s">
        <v>3</v>
      </c>
      <c r="EA261" t="s">
        <v>3</v>
      </c>
      <c r="EB261" t="s">
        <v>3</v>
      </c>
      <c r="EC261" t="s">
        <v>3</v>
      </c>
      <c r="EE261">
        <v>71753531</v>
      </c>
      <c r="EF261">
        <v>1</v>
      </c>
      <c r="EG261" t="s">
        <v>22</v>
      </c>
      <c r="EH261">
        <v>0</v>
      </c>
      <c r="EI261" t="s">
        <v>3</v>
      </c>
      <c r="EJ261">
        <v>4</v>
      </c>
      <c r="EK261">
        <v>0</v>
      </c>
      <c r="EL261" t="s">
        <v>23</v>
      </c>
      <c r="EM261" t="s">
        <v>24</v>
      </c>
      <c r="EO261" t="s">
        <v>3</v>
      </c>
      <c r="EQ261">
        <v>0</v>
      </c>
      <c r="ER261">
        <v>2823.92</v>
      </c>
      <c r="ES261">
        <v>0</v>
      </c>
      <c r="ET261">
        <v>0</v>
      </c>
      <c r="EU261">
        <v>0</v>
      </c>
      <c r="EV261">
        <v>2823.92</v>
      </c>
      <c r="EW261">
        <v>11.39</v>
      </c>
      <c r="EX261">
        <v>0</v>
      </c>
      <c r="EY261">
        <v>0</v>
      </c>
      <c r="FQ261">
        <v>0</v>
      </c>
      <c r="FR261">
        <f t="shared" si="258"/>
        <v>0</v>
      </c>
      <c r="FS261">
        <v>0</v>
      </c>
      <c r="FX261">
        <v>70</v>
      </c>
      <c r="FY261">
        <v>10</v>
      </c>
      <c r="GA261" t="s">
        <v>3</v>
      </c>
      <c r="GD261">
        <v>0</v>
      </c>
      <c r="GF261">
        <v>1992875697</v>
      </c>
      <c r="GG261">
        <v>2</v>
      </c>
      <c r="GH261">
        <v>1</v>
      </c>
      <c r="GI261">
        <v>-2</v>
      </c>
      <c r="GJ261">
        <v>0</v>
      </c>
      <c r="GK261">
        <f>ROUND(R261*(R12)/100,2)</f>
        <v>0</v>
      </c>
      <c r="GL261">
        <f t="shared" si="259"/>
        <v>0</v>
      </c>
      <c r="GM261">
        <f t="shared" si="260"/>
        <v>1718.07</v>
      </c>
      <c r="GN261">
        <f t="shared" si="261"/>
        <v>0</v>
      </c>
      <c r="GO261">
        <f t="shared" si="262"/>
        <v>0</v>
      </c>
      <c r="GP261">
        <f t="shared" si="263"/>
        <v>1718.07</v>
      </c>
      <c r="GR261">
        <v>0</v>
      </c>
      <c r="GS261">
        <v>3</v>
      </c>
      <c r="GT261">
        <v>0</v>
      </c>
      <c r="GU261" t="s">
        <v>3</v>
      </c>
      <c r="GV261">
        <f t="shared" si="264"/>
        <v>0</v>
      </c>
      <c r="GW261">
        <v>1</v>
      </c>
      <c r="GX261">
        <f t="shared" si="265"/>
        <v>0</v>
      </c>
      <c r="HA261">
        <v>0</v>
      </c>
      <c r="HB261">
        <v>0</v>
      </c>
      <c r="HC261">
        <f t="shared" si="266"/>
        <v>0</v>
      </c>
      <c r="HE261" t="s">
        <v>3</v>
      </c>
      <c r="HF261" t="s">
        <v>3</v>
      </c>
      <c r="HM261" t="s">
        <v>3</v>
      </c>
      <c r="HN261" t="s">
        <v>3</v>
      </c>
      <c r="HO261" t="s">
        <v>3</v>
      </c>
      <c r="HP261" t="s">
        <v>3</v>
      </c>
      <c r="HQ261" t="s">
        <v>3</v>
      </c>
      <c r="IK261">
        <v>0</v>
      </c>
    </row>
    <row r="262" spans="1:245" x14ac:dyDescent="0.2">
      <c r="A262">
        <v>18</v>
      </c>
      <c r="B262">
        <v>1</v>
      </c>
      <c r="E262" t="s">
        <v>279</v>
      </c>
      <c r="F262" t="s">
        <v>36</v>
      </c>
      <c r="G262" t="s">
        <v>37</v>
      </c>
      <c r="H262" t="s">
        <v>38</v>
      </c>
      <c r="I262">
        <f>I261*J262</f>
        <v>-0.15886</v>
      </c>
      <c r="J262">
        <v>-0.47</v>
      </c>
      <c r="K262">
        <v>-0.47</v>
      </c>
      <c r="O262">
        <f t="shared" si="231"/>
        <v>0</v>
      </c>
      <c r="P262">
        <f t="shared" si="232"/>
        <v>0</v>
      </c>
      <c r="Q262">
        <f t="shared" si="233"/>
        <v>0</v>
      </c>
      <c r="R262">
        <f t="shared" si="234"/>
        <v>0</v>
      </c>
      <c r="S262">
        <f t="shared" si="235"/>
        <v>0</v>
      </c>
      <c r="T262">
        <f t="shared" si="236"/>
        <v>0</v>
      </c>
      <c r="U262">
        <f t="shared" si="237"/>
        <v>0</v>
      </c>
      <c r="V262">
        <f t="shared" si="238"/>
        <v>0</v>
      </c>
      <c r="W262">
        <f t="shared" si="239"/>
        <v>0</v>
      </c>
      <c r="X262">
        <f t="shared" si="240"/>
        <v>0</v>
      </c>
      <c r="Y262">
        <f t="shared" si="240"/>
        <v>0</v>
      </c>
      <c r="AA262">
        <v>72192302</v>
      </c>
      <c r="AB262">
        <f t="shared" si="241"/>
        <v>0</v>
      </c>
      <c r="AC262">
        <f t="shared" si="242"/>
        <v>0</v>
      </c>
      <c r="AD262">
        <f t="shared" si="243"/>
        <v>0</v>
      </c>
      <c r="AE262">
        <f t="shared" si="244"/>
        <v>0</v>
      </c>
      <c r="AF262">
        <f t="shared" si="244"/>
        <v>0</v>
      </c>
      <c r="AG262">
        <f t="shared" si="245"/>
        <v>0</v>
      </c>
      <c r="AH262">
        <f t="shared" si="246"/>
        <v>0</v>
      </c>
      <c r="AI262">
        <f t="shared" si="246"/>
        <v>0</v>
      </c>
      <c r="AJ262">
        <f t="shared" si="247"/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70</v>
      </c>
      <c r="AU262">
        <v>10</v>
      </c>
      <c r="AV262">
        <v>1</v>
      </c>
      <c r="AW262">
        <v>1</v>
      </c>
      <c r="AZ262">
        <v>1</v>
      </c>
      <c r="BA262">
        <v>1</v>
      </c>
      <c r="BB262">
        <v>1</v>
      </c>
      <c r="BC262">
        <v>1</v>
      </c>
      <c r="BD262" t="s">
        <v>3</v>
      </c>
      <c r="BE262" t="s">
        <v>3</v>
      </c>
      <c r="BF262" t="s">
        <v>3</v>
      </c>
      <c r="BG262" t="s">
        <v>3</v>
      </c>
      <c r="BH262">
        <v>3</v>
      </c>
      <c r="BI262">
        <v>4</v>
      </c>
      <c r="BJ262" t="s">
        <v>3</v>
      </c>
      <c r="BM262">
        <v>0</v>
      </c>
      <c r="BN262">
        <v>0</v>
      </c>
      <c r="BO262" t="s">
        <v>3</v>
      </c>
      <c r="BP262">
        <v>0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 t="s">
        <v>3</v>
      </c>
      <c r="BZ262">
        <v>70</v>
      </c>
      <c r="CA262">
        <v>10</v>
      </c>
      <c r="CB262" t="s">
        <v>3</v>
      </c>
      <c r="CE262">
        <v>0</v>
      </c>
      <c r="CF262">
        <v>0</v>
      </c>
      <c r="CG262">
        <v>0</v>
      </c>
      <c r="CM262">
        <v>0</v>
      </c>
      <c r="CN262" t="s">
        <v>3</v>
      </c>
      <c r="CO262">
        <v>0</v>
      </c>
      <c r="CP262">
        <f t="shared" si="248"/>
        <v>0</v>
      </c>
      <c r="CQ262">
        <f t="shared" si="249"/>
        <v>0</v>
      </c>
      <c r="CR262">
        <f t="shared" si="250"/>
        <v>0</v>
      </c>
      <c r="CS262">
        <f t="shared" si="251"/>
        <v>0</v>
      </c>
      <c r="CT262">
        <f t="shared" si="252"/>
        <v>0</v>
      </c>
      <c r="CU262">
        <f t="shared" si="253"/>
        <v>0</v>
      </c>
      <c r="CV262">
        <f t="shared" si="254"/>
        <v>0</v>
      </c>
      <c r="CW262">
        <f t="shared" si="255"/>
        <v>0</v>
      </c>
      <c r="CX262">
        <f t="shared" si="255"/>
        <v>0</v>
      </c>
      <c r="CY262">
        <f t="shared" si="256"/>
        <v>0</v>
      </c>
      <c r="CZ262">
        <f t="shared" si="257"/>
        <v>0</v>
      </c>
      <c r="DC262" t="s">
        <v>3</v>
      </c>
      <c r="DD262" t="s">
        <v>3</v>
      </c>
      <c r="DE262" t="s">
        <v>3</v>
      </c>
      <c r="DF262" t="s">
        <v>3</v>
      </c>
      <c r="DG262" t="s">
        <v>3</v>
      </c>
      <c r="DH262" t="s">
        <v>3</v>
      </c>
      <c r="DI262" t="s">
        <v>3</v>
      </c>
      <c r="DJ262" t="s">
        <v>3</v>
      </c>
      <c r="DK262" t="s">
        <v>3</v>
      </c>
      <c r="DL262" t="s">
        <v>3</v>
      </c>
      <c r="DM262" t="s">
        <v>3</v>
      </c>
      <c r="DN262">
        <v>0</v>
      </c>
      <c r="DO262">
        <v>0</v>
      </c>
      <c r="DP262">
        <v>1</v>
      </c>
      <c r="DQ262">
        <v>1</v>
      </c>
      <c r="DU262">
        <v>1009</v>
      </c>
      <c r="DV262" t="s">
        <v>38</v>
      </c>
      <c r="DW262" t="s">
        <v>38</v>
      </c>
      <c r="DX262">
        <v>1000</v>
      </c>
      <c r="DZ262" t="s">
        <v>3</v>
      </c>
      <c r="EA262" t="s">
        <v>3</v>
      </c>
      <c r="EB262" t="s">
        <v>3</v>
      </c>
      <c r="EC262" t="s">
        <v>3</v>
      </c>
      <c r="EE262">
        <v>71753531</v>
      </c>
      <c r="EF262">
        <v>1</v>
      </c>
      <c r="EG262" t="s">
        <v>22</v>
      </c>
      <c r="EH262">
        <v>0</v>
      </c>
      <c r="EI262" t="s">
        <v>3</v>
      </c>
      <c r="EJ262">
        <v>4</v>
      </c>
      <c r="EK262">
        <v>0</v>
      </c>
      <c r="EL262" t="s">
        <v>23</v>
      </c>
      <c r="EM262" t="s">
        <v>24</v>
      </c>
      <c r="EO262" t="s">
        <v>3</v>
      </c>
      <c r="EQ262">
        <v>32768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FQ262">
        <v>0</v>
      </c>
      <c r="FR262">
        <f t="shared" si="258"/>
        <v>0</v>
      </c>
      <c r="FS262">
        <v>0</v>
      </c>
      <c r="FX262">
        <v>70</v>
      </c>
      <c r="FY262">
        <v>10</v>
      </c>
      <c r="GA262" t="s">
        <v>3</v>
      </c>
      <c r="GD262">
        <v>0</v>
      </c>
      <c r="GF262">
        <v>1489638031</v>
      </c>
      <c r="GG262">
        <v>2</v>
      </c>
      <c r="GH262">
        <v>1</v>
      </c>
      <c r="GI262">
        <v>-2</v>
      </c>
      <c r="GJ262">
        <v>0</v>
      </c>
      <c r="GK262">
        <f>ROUND(R262*(R12)/100,2)</f>
        <v>0</v>
      </c>
      <c r="GL262">
        <f t="shared" si="259"/>
        <v>0</v>
      </c>
      <c r="GM262">
        <f t="shared" si="260"/>
        <v>0</v>
      </c>
      <c r="GN262">
        <f t="shared" si="261"/>
        <v>0</v>
      </c>
      <c r="GO262">
        <f t="shared" si="262"/>
        <v>0</v>
      </c>
      <c r="GP262">
        <f t="shared" si="263"/>
        <v>0</v>
      </c>
      <c r="GR262">
        <v>0</v>
      </c>
      <c r="GS262">
        <v>3</v>
      </c>
      <c r="GT262">
        <v>0</v>
      </c>
      <c r="GU262" t="s">
        <v>3</v>
      </c>
      <c r="GV262">
        <f t="shared" si="264"/>
        <v>0</v>
      </c>
      <c r="GW262">
        <v>1</v>
      </c>
      <c r="GX262">
        <f t="shared" si="265"/>
        <v>0</v>
      </c>
      <c r="HA262">
        <v>0</v>
      </c>
      <c r="HB262">
        <v>0</v>
      </c>
      <c r="HC262">
        <f t="shared" si="266"/>
        <v>0</v>
      </c>
      <c r="HE262" t="s">
        <v>3</v>
      </c>
      <c r="HF262" t="s">
        <v>3</v>
      </c>
      <c r="HM262" t="s">
        <v>3</v>
      </c>
      <c r="HN262" t="s">
        <v>3</v>
      </c>
      <c r="HO262" t="s">
        <v>3</v>
      </c>
      <c r="HP262" t="s">
        <v>3</v>
      </c>
      <c r="HQ262" t="s">
        <v>3</v>
      </c>
      <c r="IK262">
        <v>0</v>
      </c>
    </row>
    <row r="264" spans="1:245" x14ac:dyDescent="0.2">
      <c r="A264" s="2">
        <v>51</v>
      </c>
      <c r="B264" s="2">
        <f>B251</f>
        <v>1</v>
      </c>
      <c r="C264" s="2">
        <f>A251</f>
        <v>5</v>
      </c>
      <c r="D264" s="2">
        <f>ROW(A251)</f>
        <v>251</v>
      </c>
      <c r="E264" s="2"/>
      <c r="F264" s="2" t="str">
        <f>IF(F251&lt;&gt;"",F251,"")</f>
        <v>Новый подраздел</v>
      </c>
      <c r="G264" s="2" t="str">
        <f>IF(G251&lt;&gt;"",G251,"")</f>
        <v>2.1 Тренерская</v>
      </c>
      <c r="H264" s="2">
        <v>0</v>
      </c>
      <c r="I264" s="2"/>
      <c r="J264" s="2"/>
      <c r="K264" s="2"/>
      <c r="L264" s="2"/>
      <c r="M264" s="2"/>
      <c r="N264" s="2"/>
      <c r="O264" s="2">
        <f t="shared" ref="O264:T264" si="267">ROUND(AB264,2)</f>
        <v>5343.62</v>
      </c>
      <c r="P264" s="2">
        <f t="shared" si="267"/>
        <v>30.97</v>
      </c>
      <c r="Q264" s="2">
        <f t="shared" si="267"/>
        <v>2.1800000000000002</v>
      </c>
      <c r="R264" s="2">
        <f t="shared" si="267"/>
        <v>0.05</v>
      </c>
      <c r="S264" s="2">
        <f t="shared" si="267"/>
        <v>5310.47</v>
      </c>
      <c r="T264" s="2">
        <f t="shared" si="267"/>
        <v>0</v>
      </c>
      <c r="U264" s="2">
        <f>AH264</f>
        <v>20.925216000000002</v>
      </c>
      <c r="V264" s="2">
        <f>AI264</f>
        <v>0</v>
      </c>
      <c r="W264" s="2">
        <f>ROUND(AJ264,2)</f>
        <v>0</v>
      </c>
      <c r="X264" s="2">
        <f>ROUND(AK264,2)</f>
        <v>3717.34</v>
      </c>
      <c r="Y264" s="2">
        <f>ROUND(AL264,2)</f>
        <v>531.04999999999995</v>
      </c>
      <c r="Z264" s="2"/>
      <c r="AA264" s="2"/>
      <c r="AB264" s="2">
        <f>ROUND(SUMIF(AA255:AA262,"=72192302",O255:O262),2)</f>
        <v>5343.62</v>
      </c>
      <c r="AC264" s="2">
        <f>ROUND(SUMIF(AA255:AA262,"=72192302",P255:P262),2)</f>
        <v>30.97</v>
      </c>
      <c r="AD264" s="2">
        <f>ROUND(SUMIF(AA255:AA262,"=72192302",Q255:Q262),2)</f>
        <v>2.1800000000000002</v>
      </c>
      <c r="AE264" s="2">
        <f>ROUND(SUMIF(AA255:AA262,"=72192302",R255:R262),2)</f>
        <v>0.05</v>
      </c>
      <c r="AF264" s="2">
        <f>ROUND(SUMIF(AA255:AA262,"=72192302",S255:S262),2)</f>
        <v>5310.47</v>
      </c>
      <c r="AG264" s="2">
        <f>ROUND(SUMIF(AA255:AA262,"=72192302",T255:T262),2)</f>
        <v>0</v>
      </c>
      <c r="AH264" s="2">
        <f>SUMIF(AA255:AA262,"=72192302",U255:U262)</f>
        <v>20.925216000000002</v>
      </c>
      <c r="AI264" s="2">
        <f>SUMIF(AA255:AA262,"=72192302",V255:V262)</f>
        <v>0</v>
      </c>
      <c r="AJ264" s="2">
        <f>ROUND(SUMIF(AA255:AA262,"=72192302",W255:W262),2)</f>
        <v>0</v>
      </c>
      <c r="AK264" s="2">
        <f>ROUND(SUMIF(AA255:AA262,"=72192302",X255:X262),2)</f>
        <v>3717.34</v>
      </c>
      <c r="AL264" s="2">
        <f>ROUND(SUMIF(AA255:AA262,"=72192302",Y255:Y262),2)</f>
        <v>531.04999999999995</v>
      </c>
      <c r="AM264" s="2"/>
      <c r="AN264" s="2"/>
      <c r="AO264" s="2">
        <f t="shared" ref="AO264:BD264" si="268">ROUND(BX264,2)</f>
        <v>0</v>
      </c>
      <c r="AP264" s="2">
        <f t="shared" si="268"/>
        <v>0</v>
      </c>
      <c r="AQ264" s="2">
        <f t="shared" si="268"/>
        <v>0</v>
      </c>
      <c r="AR264" s="2">
        <f t="shared" si="268"/>
        <v>9592.06</v>
      </c>
      <c r="AS264" s="2">
        <f t="shared" si="268"/>
        <v>0</v>
      </c>
      <c r="AT264" s="2">
        <f t="shared" si="268"/>
        <v>0</v>
      </c>
      <c r="AU264" s="2">
        <f t="shared" si="268"/>
        <v>9592.06</v>
      </c>
      <c r="AV264" s="2">
        <f t="shared" si="268"/>
        <v>30.97</v>
      </c>
      <c r="AW264" s="2">
        <f t="shared" si="268"/>
        <v>30.97</v>
      </c>
      <c r="AX264" s="2">
        <f t="shared" si="268"/>
        <v>0</v>
      </c>
      <c r="AY264" s="2">
        <f t="shared" si="268"/>
        <v>30.97</v>
      </c>
      <c r="AZ264" s="2">
        <f t="shared" si="268"/>
        <v>0</v>
      </c>
      <c r="BA264" s="2">
        <f t="shared" si="268"/>
        <v>0</v>
      </c>
      <c r="BB264" s="2">
        <f t="shared" si="268"/>
        <v>0</v>
      </c>
      <c r="BC264" s="2">
        <f t="shared" si="268"/>
        <v>0</v>
      </c>
      <c r="BD264" s="2">
        <f t="shared" si="268"/>
        <v>0</v>
      </c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>
        <f>ROUND(SUMIF(AA255:AA262,"=72192302",FQ255:FQ262),2)</f>
        <v>0</v>
      </c>
      <c r="BY264" s="2">
        <f>ROUND(SUMIF(AA255:AA262,"=72192302",FR255:FR262),2)</f>
        <v>0</v>
      </c>
      <c r="BZ264" s="2">
        <f>ROUND(SUMIF(AA255:AA262,"=72192302",GL255:GL262),2)</f>
        <v>0</v>
      </c>
      <c r="CA264" s="2">
        <f>ROUND(SUMIF(AA255:AA262,"=72192302",GM255:GM262),2)</f>
        <v>9592.06</v>
      </c>
      <c r="CB264" s="2">
        <f>ROUND(SUMIF(AA255:AA262,"=72192302",GN255:GN262),2)</f>
        <v>0</v>
      </c>
      <c r="CC264" s="2">
        <f>ROUND(SUMIF(AA255:AA262,"=72192302",GO255:GO262),2)</f>
        <v>0</v>
      </c>
      <c r="CD264" s="2">
        <f>ROUND(SUMIF(AA255:AA262,"=72192302",GP255:GP262),2)</f>
        <v>9592.06</v>
      </c>
      <c r="CE264" s="2">
        <f>AC264-BX264</f>
        <v>30.97</v>
      </c>
      <c r="CF264" s="2">
        <f>AC264-BY264</f>
        <v>30.97</v>
      </c>
      <c r="CG264" s="2">
        <f>BX264-BZ264</f>
        <v>0</v>
      </c>
      <c r="CH264" s="2">
        <f>AC264-BX264-BY264+BZ264</f>
        <v>30.97</v>
      </c>
      <c r="CI264" s="2">
        <f>BY264-BZ264</f>
        <v>0</v>
      </c>
      <c r="CJ264" s="2">
        <f>ROUND(SUMIF(AA255:AA262,"=72192302",GX255:GX262),2)</f>
        <v>0</v>
      </c>
      <c r="CK264" s="2">
        <f>ROUND(SUMIF(AA255:AA262,"=72192302",GY255:GY262),2)</f>
        <v>0</v>
      </c>
      <c r="CL264" s="2">
        <f>ROUND(SUMIF(AA255:AA262,"=72192302",GZ255:GZ262),2)</f>
        <v>0</v>
      </c>
      <c r="CM264" s="2">
        <f>ROUND(SUMIF(AA255:AA262,"=72192302",HD255:HD262),2)</f>
        <v>0</v>
      </c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>
        <v>0</v>
      </c>
    </row>
    <row r="266" spans="1:245" x14ac:dyDescent="0.2">
      <c r="A266" s="4">
        <v>50</v>
      </c>
      <c r="B266" s="4">
        <v>0</v>
      </c>
      <c r="C266" s="4">
        <v>0</v>
      </c>
      <c r="D266" s="4">
        <v>1</v>
      </c>
      <c r="E266" s="4">
        <v>201</v>
      </c>
      <c r="F266" s="4">
        <f>ROUND(Source!O264,O266)</f>
        <v>5343.62</v>
      </c>
      <c r="G266" s="4" t="s">
        <v>64</v>
      </c>
      <c r="H266" s="4" t="s">
        <v>65</v>
      </c>
      <c r="I266" s="4"/>
      <c r="J266" s="4"/>
      <c r="K266" s="4">
        <v>201</v>
      </c>
      <c r="L266" s="4">
        <v>1</v>
      </c>
      <c r="M266" s="4">
        <v>3</v>
      </c>
      <c r="N266" s="4" t="s">
        <v>3</v>
      </c>
      <c r="O266" s="4">
        <v>2</v>
      </c>
      <c r="P266" s="4"/>
      <c r="Q266" s="4"/>
      <c r="R266" s="4"/>
      <c r="S266" s="4"/>
      <c r="T266" s="4"/>
      <c r="U266" s="4"/>
      <c r="V266" s="4"/>
      <c r="W266" s="4">
        <v>5343.62</v>
      </c>
      <c r="X266" s="4">
        <v>1</v>
      </c>
      <c r="Y266" s="4">
        <v>5343.62</v>
      </c>
      <c r="Z266" s="4"/>
      <c r="AA266" s="4"/>
      <c r="AB266" s="4"/>
    </row>
    <row r="267" spans="1:245" x14ac:dyDescent="0.2">
      <c r="A267" s="4">
        <v>50</v>
      </c>
      <c r="B267" s="4">
        <v>0</v>
      </c>
      <c r="C267" s="4">
        <v>0</v>
      </c>
      <c r="D267" s="4">
        <v>1</v>
      </c>
      <c r="E267" s="4">
        <v>202</v>
      </c>
      <c r="F267" s="4">
        <f>ROUND(Source!P264,O267)</f>
        <v>30.97</v>
      </c>
      <c r="G267" s="4" t="s">
        <v>66</v>
      </c>
      <c r="H267" s="4" t="s">
        <v>67</v>
      </c>
      <c r="I267" s="4"/>
      <c r="J267" s="4"/>
      <c r="K267" s="4">
        <v>202</v>
      </c>
      <c r="L267" s="4">
        <v>2</v>
      </c>
      <c r="M267" s="4">
        <v>3</v>
      </c>
      <c r="N267" s="4" t="s">
        <v>3</v>
      </c>
      <c r="O267" s="4">
        <v>2</v>
      </c>
      <c r="P267" s="4"/>
      <c r="Q267" s="4"/>
      <c r="R267" s="4"/>
      <c r="S267" s="4"/>
      <c r="T267" s="4"/>
      <c r="U267" s="4"/>
      <c r="V267" s="4"/>
      <c r="W267" s="4">
        <v>30.97</v>
      </c>
      <c r="X267" s="4">
        <v>1</v>
      </c>
      <c r="Y267" s="4">
        <v>30.97</v>
      </c>
      <c r="Z267" s="4"/>
      <c r="AA267" s="4"/>
      <c r="AB267" s="4"/>
    </row>
    <row r="268" spans="1:245" x14ac:dyDescent="0.2">
      <c r="A268" s="4">
        <v>50</v>
      </c>
      <c r="B268" s="4">
        <v>0</v>
      </c>
      <c r="C268" s="4">
        <v>0</v>
      </c>
      <c r="D268" s="4">
        <v>1</v>
      </c>
      <c r="E268" s="4">
        <v>222</v>
      </c>
      <c r="F268" s="4">
        <f>ROUND(Source!AO264,O268)</f>
        <v>0</v>
      </c>
      <c r="G268" s="4" t="s">
        <v>68</v>
      </c>
      <c r="H268" s="4" t="s">
        <v>69</v>
      </c>
      <c r="I268" s="4"/>
      <c r="J268" s="4"/>
      <c r="K268" s="4">
        <v>222</v>
      </c>
      <c r="L268" s="4">
        <v>3</v>
      </c>
      <c r="M268" s="4">
        <v>3</v>
      </c>
      <c r="N268" s="4" t="s">
        <v>3</v>
      </c>
      <c r="O268" s="4">
        <v>2</v>
      </c>
      <c r="P268" s="4"/>
      <c r="Q268" s="4"/>
      <c r="R268" s="4"/>
      <c r="S268" s="4"/>
      <c r="T268" s="4"/>
      <c r="U268" s="4"/>
      <c r="V268" s="4"/>
      <c r="W268" s="4">
        <v>0</v>
      </c>
      <c r="X268" s="4">
        <v>1</v>
      </c>
      <c r="Y268" s="4">
        <v>0</v>
      </c>
      <c r="Z268" s="4"/>
      <c r="AA268" s="4"/>
      <c r="AB268" s="4"/>
    </row>
    <row r="269" spans="1:245" x14ac:dyDescent="0.2">
      <c r="A269" s="4">
        <v>50</v>
      </c>
      <c r="B269" s="4">
        <v>0</v>
      </c>
      <c r="C269" s="4">
        <v>0</v>
      </c>
      <c r="D269" s="4">
        <v>1</v>
      </c>
      <c r="E269" s="4">
        <v>225</v>
      </c>
      <c r="F269" s="4">
        <f>ROUND(Source!AV264,O269)</f>
        <v>30.97</v>
      </c>
      <c r="G269" s="4" t="s">
        <v>70</v>
      </c>
      <c r="H269" s="4" t="s">
        <v>71</v>
      </c>
      <c r="I269" s="4"/>
      <c r="J269" s="4"/>
      <c r="K269" s="4">
        <v>225</v>
      </c>
      <c r="L269" s="4">
        <v>4</v>
      </c>
      <c r="M269" s="4">
        <v>3</v>
      </c>
      <c r="N269" s="4" t="s">
        <v>3</v>
      </c>
      <c r="O269" s="4">
        <v>2</v>
      </c>
      <c r="P269" s="4"/>
      <c r="Q269" s="4"/>
      <c r="R269" s="4"/>
      <c r="S269" s="4"/>
      <c r="T269" s="4"/>
      <c r="U269" s="4"/>
      <c r="V269" s="4"/>
      <c r="W269" s="4">
        <v>30.97</v>
      </c>
      <c r="X269" s="4">
        <v>1</v>
      </c>
      <c r="Y269" s="4">
        <v>30.97</v>
      </c>
      <c r="Z269" s="4"/>
      <c r="AA269" s="4"/>
      <c r="AB269" s="4"/>
    </row>
    <row r="270" spans="1:245" x14ac:dyDescent="0.2">
      <c r="A270" s="4">
        <v>50</v>
      </c>
      <c r="B270" s="4">
        <v>0</v>
      </c>
      <c r="C270" s="4">
        <v>0</v>
      </c>
      <c r="D270" s="4">
        <v>1</v>
      </c>
      <c r="E270" s="4">
        <v>226</v>
      </c>
      <c r="F270" s="4">
        <f>ROUND(Source!AW264,O270)</f>
        <v>30.97</v>
      </c>
      <c r="G270" s="4" t="s">
        <v>72</v>
      </c>
      <c r="H270" s="4" t="s">
        <v>73</v>
      </c>
      <c r="I270" s="4"/>
      <c r="J270" s="4"/>
      <c r="K270" s="4">
        <v>226</v>
      </c>
      <c r="L270" s="4">
        <v>5</v>
      </c>
      <c r="M270" s="4">
        <v>3</v>
      </c>
      <c r="N270" s="4" t="s">
        <v>3</v>
      </c>
      <c r="O270" s="4">
        <v>2</v>
      </c>
      <c r="P270" s="4"/>
      <c r="Q270" s="4"/>
      <c r="R270" s="4"/>
      <c r="S270" s="4"/>
      <c r="T270" s="4"/>
      <c r="U270" s="4"/>
      <c r="V270" s="4"/>
      <c r="W270" s="4">
        <v>30.97</v>
      </c>
      <c r="X270" s="4">
        <v>1</v>
      </c>
      <c r="Y270" s="4">
        <v>30.97</v>
      </c>
      <c r="Z270" s="4"/>
      <c r="AA270" s="4"/>
      <c r="AB270" s="4"/>
    </row>
    <row r="271" spans="1:245" x14ac:dyDescent="0.2">
      <c r="A271" s="4">
        <v>50</v>
      </c>
      <c r="B271" s="4">
        <v>0</v>
      </c>
      <c r="C271" s="4">
        <v>0</v>
      </c>
      <c r="D271" s="4">
        <v>1</v>
      </c>
      <c r="E271" s="4">
        <v>227</v>
      </c>
      <c r="F271" s="4">
        <f>ROUND(Source!AX264,O271)</f>
        <v>0</v>
      </c>
      <c r="G271" s="4" t="s">
        <v>74</v>
      </c>
      <c r="H271" s="4" t="s">
        <v>75</v>
      </c>
      <c r="I271" s="4"/>
      <c r="J271" s="4"/>
      <c r="K271" s="4">
        <v>227</v>
      </c>
      <c r="L271" s="4">
        <v>6</v>
      </c>
      <c r="M271" s="4">
        <v>3</v>
      </c>
      <c r="N271" s="4" t="s">
        <v>3</v>
      </c>
      <c r="O271" s="4">
        <v>2</v>
      </c>
      <c r="P271" s="4"/>
      <c r="Q271" s="4"/>
      <c r="R271" s="4"/>
      <c r="S271" s="4"/>
      <c r="T271" s="4"/>
      <c r="U271" s="4"/>
      <c r="V271" s="4"/>
      <c r="W271" s="4">
        <v>0</v>
      </c>
      <c r="X271" s="4">
        <v>1</v>
      </c>
      <c r="Y271" s="4">
        <v>0</v>
      </c>
      <c r="Z271" s="4"/>
      <c r="AA271" s="4"/>
      <c r="AB271" s="4"/>
    </row>
    <row r="272" spans="1:245" x14ac:dyDescent="0.2">
      <c r="A272" s="4">
        <v>50</v>
      </c>
      <c r="B272" s="4">
        <v>0</v>
      </c>
      <c r="C272" s="4">
        <v>0</v>
      </c>
      <c r="D272" s="4">
        <v>1</v>
      </c>
      <c r="E272" s="4">
        <v>228</v>
      </c>
      <c r="F272" s="4">
        <f>ROUND(Source!AY264,O272)</f>
        <v>30.97</v>
      </c>
      <c r="G272" s="4" t="s">
        <v>76</v>
      </c>
      <c r="H272" s="4" t="s">
        <v>77</v>
      </c>
      <c r="I272" s="4"/>
      <c r="J272" s="4"/>
      <c r="K272" s="4">
        <v>228</v>
      </c>
      <c r="L272" s="4">
        <v>7</v>
      </c>
      <c r="M272" s="4">
        <v>3</v>
      </c>
      <c r="N272" s="4" t="s">
        <v>3</v>
      </c>
      <c r="O272" s="4">
        <v>2</v>
      </c>
      <c r="P272" s="4"/>
      <c r="Q272" s="4"/>
      <c r="R272" s="4"/>
      <c r="S272" s="4"/>
      <c r="T272" s="4"/>
      <c r="U272" s="4"/>
      <c r="V272" s="4"/>
      <c r="W272" s="4">
        <v>30.97</v>
      </c>
      <c r="X272" s="4">
        <v>1</v>
      </c>
      <c r="Y272" s="4">
        <v>30.97</v>
      </c>
      <c r="Z272" s="4"/>
      <c r="AA272" s="4"/>
      <c r="AB272" s="4"/>
    </row>
    <row r="273" spans="1:28" x14ac:dyDescent="0.2">
      <c r="A273" s="4">
        <v>50</v>
      </c>
      <c r="B273" s="4">
        <v>0</v>
      </c>
      <c r="C273" s="4">
        <v>0</v>
      </c>
      <c r="D273" s="4">
        <v>1</v>
      </c>
      <c r="E273" s="4">
        <v>216</v>
      </c>
      <c r="F273" s="4">
        <f>ROUND(Source!AP264,O273)</f>
        <v>0</v>
      </c>
      <c r="G273" s="4" t="s">
        <v>78</v>
      </c>
      <c r="H273" s="4" t="s">
        <v>79</v>
      </c>
      <c r="I273" s="4"/>
      <c r="J273" s="4"/>
      <c r="K273" s="4">
        <v>216</v>
      </c>
      <c r="L273" s="4">
        <v>8</v>
      </c>
      <c r="M273" s="4">
        <v>3</v>
      </c>
      <c r="N273" s="4" t="s">
        <v>3</v>
      </c>
      <c r="O273" s="4">
        <v>2</v>
      </c>
      <c r="P273" s="4"/>
      <c r="Q273" s="4"/>
      <c r="R273" s="4"/>
      <c r="S273" s="4"/>
      <c r="T273" s="4"/>
      <c r="U273" s="4"/>
      <c r="V273" s="4"/>
      <c r="W273" s="4">
        <v>0</v>
      </c>
      <c r="X273" s="4">
        <v>1</v>
      </c>
      <c r="Y273" s="4">
        <v>0</v>
      </c>
      <c r="Z273" s="4"/>
      <c r="AA273" s="4"/>
      <c r="AB273" s="4"/>
    </row>
    <row r="274" spans="1:28" x14ac:dyDescent="0.2">
      <c r="A274" s="4">
        <v>50</v>
      </c>
      <c r="B274" s="4">
        <v>0</v>
      </c>
      <c r="C274" s="4">
        <v>0</v>
      </c>
      <c r="D274" s="4">
        <v>1</v>
      </c>
      <c r="E274" s="4">
        <v>223</v>
      </c>
      <c r="F274" s="4">
        <f>ROUND(Source!AQ264,O274)</f>
        <v>0</v>
      </c>
      <c r="G274" s="4" t="s">
        <v>80</v>
      </c>
      <c r="H274" s="4" t="s">
        <v>81</v>
      </c>
      <c r="I274" s="4"/>
      <c r="J274" s="4"/>
      <c r="K274" s="4">
        <v>223</v>
      </c>
      <c r="L274" s="4">
        <v>9</v>
      </c>
      <c r="M274" s="4">
        <v>3</v>
      </c>
      <c r="N274" s="4" t="s">
        <v>3</v>
      </c>
      <c r="O274" s="4">
        <v>2</v>
      </c>
      <c r="P274" s="4"/>
      <c r="Q274" s="4"/>
      <c r="R274" s="4"/>
      <c r="S274" s="4"/>
      <c r="T274" s="4"/>
      <c r="U274" s="4"/>
      <c r="V274" s="4"/>
      <c r="W274" s="4">
        <v>0</v>
      </c>
      <c r="X274" s="4">
        <v>1</v>
      </c>
      <c r="Y274" s="4">
        <v>0</v>
      </c>
      <c r="Z274" s="4"/>
      <c r="AA274" s="4"/>
      <c r="AB274" s="4"/>
    </row>
    <row r="275" spans="1:28" x14ac:dyDescent="0.2">
      <c r="A275" s="4">
        <v>50</v>
      </c>
      <c r="B275" s="4">
        <v>0</v>
      </c>
      <c r="C275" s="4">
        <v>0</v>
      </c>
      <c r="D275" s="4">
        <v>1</v>
      </c>
      <c r="E275" s="4">
        <v>229</v>
      </c>
      <c r="F275" s="4">
        <f>ROUND(Source!AZ264,O275)</f>
        <v>0</v>
      </c>
      <c r="G275" s="4" t="s">
        <v>82</v>
      </c>
      <c r="H275" s="4" t="s">
        <v>83</v>
      </c>
      <c r="I275" s="4"/>
      <c r="J275" s="4"/>
      <c r="K275" s="4">
        <v>229</v>
      </c>
      <c r="L275" s="4">
        <v>10</v>
      </c>
      <c r="M275" s="4">
        <v>3</v>
      </c>
      <c r="N275" s="4" t="s">
        <v>3</v>
      </c>
      <c r="O275" s="4">
        <v>2</v>
      </c>
      <c r="P275" s="4"/>
      <c r="Q275" s="4"/>
      <c r="R275" s="4"/>
      <c r="S275" s="4"/>
      <c r="T275" s="4"/>
      <c r="U275" s="4"/>
      <c r="V275" s="4"/>
      <c r="W275" s="4">
        <v>0</v>
      </c>
      <c r="X275" s="4">
        <v>1</v>
      </c>
      <c r="Y275" s="4">
        <v>0</v>
      </c>
      <c r="Z275" s="4"/>
      <c r="AA275" s="4"/>
      <c r="AB275" s="4"/>
    </row>
    <row r="276" spans="1:28" x14ac:dyDescent="0.2">
      <c r="A276" s="4">
        <v>50</v>
      </c>
      <c r="B276" s="4">
        <v>0</v>
      </c>
      <c r="C276" s="4">
        <v>0</v>
      </c>
      <c r="D276" s="4">
        <v>1</v>
      </c>
      <c r="E276" s="4">
        <v>203</v>
      </c>
      <c r="F276" s="4">
        <f>ROUND(Source!Q264,O276)</f>
        <v>2.1800000000000002</v>
      </c>
      <c r="G276" s="4" t="s">
        <v>84</v>
      </c>
      <c r="H276" s="4" t="s">
        <v>85</v>
      </c>
      <c r="I276" s="4"/>
      <c r="J276" s="4"/>
      <c r="K276" s="4">
        <v>203</v>
      </c>
      <c r="L276" s="4">
        <v>11</v>
      </c>
      <c r="M276" s="4">
        <v>3</v>
      </c>
      <c r="N276" s="4" t="s">
        <v>3</v>
      </c>
      <c r="O276" s="4">
        <v>2</v>
      </c>
      <c r="P276" s="4"/>
      <c r="Q276" s="4"/>
      <c r="R276" s="4"/>
      <c r="S276" s="4"/>
      <c r="T276" s="4"/>
      <c r="U276" s="4"/>
      <c r="V276" s="4"/>
      <c r="W276" s="4">
        <v>2.1800000000000002</v>
      </c>
      <c r="X276" s="4">
        <v>1</v>
      </c>
      <c r="Y276" s="4">
        <v>2.1800000000000002</v>
      </c>
      <c r="Z276" s="4"/>
      <c r="AA276" s="4"/>
      <c r="AB276" s="4"/>
    </row>
    <row r="277" spans="1:28" x14ac:dyDescent="0.2">
      <c r="A277" s="4">
        <v>50</v>
      </c>
      <c r="B277" s="4">
        <v>0</v>
      </c>
      <c r="C277" s="4">
        <v>0</v>
      </c>
      <c r="D277" s="4">
        <v>1</v>
      </c>
      <c r="E277" s="4">
        <v>231</v>
      </c>
      <c r="F277" s="4">
        <f>ROUND(Source!BB264,O277)</f>
        <v>0</v>
      </c>
      <c r="G277" s="4" t="s">
        <v>86</v>
      </c>
      <c r="H277" s="4" t="s">
        <v>87</v>
      </c>
      <c r="I277" s="4"/>
      <c r="J277" s="4"/>
      <c r="K277" s="4">
        <v>231</v>
      </c>
      <c r="L277" s="4">
        <v>12</v>
      </c>
      <c r="M277" s="4">
        <v>3</v>
      </c>
      <c r="N277" s="4" t="s">
        <v>3</v>
      </c>
      <c r="O277" s="4">
        <v>2</v>
      </c>
      <c r="P277" s="4"/>
      <c r="Q277" s="4"/>
      <c r="R277" s="4"/>
      <c r="S277" s="4"/>
      <c r="T277" s="4"/>
      <c r="U277" s="4"/>
      <c r="V277" s="4"/>
      <c r="W277" s="4">
        <v>0</v>
      </c>
      <c r="X277" s="4">
        <v>1</v>
      </c>
      <c r="Y277" s="4">
        <v>0</v>
      </c>
      <c r="Z277" s="4"/>
      <c r="AA277" s="4"/>
      <c r="AB277" s="4"/>
    </row>
    <row r="278" spans="1:28" x14ac:dyDescent="0.2">
      <c r="A278" s="4">
        <v>50</v>
      </c>
      <c r="B278" s="4">
        <v>0</v>
      </c>
      <c r="C278" s="4">
        <v>0</v>
      </c>
      <c r="D278" s="4">
        <v>1</v>
      </c>
      <c r="E278" s="4">
        <v>204</v>
      </c>
      <c r="F278" s="4">
        <f>ROUND(Source!R264,O278)</f>
        <v>0.05</v>
      </c>
      <c r="G278" s="4" t="s">
        <v>88</v>
      </c>
      <c r="H278" s="4" t="s">
        <v>89</v>
      </c>
      <c r="I278" s="4"/>
      <c r="J278" s="4"/>
      <c r="K278" s="4">
        <v>204</v>
      </c>
      <c r="L278" s="4">
        <v>13</v>
      </c>
      <c r="M278" s="4">
        <v>3</v>
      </c>
      <c r="N278" s="4" t="s">
        <v>3</v>
      </c>
      <c r="O278" s="4">
        <v>2</v>
      </c>
      <c r="P278" s="4"/>
      <c r="Q278" s="4"/>
      <c r="R278" s="4"/>
      <c r="S278" s="4"/>
      <c r="T278" s="4"/>
      <c r="U278" s="4"/>
      <c r="V278" s="4"/>
      <c r="W278" s="4">
        <v>0.05</v>
      </c>
      <c r="X278" s="4">
        <v>1</v>
      </c>
      <c r="Y278" s="4">
        <v>0.05</v>
      </c>
      <c r="Z278" s="4"/>
      <c r="AA278" s="4"/>
      <c r="AB278" s="4"/>
    </row>
    <row r="279" spans="1:28" x14ac:dyDescent="0.2">
      <c r="A279" s="4">
        <v>50</v>
      </c>
      <c r="B279" s="4">
        <v>0</v>
      </c>
      <c r="C279" s="4">
        <v>0</v>
      </c>
      <c r="D279" s="4">
        <v>1</v>
      </c>
      <c r="E279" s="4">
        <v>205</v>
      </c>
      <c r="F279" s="4">
        <f>ROUND(Source!S264,O279)</f>
        <v>5310.47</v>
      </c>
      <c r="G279" s="4" t="s">
        <v>90</v>
      </c>
      <c r="H279" s="4" t="s">
        <v>91</v>
      </c>
      <c r="I279" s="4"/>
      <c r="J279" s="4"/>
      <c r="K279" s="4">
        <v>205</v>
      </c>
      <c r="L279" s="4">
        <v>14</v>
      </c>
      <c r="M279" s="4">
        <v>3</v>
      </c>
      <c r="N279" s="4" t="s">
        <v>3</v>
      </c>
      <c r="O279" s="4">
        <v>2</v>
      </c>
      <c r="P279" s="4"/>
      <c r="Q279" s="4"/>
      <c r="R279" s="4"/>
      <c r="S279" s="4"/>
      <c r="T279" s="4"/>
      <c r="U279" s="4"/>
      <c r="V279" s="4"/>
      <c r="W279" s="4">
        <v>5310.47</v>
      </c>
      <c r="X279" s="4">
        <v>1</v>
      </c>
      <c r="Y279" s="4">
        <v>5310.47</v>
      </c>
      <c r="Z279" s="4"/>
      <c r="AA279" s="4"/>
      <c r="AB279" s="4"/>
    </row>
    <row r="280" spans="1:28" x14ac:dyDescent="0.2">
      <c r="A280" s="4">
        <v>50</v>
      </c>
      <c r="B280" s="4">
        <v>0</v>
      </c>
      <c r="C280" s="4">
        <v>0</v>
      </c>
      <c r="D280" s="4">
        <v>1</v>
      </c>
      <c r="E280" s="4">
        <v>232</v>
      </c>
      <c r="F280" s="4">
        <f>ROUND(Source!BC264,O280)</f>
        <v>0</v>
      </c>
      <c r="G280" s="4" t="s">
        <v>92</v>
      </c>
      <c r="H280" s="4" t="s">
        <v>93</v>
      </c>
      <c r="I280" s="4"/>
      <c r="J280" s="4"/>
      <c r="K280" s="4">
        <v>232</v>
      </c>
      <c r="L280" s="4">
        <v>15</v>
      </c>
      <c r="M280" s="4">
        <v>3</v>
      </c>
      <c r="N280" s="4" t="s">
        <v>3</v>
      </c>
      <c r="O280" s="4">
        <v>2</v>
      </c>
      <c r="P280" s="4"/>
      <c r="Q280" s="4"/>
      <c r="R280" s="4"/>
      <c r="S280" s="4"/>
      <c r="T280" s="4"/>
      <c r="U280" s="4"/>
      <c r="V280" s="4"/>
      <c r="W280" s="4">
        <v>0</v>
      </c>
      <c r="X280" s="4">
        <v>1</v>
      </c>
      <c r="Y280" s="4">
        <v>0</v>
      </c>
      <c r="Z280" s="4"/>
      <c r="AA280" s="4"/>
      <c r="AB280" s="4"/>
    </row>
    <row r="281" spans="1:28" x14ac:dyDescent="0.2">
      <c r="A281" s="4">
        <v>50</v>
      </c>
      <c r="B281" s="4">
        <v>0</v>
      </c>
      <c r="C281" s="4">
        <v>0</v>
      </c>
      <c r="D281" s="4">
        <v>1</v>
      </c>
      <c r="E281" s="4">
        <v>214</v>
      </c>
      <c r="F281" s="4">
        <f>ROUND(Source!AS264,O281)</f>
        <v>0</v>
      </c>
      <c r="G281" s="4" t="s">
        <v>94</v>
      </c>
      <c r="H281" s="4" t="s">
        <v>95</v>
      </c>
      <c r="I281" s="4"/>
      <c r="J281" s="4"/>
      <c r="K281" s="4">
        <v>214</v>
      </c>
      <c r="L281" s="4">
        <v>16</v>
      </c>
      <c r="M281" s="4">
        <v>3</v>
      </c>
      <c r="N281" s="4" t="s">
        <v>3</v>
      </c>
      <c r="O281" s="4">
        <v>2</v>
      </c>
      <c r="P281" s="4"/>
      <c r="Q281" s="4"/>
      <c r="R281" s="4"/>
      <c r="S281" s="4"/>
      <c r="T281" s="4"/>
      <c r="U281" s="4"/>
      <c r="V281" s="4"/>
      <c r="W281" s="4">
        <v>0</v>
      </c>
      <c r="X281" s="4">
        <v>1</v>
      </c>
      <c r="Y281" s="4">
        <v>0</v>
      </c>
      <c r="Z281" s="4"/>
      <c r="AA281" s="4"/>
      <c r="AB281" s="4"/>
    </row>
    <row r="282" spans="1:28" x14ac:dyDescent="0.2">
      <c r="A282" s="4">
        <v>50</v>
      </c>
      <c r="B282" s="4">
        <v>0</v>
      </c>
      <c r="C282" s="4">
        <v>0</v>
      </c>
      <c r="D282" s="4">
        <v>1</v>
      </c>
      <c r="E282" s="4">
        <v>215</v>
      </c>
      <c r="F282" s="4">
        <f>ROUND(Source!AT264,O282)</f>
        <v>0</v>
      </c>
      <c r="G282" s="4" t="s">
        <v>96</v>
      </c>
      <c r="H282" s="4" t="s">
        <v>97</v>
      </c>
      <c r="I282" s="4"/>
      <c r="J282" s="4"/>
      <c r="K282" s="4">
        <v>215</v>
      </c>
      <c r="L282" s="4">
        <v>17</v>
      </c>
      <c r="M282" s="4">
        <v>3</v>
      </c>
      <c r="N282" s="4" t="s">
        <v>3</v>
      </c>
      <c r="O282" s="4">
        <v>2</v>
      </c>
      <c r="P282" s="4"/>
      <c r="Q282" s="4"/>
      <c r="R282" s="4"/>
      <c r="S282" s="4"/>
      <c r="T282" s="4"/>
      <c r="U282" s="4"/>
      <c r="V282" s="4"/>
      <c r="W282" s="4">
        <v>0</v>
      </c>
      <c r="X282" s="4">
        <v>1</v>
      </c>
      <c r="Y282" s="4">
        <v>0</v>
      </c>
      <c r="Z282" s="4"/>
      <c r="AA282" s="4"/>
      <c r="AB282" s="4"/>
    </row>
    <row r="283" spans="1:28" x14ac:dyDescent="0.2">
      <c r="A283" s="4">
        <v>50</v>
      </c>
      <c r="B283" s="4">
        <v>0</v>
      </c>
      <c r="C283" s="4">
        <v>0</v>
      </c>
      <c r="D283" s="4">
        <v>1</v>
      </c>
      <c r="E283" s="4">
        <v>217</v>
      </c>
      <c r="F283" s="4">
        <f>ROUND(Source!AU264,O283)</f>
        <v>9592.06</v>
      </c>
      <c r="G283" s="4" t="s">
        <v>98</v>
      </c>
      <c r="H283" s="4" t="s">
        <v>99</v>
      </c>
      <c r="I283" s="4"/>
      <c r="J283" s="4"/>
      <c r="K283" s="4">
        <v>217</v>
      </c>
      <c r="L283" s="4">
        <v>18</v>
      </c>
      <c r="M283" s="4">
        <v>3</v>
      </c>
      <c r="N283" s="4" t="s">
        <v>3</v>
      </c>
      <c r="O283" s="4">
        <v>2</v>
      </c>
      <c r="P283" s="4"/>
      <c r="Q283" s="4"/>
      <c r="R283" s="4"/>
      <c r="S283" s="4"/>
      <c r="T283" s="4"/>
      <c r="U283" s="4"/>
      <c r="V283" s="4"/>
      <c r="W283" s="4">
        <v>9592.06</v>
      </c>
      <c r="X283" s="4">
        <v>1</v>
      </c>
      <c r="Y283" s="4">
        <v>9592.06</v>
      </c>
      <c r="Z283" s="4"/>
      <c r="AA283" s="4"/>
      <c r="AB283" s="4"/>
    </row>
    <row r="284" spans="1:28" x14ac:dyDescent="0.2">
      <c r="A284" s="4">
        <v>50</v>
      </c>
      <c r="B284" s="4">
        <v>0</v>
      </c>
      <c r="C284" s="4">
        <v>0</v>
      </c>
      <c r="D284" s="4">
        <v>1</v>
      </c>
      <c r="E284" s="4">
        <v>230</v>
      </c>
      <c r="F284" s="4">
        <f>ROUND(Source!BA264,O284)</f>
        <v>0</v>
      </c>
      <c r="G284" s="4" t="s">
        <v>100</v>
      </c>
      <c r="H284" s="4" t="s">
        <v>101</v>
      </c>
      <c r="I284" s="4"/>
      <c r="J284" s="4"/>
      <c r="K284" s="4">
        <v>230</v>
      </c>
      <c r="L284" s="4">
        <v>19</v>
      </c>
      <c r="M284" s="4">
        <v>3</v>
      </c>
      <c r="N284" s="4" t="s">
        <v>3</v>
      </c>
      <c r="O284" s="4">
        <v>2</v>
      </c>
      <c r="P284" s="4"/>
      <c r="Q284" s="4"/>
      <c r="R284" s="4"/>
      <c r="S284" s="4"/>
      <c r="T284" s="4"/>
      <c r="U284" s="4"/>
      <c r="V284" s="4"/>
      <c r="W284" s="4">
        <v>0</v>
      </c>
      <c r="X284" s="4">
        <v>1</v>
      </c>
      <c r="Y284" s="4">
        <v>0</v>
      </c>
      <c r="Z284" s="4"/>
      <c r="AA284" s="4"/>
      <c r="AB284" s="4"/>
    </row>
    <row r="285" spans="1:28" x14ac:dyDescent="0.2">
      <c r="A285" s="4">
        <v>50</v>
      </c>
      <c r="B285" s="4">
        <v>0</v>
      </c>
      <c r="C285" s="4">
        <v>0</v>
      </c>
      <c r="D285" s="4">
        <v>1</v>
      </c>
      <c r="E285" s="4">
        <v>206</v>
      </c>
      <c r="F285" s="4">
        <f>ROUND(Source!T264,O285)</f>
        <v>0</v>
      </c>
      <c r="G285" s="4" t="s">
        <v>102</v>
      </c>
      <c r="H285" s="4" t="s">
        <v>103</v>
      </c>
      <c r="I285" s="4"/>
      <c r="J285" s="4"/>
      <c r="K285" s="4">
        <v>206</v>
      </c>
      <c r="L285" s="4">
        <v>20</v>
      </c>
      <c r="M285" s="4">
        <v>3</v>
      </c>
      <c r="N285" s="4" t="s">
        <v>3</v>
      </c>
      <c r="O285" s="4">
        <v>2</v>
      </c>
      <c r="P285" s="4"/>
      <c r="Q285" s="4"/>
      <c r="R285" s="4"/>
      <c r="S285" s="4"/>
      <c r="T285" s="4"/>
      <c r="U285" s="4"/>
      <c r="V285" s="4"/>
      <c r="W285" s="4">
        <v>0</v>
      </c>
      <c r="X285" s="4">
        <v>1</v>
      </c>
      <c r="Y285" s="4">
        <v>0</v>
      </c>
      <c r="Z285" s="4"/>
      <c r="AA285" s="4"/>
      <c r="AB285" s="4"/>
    </row>
    <row r="286" spans="1:28" x14ac:dyDescent="0.2">
      <c r="A286" s="4">
        <v>50</v>
      </c>
      <c r="B286" s="4">
        <v>0</v>
      </c>
      <c r="C286" s="4">
        <v>0</v>
      </c>
      <c r="D286" s="4">
        <v>1</v>
      </c>
      <c r="E286" s="4">
        <v>207</v>
      </c>
      <c r="F286" s="4">
        <f>Source!U264</f>
        <v>20.925216000000002</v>
      </c>
      <c r="G286" s="4" t="s">
        <v>104</v>
      </c>
      <c r="H286" s="4" t="s">
        <v>105</v>
      </c>
      <c r="I286" s="4"/>
      <c r="J286" s="4"/>
      <c r="K286" s="4">
        <v>207</v>
      </c>
      <c r="L286" s="4">
        <v>21</v>
      </c>
      <c r="M286" s="4">
        <v>3</v>
      </c>
      <c r="N286" s="4" t="s">
        <v>3</v>
      </c>
      <c r="O286" s="4">
        <v>-1</v>
      </c>
      <c r="P286" s="4"/>
      <c r="Q286" s="4"/>
      <c r="R286" s="4"/>
      <c r="S286" s="4"/>
      <c r="T286" s="4"/>
      <c r="U286" s="4"/>
      <c r="V286" s="4"/>
      <c r="W286" s="4">
        <v>20.925216000000002</v>
      </c>
      <c r="X286" s="4">
        <v>1</v>
      </c>
      <c r="Y286" s="4">
        <v>20.925216000000002</v>
      </c>
      <c r="Z286" s="4"/>
      <c r="AA286" s="4"/>
      <c r="AB286" s="4"/>
    </row>
    <row r="287" spans="1:28" x14ac:dyDescent="0.2">
      <c r="A287" s="4">
        <v>50</v>
      </c>
      <c r="B287" s="4">
        <v>0</v>
      </c>
      <c r="C287" s="4">
        <v>0</v>
      </c>
      <c r="D287" s="4">
        <v>1</v>
      </c>
      <c r="E287" s="4">
        <v>208</v>
      </c>
      <c r="F287" s="4">
        <f>Source!V264</f>
        <v>0</v>
      </c>
      <c r="G287" s="4" t="s">
        <v>106</v>
      </c>
      <c r="H287" s="4" t="s">
        <v>107</v>
      </c>
      <c r="I287" s="4"/>
      <c r="J287" s="4"/>
      <c r="K287" s="4">
        <v>208</v>
      </c>
      <c r="L287" s="4">
        <v>22</v>
      </c>
      <c r="M287" s="4">
        <v>3</v>
      </c>
      <c r="N287" s="4" t="s">
        <v>3</v>
      </c>
      <c r="O287" s="4">
        <v>-1</v>
      </c>
      <c r="P287" s="4"/>
      <c r="Q287" s="4"/>
      <c r="R287" s="4"/>
      <c r="S287" s="4"/>
      <c r="T287" s="4"/>
      <c r="U287" s="4"/>
      <c r="V287" s="4"/>
      <c r="W287" s="4">
        <v>0</v>
      </c>
      <c r="X287" s="4">
        <v>1</v>
      </c>
      <c r="Y287" s="4">
        <v>0</v>
      </c>
      <c r="Z287" s="4"/>
      <c r="AA287" s="4"/>
      <c r="AB287" s="4"/>
    </row>
    <row r="288" spans="1:28" x14ac:dyDescent="0.2">
      <c r="A288" s="4">
        <v>50</v>
      </c>
      <c r="B288" s="4">
        <v>0</v>
      </c>
      <c r="C288" s="4">
        <v>0</v>
      </c>
      <c r="D288" s="4">
        <v>1</v>
      </c>
      <c r="E288" s="4">
        <v>209</v>
      </c>
      <c r="F288" s="4">
        <f>ROUND(Source!W264,O288)</f>
        <v>0</v>
      </c>
      <c r="G288" s="4" t="s">
        <v>108</v>
      </c>
      <c r="H288" s="4" t="s">
        <v>109</v>
      </c>
      <c r="I288" s="4"/>
      <c r="J288" s="4"/>
      <c r="K288" s="4">
        <v>209</v>
      </c>
      <c r="L288" s="4">
        <v>23</v>
      </c>
      <c r="M288" s="4">
        <v>3</v>
      </c>
      <c r="N288" s="4" t="s">
        <v>3</v>
      </c>
      <c r="O288" s="4">
        <v>2</v>
      </c>
      <c r="P288" s="4"/>
      <c r="Q288" s="4"/>
      <c r="R288" s="4"/>
      <c r="S288" s="4"/>
      <c r="T288" s="4"/>
      <c r="U288" s="4"/>
      <c r="V288" s="4"/>
      <c r="W288" s="4">
        <v>0</v>
      </c>
      <c r="X288" s="4">
        <v>1</v>
      </c>
      <c r="Y288" s="4">
        <v>0</v>
      </c>
      <c r="Z288" s="4"/>
      <c r="AA288" s="4"/>
      <c r="AB288" s="4"/>
    </row>
    <row r="289" spans="1:245" x14ac:dyDescent="0.2">
      <c r="A289" s="4">
        <v>50</v>
      </c>
      <c r="B289" s="4">
        <v>0</v>
      </c>
      <c r="C289" s="4">
        <v>0</v>
      </c>
      <c r="D289" s="4">
        <v>1</v>
      </c>
      <c r="E289" s="4">
        <v>233</v>
      </c>
      <c r="F289" s="4">
        <f>ROUND(Source!BD264,O289)</f>
        <v>0</v>
      </c>
      <c r="G289" s="4" t="s">
        <v>110</v>
      </c>
      <c r="H289" s="4" t="s">
        <v>111</v>
      </c>
      <c r="I289" s="4"/>
      <c r="J289" s="4"/>
      <c r="K289" s="4">
        <v>233</v>
      </c>
      <c r="L289" s="4">
        <v>24</v>
      </c>
      <c r="M289" s="4">
        <v>3</v>
      </c>
      <c r="N289" s="4" t="s">
        <v>3</v>
      </c>
      <c r="O289" s="4">
        <v>2</v>
      </c>
      <c r="P289" s="4"/>
      <c r="Q289" s="4"/>
      <c r="R289" s="4"/>
      <c r="S289" s="4"/>
      <c r="T289" s="4"/>
      <c r="U289" s="4"/>
      <c r="V289" s="4"/>
      <c r="W289" s="4">
        <v>0</v>
      </c>
      <c r="X289" s="4">
        <v>1</v>
      </c>
      <c r="Y289" s="4">
        <v>0</v>
      </c>
      <c r="Z289" s="4"/>
      <c r="AA289" s="4"/>
      <c r="AB289" s="4"/>
    </row>
    <row r="290" spans="1:245" x14ac:dyDescent="0.2">
      <c r="A290" s="4">
        <v>50</v>
      </c>
      <c r="B290" s="4">
        <v>0</v>
      </c>
      <c r="C290" s="4">
        <v>0</v>
      </c>
      <c r="D290" s="4">
        <v>1</v>
      </c>
      <c r="E290" s="4">
        <v>210</v>
      </c>
      <c r="F290" s="4">
        <f>ROUND(Source!X264,O290)</f>
        <v>3717.34</v>
      </c>
      <c r="G290" s="4" t="s">
        <v>112</v>
      </c>
      <c r="H290" s="4" t="s">
        <v>113</v>
      </c>
      <c r="I290" s="4"/>
      <c r="J290" s="4"/>
      <c r="K290" s="4">
        <v>210</v>
      </c>
      <c r="L290" s="4">
        <v>25</v>
      </c>
      <c r="M290" s="4">
        <v>3</v>
      </c>
      <c r="N290" s="4" t="s">
        <v>3</v>
      </c>
      <c r="O290" s="4">
        <v>2</v>
      </c>
      <c r="P290" s="4"/>
      <c r="Q290" s="4"/>
      <c r="R290" s="4"/>
      <c r="S290" s="4"/>
      <c r="T290" s="4"/>
      <c r="U290" s="4"/>
      <c r="V290" s="4"/>
      <c r="W290" s="4">
        <v>3717.34</v>
      </c>
      <c r="X290" s="4">
        <v>1</v>
      </c>
      <c r="Y290" s="4">
        <v>3717.34</v>
      </c>
      <c r="Z290" s="4"/>
      <c r="AA290" s="4"/>
      <c r="AB290" s="4"/>
    </row>
    <row r="291" spans="1:245" x14ac:dyDescent="0.2">
      <c r="A291" s="4">
        <v>50</v>
      </c>
      <c r="B291" s="4">
        <v>0</v>
      </c>
      <c r="C291" s="4">
        <v>0</v>
      </c>
      <c r="D291" s="4">
        <v>1</v>
      </c>
      <c r="E291" s="4">
        <v>211</v>
      </c>
      <c r="F291" s="4">
        <f>ROUND(Source!Y264,O291)</f>
        <v>531.04999999999995</v>
      </c>
      <c r="G291" s="4" t="s">
        <v>114</v>
      </c>
      <c r="H291" s="4" t="s">
        <v>115</v>
      </c>
      <c r="I291" s="4"/>
      <c r="J291" s="4"/>
      <c r="K291" s="4">
        <v>211</v>
      </c>
      <c r="L291" s="4">
        <v>26</v>
      </c>
      <c r="M291" s="4">
        <v>3</v>
      </c>
      <c r="N291" s="4" t="s">
        <v>3</v>
      </c>
      <c r="O291" s="4">
        <v>2</v>
      </c>
      <c r="P291" s="4"/>
      <c r="Q291" s="4"/>
      <c r="R291" s="4"/>
      <c r="S291" s="4"/>
      <c r="T291" s="4"/>
      <c r="U291" s="4"/>
      <c r="V291" s="4"/>
      <c r="W291" s="4">
        <v>531.04999999999995</v>
      </c>
      <c r="X291" s="4">
        <v>1</v>
      </c>
      <c r="Y291" s="4">
        <v>531.04999999999995</v>
      </c>
      <c r="Z291" s="4"/>
      <c r="AA291" s="4"/>
      <c r="AB291" s="4"/>
    </row>
    <row r="292" spans="1:245" x14ac:dyDescent="0.2">
      <c r="A292" s="4">
        <v>50</v>
      </c>
      <c r="B292" s="4">
        <v>0</v>
      </c>
      <c r="C292" s="4">
        <v>0</v>
      </c>
      <c r="D292" s="4">
        <v>1</v>
      </c>
      <c r="E292" s="4">
        <v>224</v>
      </c>
      <c r="F292" s="4">
        <f>ROUND(Source!AR264,O292)</f>
        <v>9592.06</v>
      </c>
      <c r="G292" s="4" t="s">
        <v>116</v>
      </c>
      <c r="H292" s="4" t="s">
        <v>117</v>
      </c>
      <c r="I292" s="4"/>
      <c r="J292" s="4"/>
      <c r="K292" s="4">
        <v>224</v>
      </c>
      <c r="L292" s="4">
        <v>27</v>
      </c>
      <c r="M292" s="4">
        <v>3</v>
      </c>
      <c r="N292" s="4" t="s">
        <v>3</v>
      </c>
      <c r="O292" s="4">
        <v>2</v>
      </c>
      <c r="P292" s="4"/>
      <c r="Q292" s="4"/>
      <c r="R292" s="4"/>
      <c r="S292" s="4"/>
      <c r="T292" s="4"/>
      <c r="U292" s="4"/>
      <c r="V292" s="4"/>
      <c r="W292" s="4">
        <v>9592.06</v>
      </c>
      <c r="X292" s="4">
        <v>1</v>
      </c>
      <c r="Y292" s="4">
        <v>9592.06</v>
      </c>
      <c r="Z292" s="4"/>
      <c r="AA292" s="4"/>
      <c r="AB292" s="4"/>
    </row>
    <row r="294" spans="1:245" x14ac:dyDescent="0.2">
      <c r="A294" s="1">
        <v>5</v>
      </c>
      <c r="B294" s="1">
        <v>1</v>
      </c>
      <c r="C294" s="1"/>
      <c r="D294" s="1">
        <f>ROW(A306)</f>
        <v>306</v>
      </c>
      <c r="E294" s="1"/>
      <c r="F294" s="1" t="s">
        <v>15</v>
      </c>
      <c r="G294" s="1" t="s">
        <v>280</v>
      </c>
      <c r="H294" s="1" t="s">
        <v>3</v>
      </c>
      <c r="I294" s="1">
        <v>0</v>
      </c>
      <c r="J294" s="1"/>
      <c r="K294" s="1">
        <v>0</v>
      </c>
      <c r="L294" s="1"/>
      <c r="M294" s="1" t="s">
        <v>3</v>
      </c>
      <c r="N294" s="1"/>
      <c r="O294" s="1"/>
      <c r="P294" s="1"/>
      <c r="Q294" s="1"/>
      <c r="R294" s="1"/>
      <c r="S294" s="1">
        <v>0</v>
      </c>
      <c r="T294" s="1"/>
      <c r="U294" s="1" t="s">
        <v>3</v>
      </c>
      <c r="V294" s="1">
        <v>0</v>
      </c>
      <c r="W294" s="1"/>
      <c r="X294" s="1"/>
      <c r="Y294" s="1"/>
      <c r="Z294" s="1"/>
      <c r="AA294" s="1"/>
      <c r="AB294" s="1" t="s">
        <v>3</v>
      </c>
      <c r="AC294" s="1" t="s">
        <v>3</v>
      </c>
      <c r="AD294" s="1" t="s">
        <v>3</v>
      </c>
      <c r="AE294" s="1" t="s">
        <v>3</v>
      </c>
      <c r="AF294" s="1" t="s">
        <v>3</v>
      </c>
      <c r="AG294" s="1" t="s">
        <v>3</v>
      </c>
      <c r="AH294" s="1"/>
      <c r="AI294" s="1"/>
      <c r="AJ294" s="1"/>
      <c r="AK294" s="1"/>
      <c r="AL294" s="1"/>
      <c r="AM294" s="1"/>
      <c r="AN294" s="1"/>
      <c r="AO294" s="1"/>
      <c r="AP294" s="1" t="s">
        <v>3</v>
      </c>
      <c r="AQ294" s="1" t="s">
        <v>3</v>
      </c>
      <c r="AR294" s="1" t="s">
        <v>3</v>
      </c>
      <c r="AS294" s="1"/>
      <c r="AT294" s="1"/>
      <c r="AU294" s="1"/>
      <c r="AV294" s="1"/>
      <c r="AW294" s="1"/>
      <c r="AX294" s="1"/>
      <c r="AY294" s="1"/>
      <c r="AZ294" s="1" t="s">
        <v>3</v>
      </c>
      <c r="BA294" s="1"/>
      <c r="BB294" s="1" t="s">
        <v>3</v>
      </c>
      <c r="BC294" s="1" t="s">
        <v>3</v>
      </c>
      <c r="BD294" s="1" t="s">
        <v>3</v>
      </c>
      <c r="BE294" s="1" t="s">
        <v>3</v>
      </c>
      <c r="BF294" s="1" t="s">
        <v>3</v>
      </c>
      <c r="BG294" s="1" t="s">
        <v>3</v>
      </c>
      <c r="BH294" s="1" t="s">
        <v>3</v>
      </c>
      <c r="BI294" s="1" t="s">
        <v>3</v>
      </c>
      <c r="BJ294" s="1" t="s">
        <v>3</v>
      </c>
      <c r="BK294" s="1" t="s">
        <v>3</v>
      </c>
      <c r="BL294" s="1" t="s">
        <v>3</v>
      </c>
      <c r="BM294" s="1" t="s">
        <v>3</v>
      </c>
      <c r="BN294" s="1" t="s">
        <v>3</v>
      </c>
      <c r="BO294" s="1" t="s">
        <v>3</v>
      </c>
      <c r="BP294" s="1" t="s">
        <v>3</v>
      </c>
      <c r="BQ294" s="1"/>
      <c r="BR294" s="1"/>
      <c r="BS294" s="1"/>
      <c r="BT294" s="1"/>
      <c r="BU294" s="1"/>
      <c r="BV294" s="1"/>
      <c r="BW294" s="1"/>
      <c r="BX294" s="1">
        <v>0</v>
      </c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>
        <v>0</v>
      </c>
    </row>
    <row r="296" spans="1:245" x14ac:dyDescent="0.2">
      <c r="A296" s="2">
        <v>52</v>
      </c>
      <c r="B296" s="2">
        <f t="shared" ref="B296:G296" si="269">B306</f>
        <v>1</v>
      </c>
      <c r="C296" s="2">
        <f t="shared" si="269"/>
        <v>5</v>
      </c>
      <c r="D296" s="2">
        <f t="shared" si="269"/>
        <v>294</v>
      </c>
      <c r="E296" s="2">
        <f t="shared" si="269"/>
        <v>0</v>
      </c>
      <c r="F296" s="2" t="str">
        <f t="shared" si="269"/>
        <v>Новый подраздел</v>
      </c>
      <c r="G296" s="2" t="str">
        <f t="shared" si="269"/>
        <v>2.2 Ремонтно-строительные работы</v>
      </c>
      <c r="H296" s="2"/>
      <c r="I296" s="2"/>
      <c r="J296" s="2"/>
      <c r="K296" s="2"/>
      <c r="L296" s="2"/>
      <c r="M296" s="2"/>
      <c r="N296" s="2"/>
      <c r="O296" s="2">
        <f t="shared" ref="O296:AT296" si="270">O306</f>
        <v>210599.25</v>
      </c>
      <c r="P296" s="2">
        <f t="shared" si="270"/>
        <v>116053.42</v>
      </c>
      <c r="Q296" s="2">
        <f t="shared" si="270"/>
        <v>280.61</v>
      </c>
      <c r="R296" s="2">
        <f t="shared" si="270"/>
        <v>90.33</v>
      </c>
      <c r="S296" s="2">
        <f t="shared" si="270"/>
        <v>94265.22</v>
      </c>
      <c r="T296" s="2">
        <f t="shared" si="270"/>
        <v>0</v>
      </c>
      <c r="U296" s="2">
        <f t="shared" si="270"/>
        <v>300.04337600000002</v>
      </c>
      <c r="V296" s="2">
        <f t="shared" si="270"/>
        <v>0</v>
      </c>
      <c r="W296" s="2">
        <f t="shared" si="270"/>
        <v>0</v>
      </c>
      <c r="X296" s="2">
        <f t="shared" si="270"/>
        <v>65985.64</v>
      </c>
      <c r="Y296" s="2">
        <f t="shared" si="270"/>
        <v>9426.52</v>
      </c>
      <c r="Z296" s="2">
        <f t="shared" si="270"/>
        <v>0</v>
      </c>
      <c r="AA296" s="2">
        <f t="shared" si="270"/>
        <v>0</v>
      </c>
      <c r="AB296" s="2">
        <f t="shared" si="270"/>
        <v>210599.25</v>
      </c>
      <c r="AC296" s="2">
        <f t="shared" si="270"/>
        <v>116053.42</v>
      </c>
      <c r="AD296" s="2">
        <f t="shared" si="270"/>
        <v>280.61</v>
      </c>
      <c r="AE296" s="2">
        <f t="shared" si="270"/>
        <v>90.33</v>
      </c>
      <c r="AF296" s="2">
        <f t="shared" si="270"/>
        <v>94265.22</v>
      </c>
      <c r="AG296" s="2">
        <f t="shared" si="270"/>
        <v>0</v>
      </c>
      <c r="AH296" s="2">
        <f t="shared" si="270"/>
        <v>300.04337600000002</v>
      </c>
      <c r="AI296" s="2">
        <f t="shared" si="270"/>
        <v>0</v>
      </c>
      <c r="AJ296" s="2">
        <f t="shared" si="270"/>
        <v>0</v>
      </c>
      <c r="AK296" s="2">
        <f t="shared" si="270"/>
        <v>65985.64</v>
      </c>
      <c r="AL296" s="2">
        <f t="shared" si="270"/>
        <v>9426.52</v>
      </c>
      <c r="AM296" s="2">
        <f t="shared" si="270"/>
        <v>0</v>
      </c>
      <c r="AN296" s="2">
        <f t="shared" si="270"/>
        <v>0</v>
      </c>
      <c r="AO296" s="2">
        <f t="shared" si="270"/>
        <v>0</v>
      </c>
      <c r="AP296" s="2">
        <f t="shared" si="270"/>
        <v>0</v>
      </c>
      <c r="AQ296" s="2">
        <f t="shared" si="270"/>
        <v>0</v>
      </c>
      <c r="AR296" s="2">
        <f t="shared" si="270"/>
        <v>286108.96999999997</v>
      </c>
      <c r="AS296" s="2">
        <f t="shared" si="270"/>
        <v>0</v>
      </c>
      <c r="AT296" s="2">
        <f t="shared" si="270"/>
        <v>0</v>
      </c>
      <c r="AU296" s="2">
        <f t="shared" ref="AU296:BZ296" si="271">AU306</f>
        <v>286108.96999999997</v>
      </c>
      <c r="AV296" s="2">
        <f t="shared" si="271"/>
        <v>116053.42</v>
      </c>
      <c r="AW296" s="2">
        <f t="shared" si="271"/>
        <v>116053.42</v>
      </c>
      <c r="AX296" s="2">
        <f t="shared" si="271"/>
        <v>0</v>
      </c>
      <c r="AY296" s="2">
        <f t="shared" si="271"/>
        <v>116053.42</v>
      </c>
      <c r="AZ296" s="2">
        <f t="shared" si="271"/>
        <v>0</v>
      </c>
      <c r="BA296" s="2">
        <f t="shared" si="271"/>
        <v>0</v>
      </c>
      <c r="BB296" s="2">
        <f t="shared" si="271"/>
        <v>0</v>
      </c>
      <c r="BC296" s="2">
        <f t="shared" si="271"/>
        <v>0</v>
      </c>
      <c r="BD296" s="2">
        <f t="shared" si="271"/>
        <v>0</v>
      </c>
      <c r="BE296" s="2">
        <f t="shared" si="271"/>
        <v>0</v>
      </c>
      <c r="BF296" s="2">
        <f t="shared" si="271"/>
        <v>0</v>
      </c>
      <c r="BG296" s="2">
        <f t="shared" si="271"/>
        <v>0</v>
      </c>
      <c r="BH296" s="2">
        <f t="shared" si="271"/>
        <v>0</v>
      </c>
      <c r="BI296" s="2">
        <f t="shared" si="271"/>
        <v>0</v>
      </c>
      <c r="BJ296" s="2">
        <f t="shared" si="271"/>
        <v>0</v>
      </c>
      <c r="BK296" s="2">
        <f t="shared" si="271"/>
        <v>0</v>
      </c>
      <c r="BL296" s="2">
        <f t="shared" si="271"/>
        <v>0</v>
      </c>
      <c r="BM296" s="2">
        <f t="shared" si="271"/>
        <v>0</v>
      </c>
      <c r="BN296" s="2">
        <f t="shared" si="271"/>
        <v>0</v>
      </c>
      <c r="BO296" s="2">
        <f t="shared" si="271"/>
        <v>0</v>
      </c>
      <c r="BP296" s="2">
        <f t="shared" si="271"/>
        <v>0</v>
      </c>
      <c r="BQ296" s="2">
        <f t="shared" si="271"/>
        <v>0</v>
      </c>
      <c r="BR296" s="2">
        <f t="shared" si="271"/>
        <v>0</v>
      </c>
      <c r="BS296" s="2">
        <f t="shared" si="271"/>
        <v>0</v>
      </c>
      <c r="BT296" s="2">
        <f t="shared" si="271"/>
        <v>0</v>
      </c>
      <c r="BU296" s="2">
        <f t="shared" si="271"/>
        <v>0</v>
      </c>
      <c r="BV296" s="2">
        <f t="shared" si="271"/>
        <v>0</v>
      </c>
      <c r="BW296" s="2">
        <f t="shared" si="271"/>
        <v>0</v>
      </c>
      <c r="BX296" s="2">
        <f t="shared" si="271"/>
        <v>0</v>
      </c>
      <c r="BY296" s="2">
        <f t="shared" si="271"/>
        <v>0</v>
      </c>
      <c r="BZ296" s="2">
        <f t="shared" si="271"/>
        <v>0</v>
      </c>
      <c r="CA296" s="2">
        <f t="shared" ref="CA296:DF296" si="272">CA306</f>
        <v>286108.96999999997</v>
      </c>
      <c r="CB296" s="2">
        <f t="shared" si="272"/>
        <v>0</v>
      </c>
      <c r="CC296" s="2">
        <f t="shared" si="272"/>
        <v>0</v>
      </c>
      <c r="CD296" s="2">
        <f t="shared" si="272"/>
        <v>286108.96999999997</v>
      </c>
      <c r="CE296" s="2">
        <f t="shared" si="272"/>
        <v>116053.42</v>
      </c>
      <c r="CF296" s="2">
        <f t="shared" si="272"/>
        <v>116053.42</v>
      </c>
      <c r="CG296" s="2">
        <f t="shared" si="272"/>
        <v>0</v>
      </c>
      <c r="CH296" s="2">
        <f t="shared" si="272"/>
        <v>116053.42</v>
      </c>
      <c r="CI296" s="2">
        <f t="shared" si="272"/>
        <v>0</v>
      </c>
      <c r="CJ296" s="2">
        <f t="shared" si="272"/>
        <v>0</v>
      </c>
      <c r="CK296" s="2">
        <f t="shared" si="272"/>
        <v>0</v>
      </c>
      <c r="CL296" s="2">
        <f t="shared" si="272"/>
        <v>0</v>
      </c>
      <c r="CM296" s="2">
        <f t="shared" si="272"/>
        <v>0</v>
      </c>
      <c r="CN296" s="2">
        <f t="shared" si="272"/>
        <v>0</v>
      </c>
      <c r="CO296" s="2">
        <f t="shared" si="272"/>
        <v>0</v>
      </c>
      <c r="CP296" s="2">
        <f t="shared" si="272"/>
        <v>0</v>
      </c>
      <c r="CQ296" s="2">
        <f t="shared" si="272"/>
        <v>0</v>
      </c>
      <c r="CR296" s="2">
        <f t="shared" si="272"/>
        <v>0</v>
      </c>
      <c r="CS296" s="2">
        <f t="shared" si="272"/>
        <v>0</v>
      </c>
      <c r="CT296" s="2">
        <f t="shared" si="272"/>
        <v>0</v>
      </c>
      <c r="CU296" s="2">
        <f t="shared" si="272"/>
        <v>0</v>
      </c>
      <c r="CV296" s="2">
        <f t="shared" si="272"/>
        <v>0</v>
      </c>
      <c r="CW296" s="2">
        <f t="shared" si="272"/>
        <v>0</v>
      </c>
      <c r="CX296" s="2">
        <f t="shared" si="272"/>
        <v>0</v>
      </c>
      <c r="CY296" s="2">
        <f t="shared" si="272"/>
        <v>0</v>
      </c>
      <c r="CZ296" s="2">
        <f t="shared" si="272"/>
        <v>0</v>
      </c>
      <c r="DA296" s="2">
        <f t="shared" si="272"/>
        <v>0</v>
      </c>
      <c r="DB296" s="2">
        <f t="shared" si="272"/>
        <v>0</v>
      </c>
      <c r="DC296" s="2">
        <f t="shared" si="272"/>
        <v>0</v>
      </c>
      <c r="DD296" s="2">
        <f t="shared" si="272"/>
        <v>0</v>
      </c>
      <c r="DE296" s="2">
        <f t="shared" si="272"/>
        <v>0</v>
      </c>
      <c r="DF296" s="2">
        <f t="shared" si="272"/>
        <v>0</v>
      </c>
      <c r="DG296" s="3">
        <f t="shared" ref="DG296:EL296" si="273">DG306</f>
        <v>0</v>
      </c>
      <c r="DH296" s="3">
        <f t="shared" si="273"/>
        <v>0</v>
      </c>
      <c r="DI296" s="3">
        <f t="shared" si="273"/>
        <v>0</v>
      </c>
      <c r="DJ296" s="3">
        <f t="shared" si="273"/>
        <v>0</v>
      </c>
      <c r="DK296" s="3">
        <f t="shared" si="273"/>
        <v>0</v>
      </c>
      <c r="DL296" s="3">
        <f t="shared" si="273"/>
        <v>0</v>
      </c>
      <c r="DM296" s="3">
        <f t="shared" si="273"/>
        <v>0</v>
      </c>
      <c r="DN296" s="3">
        <f t="shared" si="273"/>
        <v>0</v>
      </c>
      <c r="DO296" s="3">
        <f t="shared" si="273"/>
        <v>0</v>
      </c>
      <c r="DP296" s="3">
        <f t="shared" si="273"/>
        <v>0</v>
      </c>
      <c r="DQ296" s="3">
        <f t="shared" si="273"/>
        <v>0</v>
      </c>
      <c r="DR296" s="3">
        <f t="shared" si="273"/>
        <v>0</v>
      </c>
      <c r="DS296" s="3">
        <f t="shared" si="273"/>
        <v>0</v>
      </c>
      <c r="DT296" s="3">
        <f t="shared" si="273"/>
        <v>0</v>
      </c>
      <c r="DU296" s="3">
        <f t="shared" si="273"/>
        <v>0</v>
      </c>
      <c r="DV296" s="3">
        <f t="shared" si="273"/>
        <v>0</v>
      </c>
      <c r="DW296" s="3">
        <f t="shared" si="273"/>
        <v>0</v>
      </c>
      <c r="DX296" s="3">
        <f t="shared" si="273"/>
        <v>0</v>
      </c>
      <c r="DY296" s="3">
        <f t="shared" si="273"/>
        <v>0</v>
      </c>
      <c r="DZ296" s="3">
        <f t="shared" si="273"/>
        <v>0</v>
      </c>
      <c r="EA296" s="3">
        <f t="shared" si="273"/>
        <v>0</v>
      </c>
      <c r="EB296" s="3">
        <f t="shared" si="273"/>
        <v>0</v>
      </c>
      <c r="EC296" s="3">
        <f t="shared" si="273"/>
        <v>0</v>
      </c>
      <c r="ED296" s="3">
        <f t="shared" si="273"/>
        <v>0</v>
      </c>
      <c r="EE296" s="3">
        <f t="shared" si="273"/>
        <v>0</v>
      </c>
      <c r="EF296" s="3">
        <f t="shared" si="273"/>
        <v>0</v>
      </c>
      <c r="EG296" s="3">
        <f t="shared" si="273"/>
        <v>0</v>
      </c>
      <c r="EH296" s="3">
        <f t="shared" si="273"/>
        <v>0</v>
      </c>
      <c r="EI296" s="3">
        <f t="shared" si="273"/>
        <v>0</v>
      </c>
      <c r="EJ296" s="3">
        <f t="shared" si="273"/>
        <v>0</v>
      </c>
      <c r="EK296" s="3">
        <f t="shared" si="273"/>
        <v>0</v>
      </c>
      <c r="EL296" s="3">
        <f t="shared" si="273"/>
        <v>0</v>
      </c>
      <c r="EM296" s="3">
        <f t="shared" ref="EM296:FR296" si="274">EM306</f>
        <v>0</v>
      </c>
      <c r="EN296" s="3">
        <f t="shared" si="274"/>
        <v>0</v>
      </c>
      <c r="EO296" s="3">
        <f t="shared" si="274"/>
        <v>0</v>
      </c>
      <c r="EP296" s="3">
        <f t="shared" si="274"/>
        <v>0</v>
      </c>
      <c r="EQ296" s="3">
        <f t="shared" si="274"/>
        <v>0</v>
      </c>
      <c r="ER296" s="3">
        <f t="shared" si="274"/>
        <v>0</v>
      </c>
      <c r="ES296" s="3">
        <f t="shared" si="274"/>
        <v>0</v>
      </c>
      <c r="ET296" s="3">
        <f t="shared" si="274"/>
        <v>0</v>
      </c>
      <c r="EU296" s="3">
        <f t="shared" si="274"/>
        <v>0</v>
      </c>
      <c r="EV296" s="3">
        <f t="shared" si="274"/>
        <v>0</v>
      </c>
      <c r="EW296" s="3">
        <f t="shared" si="274"/>
        <v>0</v>
      </c>
      <c r="EX296" s="3">
        <f t="shared" si="274"/>
        <v>0</v>
      </c>
      <c r="EY296" s="3">
        <f t="shared" si="274"/>
        <v>0</v>
      </c>
      <c r="EZ296" s="3">
        <f t="shared" si="274"/>
        <v>0</v>
      </c>
      <c r="FA296" s="3">
        <f t="shared" si="274"/>
        <v>0</v>
      </c>
      <c r="FB296" s="3">
        <f t="shared" si="274"/>
        <v>0</v>
      </c>
      <c r="FC296" s="3">
        <f t="shared" si="274"/>
        <v>0</v>
      </c>
      <c r="FD296" s="3">
        <f t="shared" si="274"/>
        <v>0</v>
      </c>
      <c r="FE296" s="3">
        <f t="shared" si="274"/>
        <v>0</v>
      </c>
      <c r="FF296" s="3">
        <f t="shared" si="274"/>
        <v>0</v>
      </c>
      <c r="FG296" s="3">
        <f t="shared" si="274"/>
        <v>0</v>
      </c>
      <c r="FH296" s="3">
        <f t="shared" si="274"/>
        <v>0</v>
      </c>
      <c r="FI296" s="3">
        <f t="shared" si="274"/>
        <v>0</v>
      </c>
      <c r="FJ296" s="3">
        <f t="shared" si="274"/>
        <v>0</v>
      </c>
      <c r="FK296" s="3">
        <f t="shared" si="274"/>
        <v>0</v>
      </c>
      <c r="FL296" s="3">
        <f t="shared" si="274"/>
        <v>0</v>
      </c>
      <c r="FM296" s="3">
        <f t="shared" si="274"/>
        <v>0</v>
      </c>
      <c r="FN296" s="3">
        <f t="shared" si="274"/>
        <v>0</v>
      </c>
      <c r="FO296" s="3">
        <f t="shared" si="274"/>
        <v>0</v>
      </c>
      <c r="FP296" s="3">
        <f t="shared" si="274"/>
        <v>0</v>
      </c>
      <c r="FQ296" s="3">
        <f t="shared" si="274"/>
        <v>0</v>
      </c>
      <c r="FR296" s="3">
        <f t="shared" si="274"/>
        <v>0</v>
      </c>
      <c r="FS296" s="3">
        <f t="shared" ref="FS296:GX296" si="275">FS306</f>
        <v>0</v>
      </c>
      <c r="FT296" s="3">
        <f t="shared" si="275"/>
        <v>0</v>
      </c>
      <c r="FU296" s="3">
        <f t="shared" si="275"/>
        <v>0</v>
      </c>
      <c r="FV296" s="3">
        <f t="shared" si="275"/>
        <v>0</v>
      </c>
      <c r="FW296" s="3">
        <f t="shared" si="275"/>
        <v>0</v>
      </c>
      <c r="FX296" s="3">
        <f t="shared" si="275"/>
        <v>0</v>
      </c>
      <c r="FY296" s="3">
        <f t="shared" si="275"/>
        <v>0</v>
      </c>
      <c r="FZ296" s="3">
        <f t="shared" si="275"/>
        <v>0</v>
      </c>
      <c r="GA296" s="3">
        <f t="shared" si="275"/>
        <v>0</v>
      </c>
      <c r="GB296" s="3">
        <f t="shared" si="275"/>
        <v>0</v>
      </c>
      <c r="GC296" s="3">
        <f t="shared" si="275"/>
        <v>0</v>
      </c>
      <c r="GD296" s="3">
        <f t="shared" si="275"/>
        <v>0</v>
      </c>
      <c r="GE296" s="3">
        <f t="shared" si="275"/>
        <v>0</v>
      </c>
      <c r="GF296" s="3">
        <f t="shared" si="275"/>
        <v>0</v>
      </c>
      <c r="GG296" s="3">
        <f t="shared" si="275"/>
        <v>0</v>
      </c>
      <c r="GH296" s="3">
        <f t="shared" si="275"/>
        <v>0</v>
      </c>
      <c r="GI296" s="3">
        <f t="shared" si="275"/>
        <v>0</v>
      </c>
      <c r="GJ296" s="3">
        <f t="shared" si="275"/>
        <v>0</v>
      </c>
      <c r="GK296" s="3">
        <f t="shared" si="275"/>
        <v>0</v>
      </c>
      <c r="GL296" s="3">
        <f t="shared" si="275"/>
        <v>0</v>
      </c>
      <c r="GM296" s="3">
        <f t="shared" si="275"/>
        <v>0</v>
      </c>
      <c r="GN296" s="3">
        <f t="shared" si="275"/>
        <v>0</v>
      </c>
      <c r="GO296" s="3">
        <f t="shared" si="275"/>
        <v>0</v>
      </c>
      <c r="GP296" s="3">
        <f t="shared" si="275"/>
        <v>0</v>
      </c>
      <c r="GQ296" s="3">
        <f t="shared" si="275"/>
        <v>0</v>
      </c>
      <c r="GR296" s="3">
        <f t="shared" si="275"/>
        <v>0</v>
      </c>
      <c r="GS296" s="3">
        <f t="shared" si="275"/>
        <v>0</v>
      </c>
      <c r="GT296" s="3">
        <f t="shared" si="275"/>
        <v>0</v>
      </c>
      <c r="GU296" s="3">
        <f t="shared" si="275"/>
        <v>0</v>
      </c>
      <c r="GV296" s="3">
        <f t="shared" si="275"/>
        <v>0</v>
      </c>
      <c r="GW296" s="3">
        <f t="shared" si="275"/>
        <v>0</v>
      </c>
      <c r="GX296" s="3">
        <f t="shared" si="275"/>
        <v>0</v>
      </c>
    </row>
    <row r="298" spans="1:245" x14ac:dyDescent="0.2">
      <c r="A298">
        <v>17</v>
      </c>
      <c r="B298">
        <v>1</v>
      </c>
      <c r="D298">
        <f>ROW(EtalonRes!A179)</f>
        <v>179</v>
      </c>
      <c r="E298" t="s">
        <v>281</v>
      </c>
      <c r="F298" t="s">
        <v>282</v>
      </c>
      <c r="G298" t="s">
        <v>283</v>
      </c>
      <c r="H298" t="s">
        <v>42</v>
      </c>
      <c r="I298">
        <v>0.33800000000000002</v>
      </c>
      <c r="J298">
        <v>0</v>
      </c>
      <c r="K298">
        <v>0.33800000000000002</v>
      </c>
      <c r="O298">
        <f t="shared" ref="O298:O304" si="276">ROUND(CP298,2)</f>
        <v>44921.91</v>
      </c>
      <c r="P298">
        <f t="shared" ref="P298:P304" si="277">ROUND(CQ298*I298,2)</f>
        <v>28645.200000000001</v>
      </c>
      <c r="Q298">
        <f t="shared" ref="Q298:Q304" si="278">ROUND(CR298*I298,2)</f>
        <v>30.49</v>
      </c>
      <c r="R298">
        <f t="shared" ref="R298:R304" si="279">ROUND(CS298*I298,2)</f>
        <v>3.12</v>
      </c>
      <c r="S298">
        <f t="shared" ref="S298:S304" si="280">ROUND(CT298*I298,2)</f>
        <v>16246.22</v>
      </c>
      <c r="T298">
        <f t="shared" ref="T298:T304" si="281">ROUND(CU298*I298,2)</f>
        <v>0</v>
      </c>
      <c r="U298">
        <f t="shared" ref="U298:U304" si="282">CV298*I298</f>
        <v>51.747799999999998</v>
      </c>
      <c r="V298">
        <f t="shared" ref="V298:V304" si="283">CW298*I298</f>
        <v>0</v>
      </c>
      <c r="W298">
        <f t="shared" ref="W298:W304" si="284">ROUND(CX298*I298,2)</f>
        <v>0</v>
      </c>
      <c r="X298">
        <f t="shared" ref="X298:Y304" si="285">ROUND(CY298,2)</f>
        <v>11372.35</v>
      </c>
      <c r="Y298">
        <f t="shared" si="285"/>
        <v>1624.62</v>
      </c>
      <c r="AA298">
        <v>72192302</v>
      </c>
      <c r="AB298">
        <f t="shared" ref="AB298:AB304" si="286">ROUND((AC298+AD298+AF298),6)</f>
        <v>132905.04</v>
      </c>
      <c r="AC298">
        <f>ROUND((ES298),6)</f>
        <v>84749.11</v>
      </c>
      <c r="AD298">
        <f>ROUND((((ET298)-(EU298))+AE298),6)</f>
        <v>90.2</v>
      </c>
      <c r="AE298">
        <f>ROUND((EU298),6)</f>
        <v>9.2200000000000006</v>
      </c>
      <c r="AF298">
        <f>ROUND((EV298),6)</f>
        <v>48065.73</v>
      </c>
      <c r="AG298">
        <f t="shared" ref="AG298:AG304" si="287">ROUND((AP298),6)</f>
        <v>0</v>
      </c>
      <c r="AH298">
        <f>(EW298)</f>
        <v>153.1</v>
      </c>
      <c r="AI298">
        <f>(EX298)</f>
        <v>0</v>
      </c>
      <c r="AJ298">
        <f t="shared" ref="AJ298:AJ304" si="288">(AS298)</f>
        <v>0</v>
      </c>
      <c r="AK298">
        <v>132905.04</v>
      </c>
      <c r="AL298">
        <v>84749.11</v>
      </c>
      <c r="AM298">
        <v>90.2</v>
      </c>
      <c r="AN298">
        <v>9.2200000000000006</v>
      </c>
      <c r="AO298">
        <v>48065.73</v>
      </c>
      <c r="AP298">
        <v>0</v>
      </c>
      <c r="AQ298">
        <v>153.1</v>
      </c>
      <c r="AR298">
        <v>0</v>
      </c>
      <c r="AS298">
        <v>0</v>
      </c>
      <c r="AT298">
        <v>70</v>
      </c>
      <c r="AU298">
        <v>10</v>
      </c>
      <c r="AV298">
        <v>1</v>
      </c>
      <c r="AW298">
        <v>1</v>
      </c>
      <c r="AZ298">
        <v>1</v>
      </c>
      <c r="BA298">
        <v>1</v>
      </c>
      <c r="BB298">
        <v>1</v>
      </c>
      <c r="BC298">
        <v>1</v>
      </c>
      <c r="BD298" t="s">
        <v>3</v>
      </c>
      <c r="BE298" t="s">
        <v>3</v>
      </c>
      <c r="BF298" t="s">
        <v>3</v>
      </c>
      <c r="BG298" t="s">
        <v>3</v>
      </c>
      <c r="BH298">
        <v>0</v>
      </c>
      <c r="BI298">
        <v>4</v>
      </c>
      <c r="BJ298" t="s">
        <v>284</v>
      </c>
      <c r="BM298">
        <v>0</v>
      </c>
      <c r="BN298">
        <v>0</v>
      </c>
      <c r="BO298" t="s">
        <v>3</v>
      </c>
      <c r="BP298">
        <v>0</v>
      </c>
      <c r="BQ298">
        <v>1</v>
      </c>
      <c r="BR298">
        <v>0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 t="s">
        <v>3</v>
      </c>
      <c r="BZ298">
        <v>70</v>
      </c>
      <c r="CA298">
        <v>10</v>
      </c>
      <c r="CB298" t="s">
        <v>3</v>
      </c>
      <c r="CE298">
        <v>0</v>
      </c>
      <c r="CF298">
        <v>0</v>
      </c>
      <c r="CG298">
        <v>0</v>
      </c>
      <c r="CM298">
        <v>0</v>
      </c>
      <c r="CN298" t="s">
        <v>3</v>
      </c>
      <c r="CO298">
        <v>0</v>
      </c>
      <c r="CP298">
        <f t="shared" ref="CP298:CP304" si="289">(P298+Q298+S298)</f>
        <v>44921.91</v>
      </c>
      <c r="CQ298">
        <f t="shared" ref="CQ298:CQ304" si="290">(AC298*BC298*AW298)</f>
        <v>84749.11</v>
      </c>
      <c r="CR298">
        <f>((((ET298)*BB298-(EU298)*BS298)+AE298*BS298)*AV298)</f>
        <v>90.2</v>
      </c>
      <c r="CS298">
        <f t="shared" ref="CS298:CS304" si="291">(AE298*BS298*AV298)</f>
        <v>9.2200000000000006</v>
      </c>
      <c r="CT298">
        <f t="shared" ref="CT298:CT304" si="292">(AF298*BA298*AV298)</f>
        <v>48065.73</v>
      </c>
      <c r="CU298">
        <f t="shared" ref="CU298:CU304" si="293">AG298</f>
        <v>0</v>
      </c>
      <c r="CV298">
        <f t="shared" ref="CV298:CV304" si="294">(AH298*AV298)</f>
        <v>153.1</v>
      </c>
      <c r="CW298">
        <f t="shared" ref="CW298:CX304" si="295">AI298</f>
        <v>0</v>
      </c>
      <c r="CX298">
        <f t="shared" si="295"/>
        <v>0</v>
      </c>
      <c r="CY298">
        <f t="shared" ref="CY298:CY304" si="296">((S298*BZ298)/100)</f>
        <v>11372.353999999999</v>
      </c>
      <c r="CZ298">
        <f t="shared" ref="CZ298:CZ304" si="297">((S298*CA298)/100)</f>
        <v>1624.6219999999998</v>
      </c>
      <c r="DC298" t="s">
        <v>3</v>
      </c>
      <c r="DD298" t="s">
        <v>3</v>
      </c>
      <c r="DE298" t="s">
        <v>3</v>
      </c>
      <c r="DF298" t="s">
        <v>3</v>
      </c>
      <c r="DG298" t="s">
        <v>3</v>
      </c>
      <c r="DH298" t="s">
        <v>3</v>
      </c>
      <c r="DI298" t="s">
        <v>3</v>
      </c>
      <c r="DJ298" t="s">
        <v>3</v>
      </c>
      <c r="DK298" t="s">
        <v>3</v>
      </c>
      <c r="DL298" t="s">
        <v>3</v>
      </c>
      <c r="DM298" t="s">
        <v>3</v>
      </c>
      <c r="DN298">
        <v>0</v>
      </c>
      <c r="DO298">
        <v>0</v>
      </c>
      <c r="DP298">
        <v>1</v>
      </c>
      <c r="DQ298">
        <v>1</v>
      </c>
      <c r="DU298">
        <v>1005</v>
      </c>
      <c r="DV298" t="s">
        <v>42</v>
      </c>
      <c r="DW298" t="s">
        <v>42</v>
      </c>
      <c r="DX298">
        <v>100</v>
      </c>
      <c r="DZ298" t="s">
        <v>3</v>
      </c>
      <c r="EA298" t="s">
        <v>3</v>
      </c>
      <c r="EB298" t="s">
        <v>3</v>
      </c>
      <c r="EC298" t="s">
        <v>3</v>
      </c>
      <c r="EE298">
        <v>71753531</v>
      </c>
      <c r="EF298">
        <v>1</v>
      </c>
      <c r="EG298" t="s">
        <v>22</v>
      </c>
      <c r="EH298">
        <v>0</v>
      </c>
      <c r="EI298" t="s">
        <v>3</v>
      </c>
      <c r="EJ298">
        <v>4</v>
      </c>
      <c r="EK298">
        <v>0</v>
      </c>
      <c r="EL298" t="s">
        <v>23</v>
      </c>
      <c r="EM298" t="s">
        <v>24</v>
      </c>
      <c r="EO298" t="s">
        <v>3</v>
      </c>
      <c r="EQ298">
        <v>0</v>
      </c>
      <c r="ER298">
        <v>132905.04</v>
      </c>
      <c r="ES298">
        <v>84749.11</v>
      </c>
      <c r="ET298">
        <v>90.2</v>
      </c>
      <c r="EU298">
        <v>9.2200000000000006</v>
      </c>
      <c r="EV298">
        <v>48065.73</v>
      </c>
      <c r="EW298">
        <v>153.1</v>
      </c>
      <c r="EX298">
        <v>0</v>
      </c>
      <c r="EY298">
        <v>0</v>
      </c>
      <c r="FQ298">
        <v>0</v>
      </c>
      <c r="FR298">
        <f t="shared" ref="FR298:FR304" si="298">ROUND(IF(BI298=3,GM298,0),2)</f>
        <v>0</v>
      </c>
      <c r="FS298">
        <v>0</v>
      </c>
      <c r="FX298">
        <v>70</v>
      </c>
      <c r="FY298">
        <v>10</v>
      </c>
      <c r="GA298" t="s">
        <v>3</v>
      </c>
      <c r="GD298">
        <v>0</v>
      </c>
      <c r="GF298">
        <v>-1673332290</v>
      </c>
      <c r="GG298">
        <v>2</v>
      </c>
      <c r="GH298">
        <v>1</v>
      </c>
      <c r="GI298">
        <v>-2</v>
      </c>
      <c r="GJ298">
        <v>0</v>
      </c>
      <c r="GK298">
        <f>ROUND(R298*(R12)/100,2)</f>
        <v>3.37</v>
      </c>
      <c r="GL298">
        <f t="shared" ref="GL298:GL304" si="299">ROUND(IF(AND(BH298=3,BI298=3,FS298&lt;&gt;0),P298,0),2)</f>
        <v>0</v>
      </c>
      <c r="GM298">
        <f t="shared" ref="GM298:GM304" si="300">ROUND(O298+X298+Y298+GK298,2)+GX298</f>
        <v>57922.25</v>
      </c>
      <c r="GN298">
        <f t="shared" ref="GN298:GN304" si="301">IF(OR(BI298=0,BI298=1),GM298,0)</f>
        <v>0</v>
      </c>
      <c r="GO298">
        <f t="shared" ref="GO298:GO304" si="302">IF(BI298=2,GM298,0)</f>
        <v>0</v>
      </c>
      <c r="GP298">
        <f t="shared" ref="GP298:GP304" si="303">IF(BI298=4,GM298+GX298,0)</f>
        <v>57922.25</v>
      </c>
      <c r="GR298">
        <v>0</v>
      </c>
      <c r="GS298">
        <v>3</v>
      </c>
      <c r="GT298">
        <v>0</v>
      </c>
      <c r="GU298" t="s">
        <v>3</v>
      </c>
      <c r="GV298">
        <f t="shared" ref="GV298:GV304" si="304">ROUND((GT298),6)</f>
        <v>0</v>
      </c>
      <c r="GW298">
        <v>1</v>
      </c>
      <c r="GX298">
        <f t="shared" ref="GX298:GX304" si="305">ROUND(HC298*I298,2)</f>
        <v>0</v>
      </c>
      <c r="HA298">
        <v>0</v>
      </c>
      <c r="HB298">
        <v>0</v>
      </c>
      <c r="HC298">
        <f t="shared" ref="HC298:HC304" si="306">GV298*GW298</f>
        <v>0</v>
      </c>
      <c r="HE298" t="s">
        <v>3</v>
      </c>
      <c r="HF298" t="s">
        <v>3</v>
      </c>
      <c r="HM298" t="s">
        <v>3</v>
      </c>
      <c r="HN298" t="s">
        <v>3</v>
      </c>
      <c r="HO298" t="s">
        <v>3</v>
      </c>
      <c r="HP298" t="s">
        <v>3</v>
      </c>
      <c r="HQ298" t="s">
        <v>3</v>
      </c>
      <c r="IK298">
        <v>0</v>
      </c>
    </row>
    <row r="299" spans="1:245" x14ac:dyDescent="0.2">
      <c r="A299">
        <v>17</v>
      </c>
      <c r="B299">
        <v>1</v>
      </c>
      <c r="D299">
        <f>ROW(EtalonRes!A187)</f>
        <v>187</v>
      </c>
      <c r="E299" t="s">
        <v>285</v>
      </c>
      <c r="F299" t="s">
        <v>286</v>
      </c>
      <c r="G299" t="s">
        <v>287</v>
      </c>
      <c r="H299" t="s">
        <v>42</v>
      </c>
      <c r="I299">
        <v>0.33800000000000002</v>
      </c>
      <c r="J299">
        <v>0</v>
      </c>
      <c r="K299">
        <v>0.33800000000000002</v>
      </c>
      <c r="O299">
        <f t="shared" si="276"/>
        <v>19935.88</v>
      </c>
      <c r="P299">
        <f t="shared" si="277"/>
        <v>16016.86</v>
      </c>
      <c r="Q299">
        <f t="shared" si="278"/>
        <v>70.69</v>
      </c>
      <c r="R299">
        <f t="shared" si="279"/>
        <v>5.76</v>
      </c>
      <c r="S299">
        <f t="shared" si="280"/>
        <v>3848.33</v>
      </c>
      <c r="T299">
        <f t="shared" si="281"/>
        <v>0</v>
      </c>
      <c r="U299">
        <f t="shared" si="282"/>
        <v>12.83386</v>
      </c>
      <c r="V299">
        <f t="shared" si="283"/>
        <v>0</v>
      </c>
      <c r="W299">
        <f t="shared" si="284"/>
        <v>0</v>
      </c>
      <c r="X299">
        <f t="shared" si="285"/>
        <v>2693.83</v>
      </c>
      <c r="Y299">
        <f t="shared" si="285"/>
        <v>384.83</v>
      </c>
      <c r="AA299">
        <v>72192302</v>
      </c>
      <c r="AB299">
        <f t="shared" si="286"/>
        <v>58981.86</v>
      </c>
      <c r="AC299">
        <f>ROUND((ES299),6)</f>
        <v>47387.15</v>
      </c>
      <c r="AD299">
        <f>ROUND((((ET299)-(EU299))+AE299),6)</f>
        <v>209.13</v>
      </c>
      <c r="AE299">
        <f>ROUND((EU299),6)</f>
        <v>17.05</v>
      </c>
      <c r="AF299">
        <f>ROUND((EV299),6)</f>
        <v>11385.58</v>
      </c>
      <c r="AG299">
        <f t="shared" si="287"/>
        <v>0</v>
      </c>
      <c r="AH299">
        <f>(EW299)</f>
        <v>37.97</v>
      </c>
      <c r="AI299">
        <f>(EX299)</f>
        <v>0</v>
      </c>
      <c r="AJ299">
        <f t="shared" si="288"/>
        <v>0</v>
      </c>
      <c r="AK299">
        <v>58981.86</v>
      </c>
      <c r="AL299">
        <v>47387.15</v>
      </c>
      <c r="AM299">
        <v>209.13</v>
      </c>
      <c r="AN299">
        <v>17.05</v>
      </c>
      <c r="AO299">
        <v>11385.58</v>
      </c>
      <c r="AP299">
        <v>0</v>
      </c>
      <c r="AQ299">
        <v>37.97</v>
      </c>
      <c r="AR299">
        <v>0</v>
      </c>
      <c r="AS299">
        <v>0</v>
      </c>
      <c r="AT299">
        <v>70</v>
      </c>
      <c r="AU299">
        <v>10</v>
      </c>
      <c r="AV299">
        <v>1</v>
      </c>
      <c r="AW299">
        <v>1</v>
      </c>
      <c r="AZ299">
        <v>1</v>
      </c>
      <c r="BA299">
        <v>1</v>
      </c>
      <c r="BB299">
        <v>1</v>
      </c>
      <c r="BC299">
        <v>1</v>
      </c>
      <c r="BD299" t="s">
        <v>3</v>
      </c>
      <c r="BE299" t="s">
        <v>3</v>
      </c>
      <c r="BF299" t="s">
        <v>3</v>
      </c>
      <c r="BG299" t="s">
        <v>3</v>
      </c>
      <c r="BH299">
        <v>0</v>
      </c>
      <c r="BI299">
        <v>4</v>
      </c>
      <c r="BJ299" t="s">
        <v>288</v>
      </c>
      <c r="BM299">
        <v>0</v>
      </c>
      <c r="BN299">
        <v>0</v>
      </c>
      <c r="BO299" t="s">
        <v>3</v>
      </c>
      <c r="BP299">
        <v>0</v>
      </c>
      <c r="BQ299">
        <v>1</v>
      </c>
      <c r="BR299">
        <v>0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 t="s">
        <v>3</v>
      </c>
      <c r="BZ299">
        <v>70</v>
      </c>
      <c r="CA299">
        <v>10</v>
      </c>
      <c r="CB299" t="s">
        <v>3</v>
      </c>
      <c r="CE299">
        <v>0</v>
      </c>
      <c r="CF299">
        <v>0</v>
      </c>
      <c r="CG299">
        <v>0</v>
      </c>
      <c r="CM299">
        <v>0</v>
      </c>
      <c r="CN299" t="s">
        <v>3</v>
      </c>
      <c r="CO299">
        <v>0</v>
      </c>
      <c r="CP299">
        <f t="shared" si="289"/>
        <v>19935.88</v>
      </c>
      <c r="CQ299">
        <f t="shared" si="290"/>
        <v>47387.15</v>
      </c>
      <c r="CR299">
        <f>((((ET299)*BB299-(EU299)*BS299)+AE299*BS299)*AV299)</f>
        <v>209.13</v>
      </c>
      <c r="CS299">
        <f t="shared" si="291"/>
        <v>17.05</v>
      </c>
      <c r="CT299">
        <f t="shared" si="292"/>
        <v>11385.58</v>
      </c>
      <c r="CU299">
        <f t="shared" si="293"/>
        <v>0</v>
      </c>
      <c r="CV299">
        <f t="shared" si="294"/>
        <v>37.97</v>
      </c>
      <c r="CW299">
        <f t="shared" si="295"/>
        <v>0</v>
      </c>
      <c r="CX299">
        <f t="shared" si="295"/>
        <v>0</v>
      </c>
      <c r="CY299">
        <f t="shared" si="296"/>
        <v>2693.8309999999997</v>
      </c>
      <c r="CZ299">
        <f t="shared" si="297"/>
        <v>384.83300000000003</v>
      </c>
      <c r="DC299" t="s">
        <v>3</v>
      </c>
      <c r="DD299" t="s">
        <v>3</v>
      </c>
      <c r="DE299" t="s">
        <v>3</v>
      </c>
      <c r="DF299" t="s">
        <v>3</v>
      </c>
      <c r="DG299" t="s">
        <v>3</v>
      </c>
      <c r="DH299" t="s">
        <v>3</v>
      </c>
      <c r="DI299" t="s">
        <v>3</v>
      </c>
      <c r="DJ299" t="s">
        <v>3</v>
      </c>
      <c r="DK299" t="s">
        <v>3</v>
      </c>
      <c r="DL299" t="s">
        <v>3</v>
      </c>
      <c r="DM299" t="s">
        <v>3</v>
      </c>
      <c r="DN299">
        <v>0</v>
      </c>
      <c r="DO299">
        <v>0</v>
      </c>
      <c r="DP299">
        <v>1</v>
      </c>
      <c r="DQ299">
        <v>1</v>
      </c>
      <c r="DU299">
        <v>1005</v>
      </c>
      <c r="DV299" t="s">
        <v>42</v>
      </c>
      <c r="DW299" t="s">
        <v>42</v>
      </c>
      <c r="DX299">
        <v>100</v>
      </c>
      <c r="DZ299" t="s">
        <v>3</v>
      </c>
      <c r="EA299" t="s">
        <v>3</v>
      </c>
      <c r="EB299" t="s">
        <v>3</v>
      </c>
      <c r="EC299" t="s">
        <v>3</v>
      </c>
      <c r="EE299">
        <v>71753531</v>
      </c>
      <c r="EF299">
        <v>1</v>
      </c>
      <c r="EG299" t="s">
        <v>22</v>
      </c>
      <c r="EH299">
        <v>0</v>
      </c>
      <c r="EI299" t="s">
        <v>3</v>
      </c>
      <c r="EJ299">
        <v>4</v>
      </c>
      <c r="EK299">
        <v>0</v>
      </c>
      <c r="EL299" t="s">
        <v>23</v>
      </c>
      <c r="EM299" t="s">
        <v>24</v>
      </c>
      <c r="EO299" t="s">
        <v>3</v>
      </c>
      <c r="EQ299">
        <v>0</v>
      </c>
      <c r="ER299">
        <v>58981.86</v>
      </c>
      <c r="ES299">
        <v>47387.15</v>
      </c>
      <c r="ET299">
        <v>209.13</v>
      </c>
      <c r="EU299">
        <v>17.05</v>
      </c>
      <c r="EV299">
        <v>11385.58</v>
      </c>
      <c r="EW299">
        <v>37.97</v>
      </c>
      <c r="EX299">
        <v>0</v>
      </c>
      <c r="EY299">
        <v>0</v>
      </c>
      <c r="FQ299">
        <v>0</v>
      </c>
      <c r="FR299">
        <f t="shared" si="298"/>
        <v>0</v>
      </c>
      <c r="FS299">
        <v>0</v>
      </c>
      <c r="FX299">
        <v>70</v>
      </c>
      <c r="FY299">
        <v>10</v>
      </c>
      <c r="GA299" t="s">
        <v>3</v>
      </c>
      <c r="GD299">
        <v>0</v>
      </c>
      <c r="GF299">
        <v>-743885382</v>
      </c>
      <c r="GG299">
        <v>2</v>
      </c>
      <c r="GH299">
        <v>1</v>
      </c>
      <c r="GI299">
        <v>-2</v>
      </c>
      <c r="GJ299">
        <v>0</v>
      </c>
      <c r="GK299">
        <f>ROUND(R299*(R12)/100,2)</f>
        <v>6.22</v>
      </c>
      <c r="GL299">
        <f t="shared" si="299"/>
        <v>0</v>
      </c>
      <c r="GM299">
        <f t="shared" si="300"/>
        <v>23020.76</v>
      </c>
      <c r="GN299">
        <f t="shared" si="301"/>
        <v>0</v>
      </c>
      <c r="GO299">
        <f t="shared" si="302"/>
        <v>0</v>
      </c>
      <c r="GP299">
        <f t="shared" si="303"/>
        <v>23020.76</v>
      </c>
      <c r="GR299">
        <v>0</v>
      </c>
      <c r="GS299">
        <v>3</v>
      </c>
      <c r="GT299">
        <v>0</v>
      </c>
      <c r="GU299" t="s">
        <v>3</v>
      </c>
      <c r="GV299">
        <f t="shared" si="304"/>
        <v>0</v>
      </c>
      <c r="GW299">
        <v>1</v>
      </c>
      <c r="GX299">
        <f t="shared" si="305"/>
        <v>0</v>
      </c>
      <c r="HA299">
        <v>0</v>
      </c>
      <c r="HB299">
        <v>0</v>
      </c>
      <c r="HC299">
        <f t="shared" si="306"/>
        <v>0</v>
      </c>
      <c r="HE299" t="s">
        <v>3</v>
      </c>
      <c r="HF299" t="s">
        <v>3</v>
      </c>
      <c r="HM299" t="s">
        <v>3</v>
      </c>
      <c r="HN299" t="s">
        <v>3</v>
      </c>
      <c r="HO299" t="s">
        <v>3</v>
      </c>
      <c r="HP299" t="s">
        <v>3</v>
      </c>
      <c r="HQ299" t="s">
        <v>3</v>
      </c>
      <c r="IK299">
        <v>0</v>
      </c>
    </row>
    <row r="300" spans="1:245" x14ac:dyDescent="0.2">
      <c r="A300">
        <v>17</v>
      </c>
      <c r="B300">
        <v>1</v>
      </c>
      <c r="D300">
        <f>ROW(EtalonRes!A191)</f>
        <v>191</v>
      </c>
      <c r="E300" t="s">
        <v>289</v>
      </c>
      <c r="F300" t="s">
        <v>290</v>
      </c>
      <c r="G300" t="s">
        <v>291</v>
      </c>
      <c r="H300" t="s">
        <v>42</v>
      </c>
      <c r="I300">
        <v>0.33800000000000002</v>
      </c>
      <c r="J300">
        <v>0</v>
      </c>
      <c r="K300">
        <v>0.33800000000000002</v>
      </c>
      <c r="O300">
        <f t="shared" si="276"/>
        <v>12979.42</v>
      </c>
      <c r="P300">
        <f t="shared" si="277"/>
        <v>10761.99</v>
      </c>
      <c r="Q300">
        <f t="shared" si="278"/>
        <v>11.15</v>
      </c>
      <c r="R300">
        <f t="shared" si="279"/>
        <v>1.55</v>
      </c>
      <c r="S300">
        <f t="shared" si="280"/>
        <v>2206.2800000000002</v>
      </c>
      <c r="T300">
        <f t="shared" si="281"/>
        <v>0</v>
      </c>
      <c r="U300">
        <f t="shared" si="282"/>
        <v>6.6755000000000004</v>
      </c>
      <c r="V300">
        <f t="shared" si="283"/>
        <v>0</v>
      </c>
      <c r="W300">
        <f t="shared" si="284"/>
        <v>0</v>
      </c>
      <c r="X300">
        <f t="shared" si="285"/>
        <v>1544.4</v>
      </c>
      <c r="Y300">
        <f t="shared" si="285"/>
        <v>220.63</v>
      </c>
      <c r="AA300">
        <v>72192302</v>
      </c>
      <c r="AB300">
        <f t="shared" si="286"/>
        <v>38400.65</v>
      </c>
      <c r="AC300">
        <f>ROUND(((ES300*5)),6)</f>
        <v>31840.2</v>
      </c>
      <c r="AD300">
        <f>ROUND(((((ET300*5))-((EU300*5)))+AE300),6)</f>
        <v>33</v>
      </c>
      <c r="AE300">
        <f>ROUND(((EU300*5)),6)</f>
        <v>4.5999999999999996</v>
      </c>
      <c r="AF300">
        <f>ROUND(((EV300*5)),6)</f>
        <v>6527.45</v>
      </c>
      <c r="AG300">
        <f t="shared" si="287"/>
        <v>0</v>
      </c>
      <c r="AH300">
        <f>((EW300*5))</f>
        <v>19.75</v>
      </c>
      <c r="AI300">
        <f>((EX300*5))</f>
        <v>0</v>
      </c>
      <c r="AJ300">
        <f t="shared" si="288"/>
        <v>0</v>
      </c>
      <c r="AK300">
        <v>7680.13</v>
      </c>
      <c r="AL300">
        <v>6368.04</v>
      </c>
      <c r="AM300">
        <v>6.6</v>
      </c>
      <c r="AN300">
        <v>0.92</v>
      </c>
      <c r="AO300">
        <v>1305.49</v>
      </c>
      <c r="AP300">
        <v>0</v>
      </c>
      <c r="AQ300">
        <v>3.95</v>
      </c>
      <c r="AR300">
        <v>0</v>
      </c>
      <c r="AS300">
        <v>0</v>
      </c>
      <c r="AT300">
        <v>70</v>
      </c>
      <c r="AU300">
        <v>10</v>
      </c>
      <c r="AV300">
        <v>1</v>
      </c>
      <c r="AW300">
        <v>1</v>
      </c>
      <c r="AZ300">
        <v>1</v>
      </c>
      <c r="BA300">
        <v>1</v>
      </c>
      <c r="BB300">
        <v>1</v>
      </c>
      <c r="BC300">
        <v>1</v>
      </c>
      <c r="BD300" t="s">
        <v>3</v>
      </c>
      <c r="BE300" t="s">
        <v>3</v>
      </c>
      <c r="BF300" t="s">
        <v>3</v>
      </c>
      <c r="BG300" t="s">
        <v>3</v>
      </c>
      <c r="BH300">
        <v>0</v>
      </c>
      <c r="BI300">
        <v>4</v>
      </c>
      <c r="BJ300" t="s">
        <v>292</v>
      </c>
      <c r="BM300">
        <v>0</v>
      </c>
      <c r="BN300">
        <v>0</v>
      </c>
      <c r="BO300" t="s">
        <v>3</v>
      </c>
      <c r="BP300">
        <v>0</v>
      </c>
      <c r="BQ300">
        <v>1</v>
      </c>
      <c r="BR300">
        <v>0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 t="s">
        <v>3</v>
      </c>
      <c r="BZ300">
        <v>70</v>
      </c>
      <c r="CA300">
        <v>10</v>
      </c>
      <c r="CB300" t="s">
        <v>3</v>
      </c>
      <c r="CE300">
        <v>0</v>
      </c>
      <c r="CF300">
        <v>0</v>
      </c>
      <c r="CG300">
        <v>0</v>
      </c>
      <c r="CM300">
        <v>0</v>
      </c>
      <c r="CN300" t="s">
        <v>3</v>
      </c>
      <c r="CO300">
        <v>0</v>
      </c>
      <c r="CP300">
        <f t="shared" si="289"/>
        <v>12979.42</v>
      </c>
      <c r="CQ300">
        <f t="shared" si="290"/>
        <v>31840.2</v>
      </c>
      <c r="CR300">
        <f>(((((ET300*5))*BB300-((EU300*5))*BS300)+AE300*BS300)*AV300)</f>
        <v>33</v>
      </c>
      <c r="CS300">
        <f t="shared" si="291"/>
        <v>4.5999999999999996</v>
      </c>
      <c r="CT300">
        <f t="shared" si="292"/>
        <v>6527.45</v>
      </c>
      <c r="CU300">
        <f t="shared" si="293"/>
        <v>0</v>
      </c>
      <c r="CV300">
        <f t="shared" si="294"/>
        <v>19.75</v>
      </c>
      <c r="CW300">
        <f t="shared" si="295"/>
        <v>0</v>
      </c>
      <c r="CX300">
        <f t="shared" si="295"/>
        <v>0</v>
      </c>
      <c r="CY300">
        <f t="shared" si="296"/>
        <v>1544.396</v>
      </c>
      <c r="CZ300">
        <f t="shared" si="297"/>
        <v>220.62800000000004</v>
      </c>
      <c r="DC300" t="s">
        <v>3</v>
      </c>
      <c r="DD300" t="s">
        <v>293</v>
      </c>
      <c r="DE300" t="s">
        <v>293</v>
      </c>
      <c r="DF300" t="s">
        <v>293</v>
      </c>
      <c r="DG300" t="s">
        <v>293</v>
      </c>
      <c r="DH300" t="s">
        <v>3</v>
      </c>
      <c r="DI300" t="s">
        <v>293</v>
      </c>
      <c r="DJ300" t="s">
        <v>293</v>
      </c>
      <c r="DK300" t="s">
        <v>3</v>
      </c>
      <c r="DL300" t="s">
        <v>3</v>
      </c>
      <c r="DM300" t="s">
        <v>3</v>
      </c>
      <c r="DN300">
        <v>0</v>
      </c>
      <c r="DO300">
        <v>0</v>
      </c>
      <c r="DP300">
        <v>1</v>
      </c>
      <c r="DQ300">
        <v>1</v>
      </c>
      <c r="DU300">
        <v>1005</v>
      </c>
      <c r="DV300" t="s">
        <v>42</v>
      </c>
      <c r="DW300" t="s">
        <v>42</v>
      </c>
      <c r="DX300">
        <v>100</v>
      </c>
      <c r="DZ300" t="s">
        <v>3</v>
      </c>
      <c r="EA300" t="s">
        <v>3</v>
      </c>
      <c r="EB300" t="s">
        <v>3</v>
      </c>
      <c r="EC300" t="s">
        <v>3</v>
      </c>
      <c r="EE300">
        <v>71753531</v>
      </c>
      <c r="EF300">
        <v>1</v>
      </c>
      <c r="EG300" t="s">
        <v>22</v>
      </c>
      <c r="EH300">
        <v>0</v>
      </c>
      <c r="EI300" t="s">
        <v>3</v>
      </c>
      <c r="EJ300">
        <v>4</v>
      </c>
      <c r="EK300">
        <v>0</v>
      </c>
      <c r="EL300" t="s">
        <v>23</v>
      </c>
      <c r="EM300" t="s">
        <v>24</v>
      </c>
      <c r="EO300" t="s">
        <v>3</v>
      </c>
      <c r="EQ300">
        <v>0</v>
      </c>
      <c r="ER300">
        <v>7680.13</v>
      </c>
      <c r="ES300">
        <v>6368.04</v>
      </c>
      <c r="ET300">
        <v>6.6</v>
      </c>
      <c r="EU300">
        <v>0.92</v>
      </c>
      <c r="EV300">
        <v>1305.49</v>
      </c>
      <c r="EW300">
        <v>3.95</v>
      </c>
      <c r="EX300">
        <v>0</v>
      </c>
      <c r="EY300">
        <v>0</v>
      </c>
      <c r="FQ300">
        <v>0</v>
      </c>
      <c r="FR300">
        <f t="shared" si="298"/>
        <v>0</v>
      </c>
      <c r="FS300">
        <v>0</v>
      </c>
      <c r="FX300">
        <v>70</v>
      </c>
      <c r="FY300">
        <v>10</v>
      </c>
      <c r="GA300" t="s">
        <v>3</v>
      </c>
      <c r="GD300">
        <v>0</v>
      </c>
      <c r="GF300">
        <v>-784792358</v>
      </c>
      <c r="GG300">
        <v>2</v>
      </c>
      <c r="GH300">
        <v>1</v>
      </c>
      <c r="GI300">
        <v>-2</v>
      </c>
      <c r="GJ300">
        <v>0</v>
      </c>
      <c r="GK300">
        <f>ROUND(R300*(R12)/100,2)</f>
        <v>1.67</v>
      </c>
      <c r="GL300">
        <f t="shared" si="299"/>
        <v>0</v>
      </c>
      <c r="GM300">
        <f t="shared" si="300"/>
        <v>14746.12</v>
      </c>
      <c r="GN300">
        <f t="shared" si="301"/>
        <v>0</v>
      </c>
      <c r="GO300">
        <f t="shared" si="302"/>
        <v>0</v>
      </c>
      <c r="GP300">
        <f t="shared" si="303"/>
        <v>14746.12</v>
      </c>
      <c r="GR300">
        <v>0</v>
      </c>
      <c r="GS300">
        <v>3</v>
      </c>
      <c r="GT300">
        <v>0</v>
      </c>
      <c r="GU300" t="s">
        <v>3</v>
      </c>
      <c r="GV300">
        <f t="shared" si="304"/>
        <v>0</v>
      </c>
      <c r="GW300">
        <v>1</v>
      </c>
      <c r="GX300">
        <f t="shared" si="305"/>
        <v>0</v>
      </c>
      <c r="HA300">
        <v>0</v>
      </c>
      <c r="HB300">
        <v>0</v>
      </c>
      <c r="HC300">
        <f t="shared" si="306"/>
        <v>0</v>
      </c>
      <c r="HE300" t="s">
        <v>3</v>
      </c>
      <c r="HF300" t="s">
        <v>3</v>
      </c>
      <c r="HM300" t="s">
        <v>3</v>
      </c>
      <c r="HN300" t="s">
        <v>3</v>
      </c>
      <c r="HO300" t="s">
        <v>3</v>
      </c>
      <c r="HP300" t="s">
        <v>3</v>
      </c>
      <c r="HQ300" t="s">
        <v>3</v>
      </c>
      <c r="IK300">
        <v>0</v>
      </c>
    </row>
    <row r="301" spans="1:245" x14ac:dyDescent="0.2">
      <c r="A301">
        <v>17</v>
      </c>
      <c r="B301">
        <v>1</v>
      </c>
      <c r="D301">
        <f>ROW(EtalonRes!A199)</f>
        <v>199</v>
      </c>
      <c r="E301" t="s">
        <v>294</v>
      </c>
      <c r="F301" t="s">
        <v>295</v>
      </c>
      <c r="G301" t="s">
        <v>296</v>
      </c>
      <c r="H301" t="s">
        <v>42</v>
      </c>
      <c r="I301">
        <v>0.33800000000000002</v>
      </c>
      <c r="J301">
        <v>0</v>
      </c>
      <c r="K301">
        <v>0.33800000000000002</v>
      </c>
      <c r="O301">
        <f t="shared" si="276"/>
        <v>42731.24</v>
      </c>
      <c r="P301">
        <f t="shared" si="277"/>
        <v>32703.78</v>
      </c>
      <c r="Q301">
        <f t="shared" si="278"/>
        <v>167.84</v>
      </c>
      <c r="R301">
        <f t="shared" si="279"/>
        <v>79.83</v>
      </c>
      <c r="S301">
        <f t="shared" si="280"/>
        <v>9859.6200000000008</v>
      </c>
      <c r="T301">
        <f t="shared" si="281"/>
        <v>0</v>
      </c>
      <c r="U301">
        <f t="shared" si="282"/>
        <v>32.681220000000003</v>
      </c>
      <c r="V301">
        <f t="shared" si="283"/>
        <v>0</v>
      </c>
      <c r="W301">
        <f t="shared" si="284"/>
        <v>0</v>
      </c>
      <c r="X301">
        <f t="shared" si="285"/>
        <v>6901.73</v>
      </c>
      <c r="Y301">
        <f t="shared" si="285"/>
        <v>985.96</v>
      </c>
      <c r="AA301">
        <v>72192302</v>
      </c>
      <c r="AB301">
        <f t="shared" si="286"/>
        <v>126423.8</v>
      </c>
      <c r="AC301">
        <f>ROUND((ES301),6)</f>
        <v>96756.76</v>
      </c>
      <c r="AD301">
        <f>ROUND((((ET301)-(EU301))+AE301),6)</f>
        <v>496.57</v>
      </c>
      <c r="AE301">
        <f t="shared" ref="AE301:AF304" si="307">ROUND((EU301),6)</f>
        <v>236.19</v>
      </c>
      <c r="AF301">
        <f t="shared" si="307"/>
        <v>29170.47</v>
      </c>
      <c r="AG301">
        <f t="shared" si="287"/>
        <v>0</v>
      </c>
      <c r="AH301">
        <f t="shared" ref="AH301:AI304" si="308">(EW301)</f>
        <v>96.69</v>
      </c>
      <c r="AI301">
        <f t="shared" si="308"/>
        <v>0</v>
      </c>
      <c r="AJ301">
        <f t="shared" si="288"/>
        <v>0</v>
      </c>
      <c r="AK301">
        <v>126423.8</v>
      </c>
      <c r="AL301">
        <v>96756.76</v>
      </c>
      <c r="AM301">
        <v>496.57</v>
      </c>
      <c r="AN301">
        <v>236.19</v>
      </c>
      <c r="AO301">
        <v>29170.47</v>
      </c>
      <c r="AP301">
        <v>0</v>
      </c>
      <c r="AQ301">
        <v>96.69</v>
      </c>
      <c r="AR301">
        <v>0</v>
      </c>
      <c r="AS301">
        <v>0</v>
      </c>
      <c r="AT301">
        <v>70</v>
      </c>
      <c r="AU301">
        <v>10</v>
      </c>
      <c r="AV301">
        <v>1</v>
      </c>
      <c r="AW301">
        <v>1</v>
      </c>
      <c r="AZ301">
        <v>1</v>
      </c>
      <c r="BA301">
        <v>1</v>
      </c>
      <c r="BB301">
        <v>1</v>
      </c>
      <c r="BC301">
        <v>1</v>
      </c>
      <c r="BD301" t="s">
        <v>3</v>
      </c>
      <c r="BE301" t="s">
        <v>3</v>
      </c>
      <c r="BF301" t="s">
        <v>3</v>
      </c>
      <c r="BG301" t="s">
        <v>3</v>
      </c>
      <c r="BH301">
        <v>0</v>
      </c>
      <c r="BI301">
        <v>4</v>
      </c>
      <c r="BJ301" t="s">
        <v>297</v>
      </c>
      <c r="BM301">
        <v>0</v>
      </c>
      <c r="BN301">
        <v>0</v>
      </c>
      <c r="BO301" t="s">
        <v>3</v>
      </c>
      <c r="BP301">
        <v>0</v>
      </c>
      <c r="BQ301">
        <v>1</v>
      </c>
      <c r="BR301">
        <v>0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 t="s">
        <v>3</v>
      </c>
      <c r="BZ301">
        <v>70</v>
      </c>
      <c r="CA301">
        <v>10</v>
      </c>
      <c r="CB301" t="s">
        <v>3</v>
      </c>
      <c r="CE301">
        <v>0</v>
      </c>
      <c r="CF301">
        <v>0</v>
      </c>
      <c r="CG301">
        <v>0</v>
      </c>
      <c r="CM301">
        <v>0</v>
      </c>
      <c r="CN301" t="s">
        <v>3</v>
      </c>
      <c r="CO301">
        <v>0</v>
      </c>
      <c r="CP301">
        <f t="shared" si="289"/>
        <v>42731.24</v>
      </c>
      <c r="CQ301">
        <f t="shared" si="290"/>
        <v>96756.76</v>
      </c>
      <c r="CR301">
        <f>((((ET301)*BB301-(EU301)*BS301)+AE301*BS301)*AV301)</f>
        <v>496.57</v>
      </c>
      <c r="CS301">
        <f t="shared" si="291"/>
        <v>236.19</v>
      </c>
      <c r="CT301">
        <f t="shared" si="292"/>
        <v>29170.47</v>
      </c>
      <c r="CU301">
        <f t="shared" si="293"/>
        <v>0</v>
      </c>
      <c r="CV301">
        <f t="shared" si="294"/>
        <v>96.69</v>
      </c>
      <c r="CW301">
        <f t="shared" si="295"/>
        <v>0</v>
      </c>
      <c r="CX301">
        <f t="shared" si="295"/>
        <v>0</v>
      </c>
      <c r="CY301">
        <f t="shared" si="296"/>
        <v>6901.7340000000004</v>
      </c>
      <c r="CZ301">
        <f t="shared" si="297"/>
        <v>985.9620000000001</v>
      </c>
      <c r="DC301" t="s">
        <v>3</v>
      </c>
      <c r="DD301" t="s">
        <v>3</v>
      </c>
      <c r="DE301" t="s">
        <v>3</v>
      </c>
      <c r="DF301" t="s">
        <v>3</v>
      </c>
      <c r="DG301" t="s">
        <v>3</v>
      </c>
      <c r="DH301" t="s">
        <v>3</v>
      </c>
      <c r="DI301" t="s">
        <v>3</v>
      </c>
      <c r="DJ301" t="s">
        <v>3</v>
      </c>
      <c r="DK301" t="s">
        <v>3</v>
      </c>
      <c r="DL301" t="s">
        <v>3</v>
      </c>
      <c r="DM301" t="s">
        <v>3</v>
      </c>
      <c r="DN301">
        <v>0</v>
      </c>
      <c r="DO301">
        <v>0</v>
      </c>
      <c r="DP301">
        <v>1</v>
      </c>
      <c r="DQ301">
        <v>1</v>
      </c>
      <c r="DU301">
        <v>1005</v>
      </c>
      <c r="DV301" t="s">
        <v>42</v>
      </c>
      <c r="DW301" t="s">
        <v>42</v>
      </c>
      <c r="DX301">
        <v>100</v>
      </c>
      <c r="DZ301" t="s">
        <v>3</v>
      </c>
      <c r="EA301" t="s">
        <v>3</v>
      </c>
      <c r="EB301" t="s">
        <v>3</v>
      </c>
      <c r="EC301" t="s">
        <v>3</v>
      </c>
      <c r="EE301">
        <v>71753531</v>
      </c>
      <c r="EF301">
        <v>1</v>
      </c>
      <c r="EG301" t="s">
        <v>22</v>
      </c>
      <c r="EH301">
        <v>0</v>
      </c>
      <c r="EI301" t="s">
        <v>3</v>
      </c>
      <c r="EJ301">
        <v>4</v>
      </c>
      <c r="EK301">
        <v>0</v>
      </c>
      <c r="EL301" t="s">
        <v>23</v>
      </c>
      <c r="EM301" t="s">
        <v>24</v>
      </c>
      <c r="EO301" t="s">
        <v>3</v>
      </c>
      <c r="EQ301">
        <v>0</v>
      </c>
      <c r="ER301">
        <v>126423.8</v>
      </c>
      <c r="ES301">
        <v>96756.76</v>
      </c>
      <c r="ET301">
        <v>496.57</v>
      </c>
      <c r="EU301">
        <v>236.19</v>
      </c>
      <c r="EV301">
        <v>29170.47</v>
      </c>
      <c r="EW301">
        <v>96.69</v>
      </c>
      <c r="EX301">
        <v>0</v>
      </c>
      <c r="EY301">
        <v>0</v>
      </c>
      <c r="FQ301">
        <v>0</v>
      </c>
      <c r="FR301">
        <f t="shared" si="298"/>
        <v>0</v>
      </c>
      <c r="FS301">
        <v>0</v>
      </c>
      <c r="FX301">
        <v>70</v>
      </c>
      <c r="FY301">
        <v>10</v>
      </c>
      <c r="GA301" t="s">
        <v>3</v>
      </c>
      <c r="GD301">
        <v>0</v>
      </c>
      <c r="GF301">
        <v>-1895535860</v>
      </c>
      <c r="GG301">
        <v>2</v>
      </c>
      <c r="GH301">
        <v>1</v>
      </c>
      <c r="GI301">
        <v>-2</v>
      </c>
      <c r="GJ301">
        <v>0</v>
      </c>
      <c r="GK301">
        <f>ROUND(R301*(R12)/100,2)</f>
        <v>86.22</v>
      </c>
      <c r="GL301">
        <f t="shared" si="299"/>
        <v>0</v>
      </c>
      <c r="GM301">
        <f t="shared" si="300"/>
        <v>50705.15</v>
      </c>
      <c r="GN301">
        <f t="shared" si="301"/>
        <v>0</v>
      </c>
      <c r="GO301">
        <f t="shared" si="302"/>
        <v>0</v>
      </c>
      <c r="GP301">
        <f t="shared" si="303"/>
        <v>50705.15</v>
      </c>
      <c r="GR301">
        <v>0</v>
      </c>
      <c r="GS301">
        <v>3</v>
      </c>
      <c r="GT301">
        <v>0</v>
      </c>
      <c r="GU301" t="s">
        <v>3</v>
      </c>
      <c r="GV301">
        <f t="shared" si="304"/>
        <v>0</v>
      </c>
      <c r="GW301">
        <v>1</v>
      </c>
      <c r="GX301">
        <f t="shared" si="305"/>
        <v>0</v>
      </c>
      <c r="HA301">
        <v>0</v>
      </c>
      <c r="HB301">
        <v>0</v>
      </c>
      <c r="HC301">
        <f t="shared" si="306"/>
        <v>0</v>
      </c>
      <c r="HE301" t="s">
        <v>3</v>
      </c>
      <c r="HF301" t="s">
        <v>3</v>
      </c>
      <c r="HM301" t="s">
        <v>3</v>
      </c>
      <c r="HN301" t="s">
        <v>3</v>
      </c>
      <c r="HO301" t="s">
        <v>3</v>
      </c>
      <c r="HP301" t="s">
        <v>3</v>
      </c>
      <c r="HQ301" t="s">
        <v>3</v>
      </c>
      <c r="IK301">
        <v>0</v>
      </c>
    </row>
    <row r="302" spans="1:245" x14ac:dyDescent="0.2">
      <c r="A302">
        <v>17</v>
      </c>
      <c r="B302">
        <v>1</v>
      </c>
      <c r="D302">
        <f>ROW(EtalonRes!A205)</f>
        <v>205</v>
      </c>
      <c r="E302" t="s">
        <v>298</v>
      </c>
      <c r="F302" t="s">
        <v>299</v>
      </c>
      <c r="G302" t="s">
        <v>300</v>
      </c>
      <c r="H302" t="s">
        <v>20</v>
      </c>
      <c r="I302">
        <v>0.26100000000000001</v>
      </c>
      <c r="J302">
        <v>0</v>
      </c>
      <c r="K302">
        <v>0.26100000000000001</v>
      </c>
      <c r="O302">
        <f t="shared" si="276"/>
        <v>4739.29</v>
      </c>
      <c r="P302">
        <f t="shared" si="277"/>
        <v>1889.76</v>
      </c>
      <c r="Q302">
        <f t="shared" si="278"/>
        <v>0.44</v>
      </c>
      <c r="R302">
        <f t="shared" si="279"/>
        <v>7.0000000000000007E-2</v>
      </c>
      <c r="S302">
        <f t="shared" si="280"/>
        <v>2849.09</v>
      </c>
      <c r="T302">
        <f t="shared" si="281"/>
        <v>0</v>
      </c>
      <c r="U302">
        <f t="shared" si="282"/>
        <v>8.7591600000000014</v>
      </c>
      <c r="V302">
        <f t="shared" si="283"/>
        <v>0</v>
      </c>
      <c r="W302">
        <f t="shared" si="284"/>
        <v>0</v>
      </c>
      <c r="X302">
        <f t="shared" si="285"/>
        <v>1994.36</v>
      </c>
      <c r="Y302">
        <f t="shared" si="285"/>
        <v>284.91000000000003</v>
      </c>
      <c r="AA302">
        <v>72192302</v>
      </c>
      <c r="AB302">
        <f t="shared" si="286"/>
        <v>18158.18</v>
      </c>
      <c r="AC302">
        <f>ROUND((ES302),6)</f>
        <v>7240.45</v>
      </c>
      <c r="AD302">
        <f>ROUND((((ET302)-(EU302))+AE302),6)</f>
        <v>1.69</v>
      </c>
      <c r="AE302">
        <f t="shared" si="307"/>
        <v>0.26</v>
      </c>
      <c r="AF302">
        <f t="shared" si="307"/>
        <v>10916.04</v>
      </c>
      <c r="AG302">
        <f t="shared" si="287"/>
        <v>0</v>
      </c>
      <c r="AH302">
        <f t="shared" si="308"/>
        <v>33.56</v>
      </c>
      <c r="AI302">
        <f t="shared" si="308"/>
        <v>0</v>
      </c>
      <c r="AJ302">
        <f t="shared" si="288"/>
        <v>0</v>
      </c>
      <c r="AK302">
        <v>18158.18</v>
      </c>
      <c r="AL302">
        <v>7240.45</v>
      </c>
      <c r="AM302">
        <v>1.69</v>
      </c>
      <c r="AN302">
        <v>0.26</v>
      </c>
      <c r="AO302">
        <v>10916.04</v>
      </c>
      <c r="AP302">
        <v>0</v>
      </c>
      <c r="AQ302">
        <v>33.56</v>
      </c>
      <c r="AR302">
        <v>0</v>
      </c>
      <c r="AS302">
        <v>0</v>
      </c>
      <c r="AT302">
        <v>70</v>
      </c>
      <c r="AU302">
        <v>10</v>
      </c>
      <c r="AV302">
        <v>1</v>
      </c>
      <c r="AW302">
        <v>1</v>
      </c>
      <c r="AZ302">
        <v>1</v>
      </c>
      <c r="BA302">
        <v>1</v>
      </c>
      <c r="BB302">
        <v>1</v>
      </c>
      <c r="BC302">
        <v>1</v>
      </c>
      <c r="BD302" t="s">
        <v>3</v>
      </c>
      <c r="BE302" t="s">
        <v>3</v>
      </c>
      <c r="BF302" t="s">
        <v>3</v>
      </c>
      <c r="BG302" t="s">
        <v>3</v>
      </c>
      <c r="BH302">
        <v>0</v>
      </c>
      <c r="BI302">
        <v>4</v>
      </c>
      <c r="BJ302" t="s">
        <v>301</v>
      </c>
      <c r="BM302">
        <v>0</v>
      </c>
      <c r="BN302">
        <v>0</v>
      </c>
      <c r="BO302" t="s">
        <v>3</v>
      </c>
      <c r="BP302">
        <v>0</v>
      </c>
      <c r="BQ302">
        <v>1</v>
      </c>
      <c r="BR302">
        <v>0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 t="s">
        <v>3</v>
      </c>
      <c r="BZ302">
        <v>70</v>
      </c>
      <c r="CA302">
        <v>10</v>
      </c>
      <c r="CB302" t="s">
        <v>3</v>
      </c>
      <c r="CE302">
        <v>0</v>
      </c>
      <c r="CF302">
        <v>0</v>
      </c>
      <c r="CG302">
        <v>0</v>
      </c>
      <c r="CM302">
        <v>0</v>
      </c>
      <c r="CN302" t="s">
        <v>3</v>
      </c>
      <c r="CO302">
        <v>0</v>
      </c>
      <c r="CP302">
        <f t="shared" si="289"/>
        <v>4739.29</v>
      </c>
      <c r="CQ302">
        <f t="shared" si="290"/>
        <v>7240.45</v>
      </c>
      <c r="CR302">
        <f>((((ET302)*BB302-(EU302)*BS302)+AE302*BS302)*AV302)</f>
        <v>1.69</v>
      </c>
      <c r="CS302">
        <f t="shared" si="291"/>
        <v>0.26</v>
      </c>
      <c r="CT302">
        <f t="shared" si="292"/>
        <v>10916.04</v>
      </c>
      <c r="CU302">
        <f t="shared" si="293"/>
        <v>0</v>
      </c>
      <c r="CV302">
        <f t="shared" si="294"/>
        <v>33.56</v>
      </c>
      <c r="CW302">
        <f t="shared" si="295"/>
        <v>0</v>
      </c>
      <c r="CX302">
        <f t="shared" si="295"/>
        <v>0</v>
      </c>
      <c r="CY302">
        <f t="shared" si="296"/>
        <v>1994.3630000000003</v>
      </c>
      <c r="CZ302">
        <f t="shared" si="297"/>
        <v>284.90899999999999</v>
      </c>
      <c r="DC302" t="s">
        <v>3</v>
      </c>
      <c r="DD302" t="s">
        <v>3</v>
      </c>
      <c r="DE302" t="s">
        <v>3</v>
      </c>
      <c r="DF302" t="s">
        <v>3</v>
      </c>
      <c r="DG302" t="s">
        <v>3</v>
      </c>
      <c r="DH302" t="s">
        <v>3</v>
      </c>
      <c r="DI302" t="s">
        <v>3</v>
      </c>
      <c r="DJ302" t="s">
        <v>3</v>
      </c>
      <c r="DK302" t="s">
        <v>3</v>
      </c>
      <c r="DL302" t="s">
        <v>3</v>
      </c>
      <c r="DM302" t="s">
        <v>3</v>
      </c>
      <c r="DN302">
        <v>0</v>
      </c>
      <c r="DO302">
        <v>0</v>
      </c>
      <c r="DP302">
        <v>1</v>
      </c>
      <c r="DQ302">
        <v>1</v>
      </c>
      <c r="DU302">
        <v>1003</v>
      </c>
      <c r="DV302" t="s">
        <v>20</v>
      </c>
      <c r="DW302" t="s">
        <v>20</v>
      </c>
      <c r="DX302">
        <v>100</v>
      </c>
      <c r="DZ302" t="s">
        <v>3</v>
      </c>
      <c r="EA302" t="s">
        <v>3</v>
      </c>
      <c r="EB302" t="s">
        <v>3</v>
      </c>
      <c r="EC302" t="s">
        <v>3</v>
      </c>
      <c r="EE302">
        <v>71753531</v>
      </c>
      <c r="EF302">
        <v>1</v>
      </c>
      <c r="EG302" t="s">
        <v>22</v>
      </c>
      <c r="EH302">
        <v>0</v>
      </c>
      <c r="EI302" t="s">
        <v>3</v>
      </c>
      <c r="EJ302">
        <v>4</v>
      </c>
      <c r="EK302">
        <v>0</v>
      </c>
      <c r="EL302" t="s">
        <v>23</v>
      </c>
      <c r="EM302" t="s">
        <v>24</v>
      </c>
      <c r="EO302" t="s">
        <v>3</v>
      </c>
      <c r="EQ302">
        <v>0</v>
      </c>
      <c r="ER302">
        <v>18158.18</v>
      </c>
      <c r="ES302">
        <v>7240.45</v>
      </c>
      <c r="ET302">
        <v>1.69</v>
      </c>
      <c r="EU302">
        <v>0.26</v>
      </c>
      <c r="EV302">
        <v>10916.04</v>
      </c>
      <c r="EW302">
        <v>33.56</v>
      </c>
      <c r="EX302">
        <v>0</v>
      </c>
      <c r="EY302">
        <v>0</v>
      </c>
      <c r="FQ302">
        <v>0</v>
      </c>
      <c r="FR302">
        <f t="shared" si="298"/>
        <v>0</v>
      </c>
      <c r="FS302">
        <v>0</v>
      </c>
      <c r="FX302">
        <v>70</v>
      </c>
      <c r="FY302">
        <v>10</v>
      </c>
      <c r="GA302" t="s">
        <v>3</v>
      </c>
      <c r="GD302">
        <v>0</v>
      </c>
      <c r="GF302">
        <v>-720244069</v>
      </c>
      <c r="GG302">
        <v>2</v>
      </c>
      <c r="GH302">
        <v>1</v>
      </c>
      <c r="GI302">
        <v>-2</v>
      </c>
      <c r="GJ302">
        <v>0</v>
      </c>
      <c r="GK302">
        <f>ROUND(R302*(R12)/100,2)</f>
        <v>0.08</v>
      </c>
      <c r="GL302">
        <f t="shared" si="299"/>
        <v>0</v>
      </c>
      <c r="GM302">
        <f t="shared" si="300"/>
        <v>7018.64</v>
      </c>
      <c r="GN302">
        <f t="shared" si="301"/>
        <v>0</v>
      </c>
      <c r="GO302">
        <f t="shared" si="302"/>
        <v>0</v>
      </c>
      <c r="GP302">
        <f t="shared" si="303"/>
        <v>7018.64</v>
      </c>
      <c r="GR302">
        <v>0</v>
      </c>
      <c r="GS302">
        <v>3</v>
      </c>
      <c r="GT302">
        <v>0</v>
      </c>
      <c r="GU302" t="s">
        <v>3</v>
      </c>
      <c r="GV302">
        <f t="shared" si="304"/>
        <v>0</v>
      </c>
      <c r="GW302">
        <v>1</v>
      </c>
      <c r="GX302">
        <f t="shared" si="305"/>
        <v>0</v>
      </c>
      <c r="HA302">
        <v>0</v>
      </c>
      <c r="HB302">
        <v>0</v>
      </c>
      <c r="HC302">
        <f t="shared" si="306"/>
        <v>0</v>
      </c>
      <c r="HE302" t="s">
        <v>3</v>
      </c>
      <c r="HF302" t="s">
        <v>3</v>
      </c>
      <c r="HM302" t="s">
        <v>3</v>
      </c>
      <c r="HN302" t="s">
        <v>3</v>
      </c>
      <c r="HO302" t="s">
        <v>3</v>
      </c>
      <c r="HP302" t="s">
        <v>3</v>
      </c>
      <c r="HQ302" t="s">
        <v>3</v>
      </c>
      <c r="IK302">
        <v>0</v>
      </c>
    </row>
    <row r="303" spans="1:245" x14ac:dyDescent="0.2">
      <c r="A303">
        <v>17</v>
      </c>
      <c r="B303">
        <v>1</v>
      </c>
      <c r="D303">
        <f>ROW(EtalonRes!A210)</f>
        <v>210</v>
      </c>
      <c r="E303" t="s">
        <v>302</v>
      </c>
      <c r="F303" t="s">
        <v>303</v>
      </c>
      <c r="G303" t="s">
        <v>304</v>
      </c>
      <c r="H303" t="s">
        <v>42</v>
      </c>
      <c r="I303">
        <v>1.0025999999999999</v>
      </c>
      <c r="J303">
        <v>0</v>
      </c>
      <c r="K303">
        <v>1.0025999999999999</v>
      </c>
      <c r="O303">
        <f t="shared" si="276"/>
        <v>81776.03</v>
      </c>
      <c r="P303">
        <f t="shared" si="277"/>
        <v>24504.57</v>
      </c>
      <c r="Q303">
        <f t="shared" si="278"/>
        <v>0</v>
      </c>
      <c r="R303">
        <f t="shared" si="279"/>
        <v>0</v>
      </c>
      <c r="S303">
        <f t="shared" si="280"/>
        <v>57271.46</v>
      </c>
      <c r="T303">
        <f t="shared" si="281"/>
        <v>0</v>
      </c>
      <c r="U303">
        <f t="shared" si="282"/>
        <v>181.01943</v>
      </c>
      <c r="V303">
        <f t="shared" si="283"/>
        <v>0</v>
      </c>
      <c r="W303">
        <f t="shared" si="284"/>
        <v>0</v>
      </c>
      <c r="X303">
        <f t="shared" si="285"/>
        <v>40090.019999999997</v>
      </c>
      <c r="Y303">
        <f t="shared" si="285"/>
        <v>5727.15</v>
      </c>
      <c r="AA303">
        <v>72192302</v>
      </c>
      <c r="AB303">
        <f t="shared" si="286"/>
        <v>81563.960000000006</v>
      </c>
      <c r="AC303">
        <f>ROUND((ES303),6)</f>
        <v>24441.02</v>
      </c>
      <c r="AD303">
        <f>ROUND((((ET303)-(EU303))+AE303),6)</f>
        <v>0</v>
      </c>
      <c r="AE303">
        <f t="shared" si="307"/>
        <v>0</v>
      </c>
      <c r="AF303">
        <f t="shared" si="307"/>
        <v>57122.94</v>
      </c>
      <c r="AG303">
        <f t="shared" si="287"/>
        <v>0</v>
      </c>
      <c r="AH303">
        <f t="shared" si="308"/>
        <v>180.55</v>
      </c>
      <c r="AI303">
        <f t="shared" si="308"/>
        <v>0</v>
      </c>
      <c r="AJ303">
        <f t="shared" si="288"/>
        <v>0</v>
      </c>
      <c r="AK303">
        <v>81563.960000000006</v>
      </c>
      <c r="AL303">
        <v>24441.02</v>
      </c>
      <c r="AM303">
        <v>0</v>
      </c>
      <c r="AN303">
        <v>0</v>
      </c>
      <c r="AO303">
        <v>57122.94</v>
      </c>
      <c r="AP303">
        <v>0</v>
      </c>
      <c r="AQ303">
        <v>180.55</v>
      </c>
      <c r="AR303">
        <v>0</v>
      </c>
      <c r="AS303">
        <v>0</v>
      </c>
      <c r="AT303">
        <v>70</v>
      </c>
      <c r="AU303">
        <v>10</v>
      </c>
      <c r="AV303">
        <v>1</v>
      </c>
      <c r="AW303">
        <v>1</v>
      </c>
      <c r="AZ303">
        <v>1</v>
      </c>
      <c r="BA303">
        <v>1</v>
      </c>
      <c r="BB303">
        <v>1</v>
      </c>
      <c r="BC303">
        <v>1</v>
      </c>
      <c r="BD303" t="s">
        <v>3</v>
      </c>
      <c r="BE303" t="s">
        <v>3</v>
      </c>
      <c r="BF303" t="s">
        <v>3</v>
      </c>
      <c r="BG303" t="s">
        <v>3</v>
      </c>
      <c r="BH303">
        <v>0</v>
      </c>
      <c r="BI303">
        <v>4</v>
      </c>
      <c r="BJ303" t="s">
        <v>305</v>
      </c>
      <c r="BM303">
        <v>0</v>
      </c>
      <c r="BN303">
        <v>0</v>
      </c>
      <c r="BO303" t="s">
        <v>3</v>
      </c>
      <c r="BP303">
        <v>0</v>
      </c>
      <c r="BQ303">
        <v>1</v>
      </c>
      <c r="BR303">
        <v>0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 t="s">
        <v>3</v>
      </c>
      <c r="BZ303">
        <v>70</v>
      </c>
      <c r="CA303">
        <v>10</v>
      </c>
      <c r="CB303" t="s">
        <v>3</v>
      </c>
      <c r="CE303">
        <v>0</v>
      </c>
      <c r="CF303">
        <v>0</v>
      </c>
      <c r="CG303">
        <v>0</v>
      </c>
      <c r="CM303">
        <v>0</v>
      </c>
      <c r="CN303" t="s">
        <v>3</v>
      </c>
      <c r="CO303">
        <v>0</v>
      </c>
      <c r="CP303">
        <f t="shared" si="289"/>
        <v>81776.03</v>
      </c>
      <c r="CQ303">
        <f t="shared" si="290"/>
        <v>24441.02</v>
      </c>
      <c r="CR303">
        <f>((((ET303)*BB303-(EU303)*BS303)+AE303*BS303)*AV303)</f>
        <v>0</v>
      </c>
      <c r="CS303">
        <f t="shared" si="291"/>
        <v>0</v>
      </c>
      <c r="CT303">
        <f t="shared" si="292"/>
        <v>57122.94</v>
      </c>
      <c r="CU303">
        <f t="shared" si="293"/>
        <v>0</v>
      </c>
      <c r="CV303">
        <f t="shared" si="294"/>
        <v>180.55</v>
      </c>
      <c r="CW303">
        <f t="shared" si="295"/>
        <v>0</v>
      </c>
      <c r="CX303">
        <f t="shared" si="295"/>
        <v>0</v>
      </c>
      <c r="CY303">
        <f t="shared" si="296"/>
        <v>40090.021999999997</v>
      </c>
      <c r="CZ303">
        <f t="shared" si="297"/>
        <v>5727.1459999999997</v>
      </c>
      <c r="DC303" t="s">
        <v>3</v>
      </c>
      <c r="DD303" t="s">
        <v>3</v>
      </c>
      <c r="DE303" t="s">
        <v>3</v>
      </c>
      <c r="DF303" t="s">
        <v>3</v>
      </c>
      <c r="DG303" t="s">
        <v>3</v>
      </c>
      <c r="DH303" t="s">
        <v>3</v>
      </c>
      <c r="DI303" t="s">
        <v>3</v>
      </c>
      <c r="DJ303" t="s">
        <v>3</v>
      </c>
      <c r="DK303" t="s">
        <v>3</v>
      </c>
      <c r="DL303" t="s">
        <v>3</v>
      </c>
      <c r="DM303" t="s">
        <v>3</v>
      </c>
      <c r="DN303">
        <v>0</v>
      </c>
      <c r="DO303">
        <v>0</v>
      </c>
      <c r="DP303">
        <v>1</v>
      </c>
      <c r="DQ303">
        <v>1</v>
      </c>
      <c r="DU303">
        <v>1005</v>
      </c>
      <c r="DV303" t="s">
        <v>42</v>
      </c>
      <c r="DW303" t="s">
        <v>42</v>
      </c>
      <c r="DX303">
        <v>100</v>
      </c>
      <c r="DZ303" t="s">
        <v>3</v>
      </c>
      <c r="EA303" t="s">
        <v>3</v>
      </c>
      <c r="EB303" t="s">
        <v>3</v>
      </c>
      <c r="EC303" t="s">
        <v>3</v>
      </c>
      <c r="EE303">
        <v>71753531</v>
      </c>
      <c r="EF303">
        <v>1</v>
      </c>
      <c r="EG303" t="s">
        <v>22</v>
      </c>
      <c r="EH303">
        <v>0</v>
      </c>
      <c r="EI303" t="s">
        <v>3</v>
      </c>
      <c r="EJ303">
        <v>4</v>
      </c>
      <c r="EK303">
        <v>0</v>
      </c>
      <c r="EL303" t="s">
        <v>23</v>
      </c>
      <c r="EM303" t="s">
        <v>24</v>
      </c>
      <c r="EO303" t="s">
        <v>3</v>
      </c>
      <c r="EQ303">
        <v>0</v>
      </c>
      <c r="ER303">
        <v>81563.960000000006</v>
      </c>
      <c r="ES303">
        <v>24441.02</v>
      </c>
      <c r="ET303">
        <v>0</v>
      </c>
      <c r="EU303">
        <v>0</v>
      </c>
      <c r="EV303">
        <v>57122.94</v>
      </c>
      <c r="EW303">
        <v>180.55</v>
      </c>
      <c r="EX303">
        <v>0</v>
      </c>
      <c r="EY303">
        <v>0</v>
      </c>
      <c r="FQ303">
        <v>0</v>
      </c>
      <c r="FR303">
        <f t="shared" si="298"/>
        <v>0</v>
      </c>
      <c r="FS303">
        <v>0</v>
      </c>
      <c r="FX303">
        <v>70</v>
      </c>
      <c r="FY303">
        <v>10</v>
      </c>
      <c r="GA303" t="s">
        <v>3</v>
      </c>
      <c r="GD303">
        <v>0</v>
      </c>
      <c r="GF303">
        <v>-2014984068</v>
      </c>
      <c r="GG303">
        <v>2</v>
      </c>
      <c r="GH303">
        <v>1</v>
      </c>
      <c r="GI303">
        <v>-2</v>
      </c>
      <c r="GJ303">
        <v>0</v>
      </c>
      <c r="GK303">
        <f>ROUND(R303*(R12)/100,2)</f>
        <v>0</v>
      </c>
      <c r="GL303">
        <f t="shared" si="299"/>
        <v>0</v>
      </c>
      <c r="GM303">
        <f t="shared" si="300"/>
        <v>127593.2</v>
      </c>
      <c r="GN303">
        <f t="shared" si="301"/>
        <v>0</v>
      </c>
      <c r="GO303">
        <f t="shared" si="302"/>
        <v>0</v>
      </c>
      <c r="GP303">
        <f t="shared" si="303"/>
        <v>127593.2</v>
      </c>
      <c r="GR303">
        <v>0</v>
      </c>
      <c r="GS303">
        <v>3</v>
      </c>
      <c r="GT303">
        <v>0</v>
      </c>
      <c r="GU303" t="s">
        <v>3</v>
      </c>
      <c r="GV303">
        <f t="shared" si="304"/>
        <v>0</v>
      </c>
      <c r="GW303">
        <v>1</v>
      </c>
      <c r="GX303">
        <f t="shared" si="305"/>
        <v>0</v>
      </c>
      <c r="HA303">
        <v>0</v>
      </c>
      <c r="HB303">
        <v>0</v>
      </c>
      <c r="HC303">
        <f t="shared" si="306"/>
        <v>0</v>
      </c>
      <c r="HE303" t="s">
        <v>3</v>
      </c>
      <c r="HF303" t="s">
        <v>3</v>
      </c>
      <c r="HM303" t="s">
        <v>3</v>
      </c>
      <c r="HN303" t="s">
        <v>3</v>
      </c>
      <c r="HO303" t="s">
        <v>3</v>
      </c>
      <c r="HP303" t="s">
        <v>3</v>
      </c>
      <c r="HQ303" t="s">
        <v>3</v>
      </c>
      <c r="IK303">
        <v>0</v>
      </c>
    </row>
    <row r="304" spans="1:245" x14ac:dyDescent="0.2">
      <c r="A304">
        <v>17</v>
      </c>
      <c r="B304">
        <v>1</v>
      </c>
      <c r="D304">
        <f>ROW(EtalonRes!A212)</f>
        <v>212</v>
      </c>
      <c r="E304" t="s">
        <v>306</v>
      </c>
      <c r="F304" t="s">
        <v>307</v>
      </c>
      <c r="G304" t="s">
        <v>308</v>
      </c>
      <c r="H304" t="s">
        <v>42</v>
      </c>
      <c r="I304">
        <v>1.0025999999999999</v>
      </c>
      <c r="J304">
        <v>0</v>
      </c>
      <c r="K304">
        <v>1.0025999999999999</v>
      </c>
      <c r="O304">
        <f t="shared" si="276"/>
        <v>3515.48</v>
      </c>
      <c r="P304">
        <f t="shared" si="277"/>
        <v>1531.26</v>
      </c>
      <c r="Q304">
        <f t="shared" si="278"/>
        <v>0</v>
      </c>
      <c r="R304">
        <f t="shared" si="279"/>
        <v>0</v>
      </c>
      <c r="S304">
        <f t="shared" si="280"/>
        <v>1984.22</v>
      </c>
      <c r="T304">
        <f t="shared" si="281"/>
        <v>0</v>
      </c>
      <c r="U304">
        <f t="shared" si="282"/>
        <v>6.3264059999999995</v>
      </c>
      <c r="V304">
        <f t="shared" si="283"/>
        <v>0</v>
      </c>
      <c r="W304">
        <f t="shared" si="284"/>
        <v>0</v>
      </c>
      <c r="X304">
        <f t="shared" si="285"/>
        <v>1388.95</v>
      </c>
      <c r="Y304">
        <f t="shared" si="285"/>
        <v>198.42</v>
      </c>
      <c r="AA304">
        <v>72192302</v>
      </c>
      <c r="AB304">
        <f t="shared" si="286"/>
        <v>3506.36</v>
      </c>
      <c r="AC304">
        <f>ROUND((ES304),6)</f>
        <v>1527.29</v>
      </c>
      <c r="AD304">
        <f>ROUND((((ET304)-(EU304))+AE304),6)</f>
        <v>0</v>
      </c>
      <c r="AE304">
        <f t="shared" si="307"/>
        <v>0</v>
      </c>
      <c r="AF304">
        <f t="shared" si="307"/>
        <v>1979.07</v>
      </c>
      <c r="AG304">
        <f t="shared" si="287"/>
        <v>0</v>
      </c>
      <c r="AH304">
        <f t="shared" si="308"/>
        <v>6.31</v>
      </c>
      <c r="AI304">
        <f t="shared" si="308"/>
        <v>0</v>
      </c>
      <c r="AJ304">
        <f t="shared" si="288"/>
        <v>0</v>
      </c>
      <c r="AK304">
        <v>3506.36</v>
      </c>
      <c r="AL304">
        <v>1527.29</v>
      </c>
      <c r="AM304">
        <v>0</v>
      </c>
      <c r="AN304">
        <v>0</v>
      </c>
      <c r="AO304">
        <v>1979.07</v>
      </c>
      <c r="AP304">
        <v>0</v>
      </c>
      <c r="AQ304">
        <v>6.31</v>
      </c>
      <c r="AR304">
        <v>0</v>
      </c>
      <c r="AS304">
        <v>0</v>
      </c>
      <c r="AT304">
        <v>70</v>
      </c>
      <c r="AU304">
        <v>10</v>
      </c>
      <c r="AV304">
        <v>1</v>
      </c>
      <c r="AW304">
        <v>1</v>
      </c>
      <c r="AZ304">
        <v>1</v>
      </c>
      <c r="BA304">
        <v>1</v>
      </c>
      <c r="BB304">
        <v>1</v>
      </c>
      <c r="BC304">
        <v>1</v>
      </c>
      <c r="BD304" t="s">
        <v>3</v>
      </c>
      <c r="BE304" t="s">
        <v>3</v>
      </c>
      <c r="BF304" t="s">
        <v>3</v>
      </c>
      <c r="BG304" t="s">
        <v>3</v>
      </c>
      <c r="BH304">
        <v>0</v>
      </c>
      <c r="BI304">
        <v>4</v>
      </c>
      <c r="BJ304" t="s">
        <v>309</v>
      </c>
      <c r="BM304">
        <v>0</v>
      </c>
      <c r="BN304">
        <v>0</v>
      </c>
      <c r="BO304" t="s">
        <v>3</v>
      </c>
      <c r="BP304">
        <v>0</v>
      </c>
      <c r="BQ304">
        <v>1</v>
      </c>
      <c r="BR304">
        <v>0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 t="s">
        <v>3</v>
      </c>
      <c r="BZ304">
        <v>70</v>
      </c>
      <c r="CA304">
        <v>10</v>
      </c>
      <c r="CB304" t="s">
        <v>3</v>
      </c>
      <c r="CE304">
        <v>0</v>
      </c>
      <c r="CF304">
        <v>0</v>
      </c>
      <c r="CG304">
        <v>0</v>
      </c>
      <c r="CM304">
        <v>0</v>
      </c>
      <c r="CN304" t="s">
        <v>3</v>
      </c>
      <c r="CO304">
        <v>0</v>
      </c>
      <c r="CP304">
        <f t="shared" si="289"/>
        <v>3515.48</v>
      </c>
      <c r="CQ304">
        <f t="shared" si="290"/>
        <v>1527.29</v>
      </c>
      <c r="CR304">
        <f>((((ET304)*BB304-(EU304)*BS304)+AE304*BS304)*AV304)</f>
        <v>0</v>
      </c>
      <c r="CS304">
        <f t="shared" si="291"/>
        <v>0</v>
      </c>
      <c r="CT304">
        <f t="shared" si="292"/>
        <v>1979.07</v>
      </c>
      <c r="CU304">
        <f t="shared" si="293"/>
        <v>0</v>
      </c>
      <c r="CV304">
        <f t="shared" si="294"/>
        <v>6.31</v>
      </c>
      <c r="CW304">
        <f t="shared" si="295"/>
        <v>0</v>
      </c>
      <c r="CX304">
        <f t="shared" si="295"/>
        <v>0</v>
      </c>
      <c r="CY304">
        <f t="shared" si="296"/>
        <v>1388.954</v>
      </c>
      <c r="CZ304">
        <f t="shared" si="297"/>
        <v>198.422</v>
      </c>
      <c r="DC304" t="s">
        <v>3</v>
      </c>
      <c r="DD304" t="s">
        <v>3</v>
      </c>
      <c r="DE304" t="s">
        <v>3</v>
      </c>
      <c r="DF304" t="s">
        <v>3</v>
      </c>
      <c r="DG304" t="s">
        <v>3</v>
      </c>
      <c r="DH304" t="s">
        <v>3</v>
      </c>
      <c r="DI304" t="s">
        <v>3</v>
      </c>
      <c r="DJ304" t="s">
        <v>3</v>
      </c>
      <c r="DK304" t="s">
        <v>3</v>
      </c>
      <c r="DL304" t="s">
        <v>3</v>
      </c>
      <c r="DM304" t="s">
        <v>3</v>
      </c>
      <c r="DN304">
        <v>0</v>
      </c>
      <c r="DO304">
        <v>0</v>
      </c>
      <c r="DP304">
        <v>1</v>
      </c>
      <c r="DQ304">
        <v>1</v>
      </c>
      <c r="DU304">
        <v>1005</v>
      </c>
      <c r="DV304" t="s">
        <v>42</v>
      </c>
      <c r="DW304" t="s">
        <v>42</v>
      </c>
      <c r="DX304">
        <v>100</v>
      </c>
      <c r="DZ304" t="s">
        <v>3</v>
      </c>
      <c r="EA304" t="s">
        <v>3</v>
      </c>
      <c r="EB304" t="s">
        <v>3</v>
      </c>
      <c r="EC304" t="s">
        <v>3</v>
      </c>
      <c r="EE304">
        <v>71753531</v>
      </c>
      <c r="EF304">
        <v>1</v>
      </c>
      <c r="EG304" t="s">
        <v>22</v>
      </c>
      <c r="EH304">
        <v>0</v>
      </c>
      <c r="EI304" t="s">
        <v>3</v>
      </c>
      <c r="EJ304">
        <v>4</v>
      </c>
      <c r="EK304">
        <v>0</v>
      </c>
      <c r="EL304" t="s">
        <v>23</v>
      </c>
      <c r="EM304" t="s">
        <v>24</v>
      </c>
      <c r="EO304" t="s">
        <v>3</v>
      </c>
      <c r="EQ304">
        <v>0</v>
      </c>
      <c r="ER304">
        <v>3506.36</v>
      </c>
      <c r="ES304">
        <v>1527.29</v>
      </c>
      <c r="ET304">
        <v>0</v>
      </c>
      <c r="EU304">
        <v>0</v>
      </c>
      <c r="EV304">
        <v>1979.07</v>
      </c>
      <c r="EW304">
        <v>6.31</v>
      </c>
      <c r="EX304">
        <v>0</v>
      </c>
      <c r="EY304">
        <v>0</v>
      </c>
      <c r="FQ304">
        <v>0</v>
      </c>
      <c r="FR304">
        <f t="shared" si="298"/>
        <v>0</v>
      </c>
      <c r="FS304">
        <v>0</v>
      </c>
      <c r="FX304">
        <v>70</v>
      </c>
      <c r="FY304">
        <v>10</v>
      </c>
      <c r="GA304" t="s">
        <v>3</v>
      </c>
      <c r="GD304">
        <v>0</v>
      </c>
      <c r="GF304">
        <v>-295674599</v>
      </c>
      <c r="GG304">
        <v>2</v>
      </c>
      <c r="GH304">
        <v>1</v>
      </c>
      <c r="GI304">
        <v>-2</v>
      </c>
      <c r="GJ304">
        <v>0</v>
      </c>
      <c r="GK304">
        <f>ROUND(R304*(R12)/100,2)</f>
        <v>0</v>
      </c>
      <c r="GL304">
        <f t="shared" si="299"/>
        <v>0</v>
      </c>
      <c r="GM304">
        <f t="shared" si="300"/>
        <v>5102.8500000000004</v>
      </c>
      <c r="GN304">
        <f t="shared" si="301"/>
        <v>0</v>
      </c>
      <c r="GO304">
        <f t="shared" si="302"/>
        <v>0</v>
      </c>
      <c r="GP304">
        <f t="shared" si="303"/>
        <v>5102.8500000000004</v>
      </c>
      <c r="GR304">
        <v>0</v>
      </c>
      <c r="GS304">
        <v>3</v>
      </c>
      <c r="GT304">
        <v>0</v>
      </c>
      <c r="GU304" t="s">
        <v>3</v>
      </c>
      <c r="GV304">
        <f t="shared" si="304"/>
        <v>0</v>
      </c>
      <c r="GW304">
        <v>1</v>
      </c>
      <c r="GX304">
        <f t="shared" si="305"/>
        <v>0</v>
      </c>
      <c r="HA304">
        <v>0</v>
      </c>
      <c r="HB304">
        <v>0</v>
      </c>
      <c r="HC304">
        <f t="shared" si="306"/>
        <v>0</v>
      </c>
      <c r="HE304" t="s">
        <v>3</v>
      </c>
      <c r="HF304" t="s">
        <v>3</v>
      </c>
      <c r="HM304" t="s">
        <v>3</v>
      </c>
      <c r="HN304" t="s">
        <v>3</v>
      </c>
      <c r="HO304" t="s">
        <v>3</v>
      </c>
      <c r="HP304" t="s">
        <v>3</v>
      </c>
      <c r="HQ304" t="s">
        <v>3</v>
      </c>
      <c r="IK304">
        <v>0</v>
      </c>
    </row>
    <row r="306" spans="1:206" x14ac:dyDescent="0.2">
      <c r="A306" s="2">
        <v>51</v>
      </c>
      <c r="B306" s="2">
        <f>B294</f>
        <v>1</v>
      </c>
      <c r="C306" s="2">
        <f>A294</f>
        <v>5</v>
      </c>
      <c r="D306" s="2">
        <f>ROW(A294)</f>
        <v>294</v>
      </c>
      <c r="E306" s="2"/>
      <c r="F306" s="2" t="str">
        <f>IF(F294&lt;&gt;"",F294,"")</f>
        <v>Новый подраздел</v>
      </c>
      <c r="G306" s="2" t="str">
        <f>IF(G294&lt;&gt;"",G294,"")</f>
        <v>2.2 Ремонтно-строительные работы</v>
      </c>
      <c r="H306" s="2">
        <v>0</v>
      </c>
      <c r="I306" s="2"/>
      <c r="J306" s="2"/>
      <c r="K306" s="2"/>
      <c r="L306" s="2"/>
      <c r="M306" s="2"/>
      <c r="N306" s="2"/>
      <c r="O306" s="2">
        <f t="shared" ref="O306:T306" si="309">ROUND(AB306,2)</f>
        <v>210599.25</v>
      </c>
      <c r="P306" s="2">
        <f t="shared" si="309"/>
        <v>116053.42</v>
      </c>
      <c r="Q306" s="2">
        <f t="shared" si="309"/>
        <v>280.61</v>
      </c>
      <c r="R306" s="2">
        <f t="shared" si="309"/>
        <v>90.33</v>
      </c>
      <c r="S306" s="2">
        <f t="shared" si="309"/>
        <v>94265.22</v>
      </c>
      <c r="T306" s="2">
        <f t="shared" si="309"/>
        <v>0</v>
      </c>
      <c r="U306" s="2">
        <f>AH306</f>
        <v>300.04337600000002</v>
      </c>
      <c r="V306" s="2">
        <f>AI306</f>
        <v>0</v>
      </c>
      <c r="W306" s="2">
        <f>ROUND(AJ306,2)</f>
        <v>0</v>
      </c>
      <c r="X306" s="2">
        <f>ROUND(AK306,2)</f>
        <v>65985.64</v>
      </c>
      <c r="Y306" s="2">
        <f>ROUND(AL306,2)</f>
        <v>9426.52</v>
      </c>
      <c r="Z306" s="2"/>
      <c r="AA306" s="2"/>
      <c r="AB306" s="2">
        <f>ROUND(SUMIF(AA298:AA304,"=72192302",O298:O304),2)</f>
        <v>210599.25</v>
      </c>
      <c r="AC306" s="2">
        <f>ROUND(SUMIF(AA298:AA304,"=72192302",P298:P304),2)</f>
        <v>116053.42</v>
      </c>
      <c r="AD306" s="2">
        <f>ROUND(SUMIF(AA298:AA304,"=72192302",Q298:Q304),2)</f>
        <v>280.61</v>
      </c>
      <c r="AE306" s="2">
        <f>ROUND(SUMIF(AA298:AA304,"=72192302",R298:R304),2)</f>
        <v>90.33</v>
      </c>
      <c r="AF306" s="2">
        <f>ROUND(SUMIF(AA298:AA304,"=72192302",S298:S304),2)</f>
        <v>94265.22</v>
      </c>
      <c r="AG306" s="2">
        <f>ROUND(SUMIF(AA298:AA304,"=72192302",T298:T304),2)</f>
        <v>0</v>
      </c>
      <c r="AH306" s="2">
        <f>SUMIF(AA298:AA304,"=72192302",U298:U304)</f>
        <v>300.04337600000002</v>
      </c>
      <c r="AI306" s="2">
        <f>SUMIF(AA298:AA304,"=72192302",V298:V304)</f>
        <v>0</v>
      </c>
      <c r="AJ306" s="2">
        <f>ROUND(SUMIF(AA298:AA304,"=72192302",W298:W304),2)</f>
        <v>0</v>
      </c>
      <c r="AK306" s="2">
        <f>ROUND(SUMIF(AA298:AA304,"=72192302",X298:X304),2)</f>
        <v>65985.64</v>
      </c>
      <c r="AL306" s="2">
        <f>ROUND(SUMIF(AA298:AA304,"=72192302",Y298:Y304),2)</f>
        <v>9426.52</v>
      </c>
      <c r="AM306" s="2"/>
      <c r="AN306" s="2"/>
      <c r="AO306" s="2">
        <f t="shared" ref="AO306:BD306" si="310">ROUND(BX306,2)</f>
        <v>0</v>
      </c>
      <c r="AP306" s="2">
        <f t="shared" si="310"/>
        <v>0</v>
      </c>
      <c r="AQ306" s="2">
        <f t="shared" si="310"/>
        <v>0</v>
      </c>
      <c r="AR306" s="2">
        <f t="shared" si="310"/>
        <v>286108.96999999997</v>
      </c>
      <c r="AS306" s="2">
        <f t="shared" si="310"/>
        <v>0</v>
      </c>
      <c r="AT306" s="2">
        <f t="shared" si="310"/>
        <v>0</v>
      </c>
      <c r="AU306" s="2">
        <f t="shared" si="310"/>
        <v>286108.96999999997</v>
      </c>
      <c r="AV306" s="2">
        <f t="shared" si="310"/>
        <v>116053.42</v>
      </c>
      <c r="AW306" s="2">
        <f t="shared" si="310"/>
        <v>116053.42</v>
      </c>
      <c r="AX306" s="2">
        <f t="shared" si="310"/>
        <v>0</v>
      </c>
      <c r="AY306" s="2">
        <f t="shared" si="310"/>
        <v>116053.42</v>
      </c>
      <c r="AZ306" s="2">
        <f t="shared" si="310"/>
        <v>0</v>
      </c>
      <c r="BA306" s="2">
        <f t="shared" si="310"/>
        <v>0</v>
      </c>
      <c r="BB306" s="2">
        <f t="shared" si="310"/>
        <v>0</v>
      </c>
      <c r="BC306" s="2">
        <f t="shared" si="310"/>
        <v>0</v>
      </c>
      <c r="BD306" s="2">
        <f t="shared" si="310"/>
        <v>0</v>
      </c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>
        <f>ROUND(SUMIF(AA298:AA304,"=72192302",FQ298:FQ304),2)</f>
        <v>0</v>
      </c>
      <c r="BY306" s="2">
        <f>ROUND(SUMIF(AA298:AA304,"=72192302",FR298:FR304),2)</f>
        <v>0</v>
      </c>
      <c r="BZ306" s="2">
        <f>ROUND(SUMIF(AA298:AA304,"=72192302",GL298:GL304),2)</f>
        <v>0</v>
      </c>
      <c r="CA306" s="2">
        <f>ROUND(SUMIF(AA298:AA304,"=72192302",GM298:GM304),2)</f>
        <v>286108.96999999997</v>
      </c>
      <c r="CB306" s="2">
        <f>ROUND(SUMIF(AA298:AA304,"=72192302",GN298:GN304),2)</f>
        <v>0</v>
      </c>
      <c r="CC306" s="2">
        <f>ROUND(SUMIF(AA298:AA304,"=72192302",GO298:GO304),2)</f>
        <v>0</v>
      </c>
      <c r="CD306" s="2">
        <f>ROUND(SUMIF(AA298:AA304,"=72192302",GP298:GP304),2)</f>
        <v>286108.96999999997</v>
      </c>
      <c r="CE306" s="2">
        <f>AC306-BX306</f>
        <v>116053.42</v>
      </c>
      <c r="CF306" s="2">
        <f>AC306-BY306</f>
        <v>116053.42</v>
      </c>
      <c r="CG306" s="2">
        <f>BX306-BZ306</f>
        <v>0</v>
      </c>
      <c r="CH306" s="2">
        <f>AC306-BX306-BY306+BZ306</f>
        <v>116053.42</v>
      </c>
      <c r="CI306" s="2">
        <f>BY306-BZ306</f>
        <v>0</v>
      </c>
      <c r="CJ306" s="2">
        <f>ROUND(SUMIF(AA298:AA304,"=72192302",GX298:GX304),2)</f>
        <v>0</v>
      </c>
      <c r="CK306" s="2">
        <f>ROUND(SUMIF(AA298:AA304,"=72192302",GY298:GY304),2)</f>
        <v>0</v>
      </c>
      <c r="CL306" s="2">
        <f>ROUND(SUMIF(AA298:AA304,"=72192302",GZ298:GZ304),2)</f>
        <v>0</v>
      </c>
      <c r="CM306" s="2">
        <f>ROUND(SUMIF(AA298:AA304,"=72192302",HD298:HD304),2)</f>
        <v>0</v>
      </c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>
        <v>0</v>
      </c>
    </row>
    <row r="308" spans="1:206" x14ac:dyDescent="0.2">
      <c r="A308" s="4">
        <v>50</v>
      </c>
      <c r="B308" s="4">
        <v>0</v>
      </c>
      <c r="C308" s="4">
        <v>0</v>
      </c>
      <c r="D308" s="4">
        <v>1</v>
      </c>
      <c r="E308" s="4">
        <v>201</v>
      </c>
      <c r="F308" s="4">
        <f>ROUND(Source!O306,O308)</f>
        <v>210599.25</v>
      </c>
      <c r="G308" s="4" t="s">
        <v>64</v>
      </c>
      <c r="H308" s="4" t="s">
        <v>65</v>
      </c>
      <c r="I308" s="4"/>
      <c r="J308" s="4"/>
      <c r="K308" s="4">
        <v>201</v>
      </c>
      <c r="L308" s="4">
        <v>1</v>
      </c>
      <c r="M308" s="4">
        <v>3</v>
      </c>
      <c r="N308" s="4" t="s">
        <v>3</v>
      </c>
      <c r="O308" s="4">
        <v>2</v>
      </c>
      <c r="P308" s="4"/>
      <c r="Q308" s="4"/>
      <c r="R308" s="4"/>
      <c r="S308" s="4"/>
      <c r="T308" s="4"/>
      <c r="U308" s="4"/>
      <c r="V308" s="4"/>
      <c r="W308" s="4">
        <v>210599.25</v>
      </c>
      <c r="X308" s="4">
        <v>1</v>
      </c>
      <c r="Y308" s="4">
        <v>210599.25</v>
      </c>
      <c r="Z308" s="4"/>
      <c r="AA308" s="4"/>
      <c r="AB308" s="4"/>
    </row>
    <row r="309" spans="1:206" x14ac:dyDescent="0.2">
      <c r="A309" s="4">
        <v>50</v>
      </c>
      <c r="B309" s="4">
        <v>0</v>
      </c>
      <c r="C309" s="4">
        <v>0</v>
      </c>
      <c r="D309" s="4">
        <v>1</v>
      </c>
      <c r="E309" s="4">
        <v>202</v>
      </c>
      <c r="F309" s="4">
        <f>ROUND(Source!P306,O309)</f>
        <v>116053.42</v>
      </c>
      <c r="G309" s="4" t="s">
        <v>66</v>
      </c>
      <c r="H309" s="4" t="s">
        <v>67</v>
      </c>
      <c r="I309" s="4"/>
      <c r="J309" s="4"/>
      <c r="K309" s="4">
        <v>202</v>
      </c>
      <c r="L309" s="4">
        <v>2</v>
      </c>
      <c r="M309" s="4">
        <v>3</v>
      </c>
      <c r="N309" s="4" t="s">
        <v>3</v>
      </c>
      <c r="O309" s="4">
        <v>2</v>
      </c>
      <c r="P309" s="4"/>
      <c r="Q309" s="4"/>
      <c r="R309" s="4"/>
      <c r="S309" s="4"/>
      <c r="T309" s="4"/>
      <c r="U309" s="4"/>
      <c r="V309" s="4"/>
      <c r="W309" s="4">
        <v>116053.42</v>
      </c>
      <c r="X309" s="4">
        <v>1</v>
      </c>
      <c r="Y309" s="4">
        <v>116053.42</v>
      </c>
      <c r="Z309" s="4"/>
      <c r="AA309" s="4"/>
      <c r="AB309" s="4"/>
    </row>
    <row r="310" spans="1:206" x14ac:dyDescent="0.2">
      <c r="A310" s="4">
        <v>50</v>
      </c>
      <c r="B310" s="4">
        <v>0</v>
      </c>
      <c r="C310" s="4">
        <v>0</v>
      </c>
      <c r="D310" s="4">
        <v>1</v>
      </c>
      <c r="E310" s="4">
        <v>222</v>
      </c>
      <c r="F310" s="4">
        <f>ROUND(Source!AO306,O310)</f>
        <v>0</v>
      </c>
      <c r="G310" s="4" t="s">
        <v>68</v>
      </c>
      <c r="H310" s="4" t="s">
        <v>69</v>
      </c>
      <c r="I310" s="4"/>
      <c r="J310" s="4"/>
      <c r="K310" s="4">
        <v>222</v>
      </c>
      <c r="L310" s="4">
        <v>3</v>
      </c>
      <c r="M310" s="4">
        <v>3</v>
      </c>
      <c r="N310" s="4" t="s">
        <v>3</v>
      </c>
      <c r="O310" s="4">
        <v>2</v>
      </c>
      <c r="P310" s="4"/>
      <c r="Q310" s="4"/>
      <c r="R310" s="4"/>
      <c r="S310" s="4"/>
      <c r="T310" s="4"/>
      <c r="U310" s="4"/>
      <c r="V310" s="4"/>
      <c r="W310" s="4">
        <v>0</v>
      </c>
      <c r="X310" s="4">
        <v>1</v>
      </c>
      <c r="Y310" s="4">
        <v>0</v>
      </c>
      <c r="Z310" s="4"/>
      <c r="AA310" s="4"/>
      <c r="AB310" s="4"/>
    </row>
    <row r="311" spans="1:206" x14ac:dyDescent="0.2">
      <c r="A311" s="4">
        <v>50</v>
      </c>
      <c r="B311" s="4">
        <v>0</v>
      </c>
      <c r="C311" s="4">
        <v>0</v>
      </c>
      <c r="D311" s="4">
        <v>1</v>
      </c>
      <c r="E311" s="4">
        <v>225</v>
      </c>
      <c r="F311" s="4">
        <f>ROUND(Source!AV306,O311)</f>
        <v>116053.42</v>
      </c>
      <c r="G311" s="4" t="s">
        <v>70</v>
      </c>
      <c r="H311" s="4" t="s">
        <v>71</v>
      </c>
      <c r="I311" s="4"/>
      <c r="J311" s="4"/>
      <c r="K311" s="4">
        <v>225</v>
      </c>
      <c r="L311" s="4">
        <v>4</v>
      </c>
      <c r="M311" s="4">
        <v>3</v>
      </c>
      <c r="N311" s="4" t="s">
        <v>3</v>
      </c>
      <c r="O311" s="4">
        <v>2</v>
      </c>
      <c r="P311" s="4"/>
      <c r="Q311" s="4"/>
      <c r="R311" s="4"/>
      <c r="S311" s="4"/>
      <c r="T311" s="4"/>
      <c r="U311" s="4"/>
      <c r="V311" s="4"/>
      <c r="W311" s="4">
        <v>116053.42</v>
      </c>
      <c r="X311" s="4">
        <v>1</v>
      </c>
      <c r="Y311" s="4">
        <v>116053.42</v>
      </c>
      <c r="Z311" s="4"/>
      <c r="AA311" s="4"/>
      <c r="AB311" s="4"/>
    </row>
    <row r="312" spans="1:206" x14ac:dyDescent="0.2">
      <c r="A312" s="4">
        <v>50</v>
      </c>
      <c r="B312" s="4">
        <v>0</v>
      </c>
      <c r="C312" s="4">
        <v>0</v>
      </c>
      <c r="D312" s="4">
        <v>1</v>
      </c>
      <c r="E312" s="4">
        <v>226</v>
      </c>
      <c r="F312" s="4">
        <f>ROUND(Source!AW306,O312)</f>
        <v>116053.42</v>
      </c>
      <c r="G312" s="4" t="s">
        <v>72</v>
      </c>
      <c r="H312" s="4" t="s">
        <v>73</v>
      </c>
      <c r="I312" s="4"/>
      <c r="J312" s="4"/>
      <c r="K312" s="4">
        <v>226</v>
      </c>
      <c r="L312" s="4">
        <v>5</v>
      </c>
      <c r="M312" s="4">
        <v>3</v>
      </c>
      <c r="N312" s="4" t="s">
        <v>3</v>
      </c>
      <c r="O312" s="4">
        <v>2</v>
      </c>
      <c r="P312" s="4"/>
      <c r="Q312" s="4"/>
      <c r="R312" s="4"/>
      <c r="S312" s="4"/>
      <c r="T312" s="4"/>
      <c r="U312" s="4"/>
      <c r="V312" s="4"/>
      <c r="W312" s="4">
        <v>116053.42</v>
      </c>
      <c r="X312" s="4">
        <v>1</v>
      </c>
      <c r="Y312" s="4">
        <v>116053.42</v>
      </c>
      <c r="Z312" s="4"/>
      <c r="AA312" s="4"/>
      <c r="AB312" s="4"/>
    </row>
    <row r="313" spans="1:206" x14ac:dyDescent="0.2">
      <c r="A313" s="4">
        <v>50</v>
      </c>
      <c r="B313" s="4">
        <v>0</v>
      </c>
      <c r="C313" s="4">
        <v>0</v>
      </c>
      <c r="D313" s="4">
        <v>1</v>
      </c>
      <c r="E313" s="4">
        <v>227</v>
      </c>
      <c r="F313" s="4">
        <f>ROUND(Source!AX306,O313)</f>
        <v>0</v>
      </c>
      <c r="G313" s="4" t="s">
        <v>74</v>
      </c>
      <c r="H313" s="4" t="s">
        <v>75</v>
      </c>
      <c r="I313" s="4"/>
      <c r="J313" s="4"/>
      <c r="K313" s="4">
        <v>227</v>
      </c>
      <c r="L313" s="4">
        <v>6</v>
      </c>
      <c r="M313" s="4">
        <v>3</v>
      </c>
      <c r="N313" s="4" t="s">
        <v>3</v>
      </c>
      <c r="O313" s="4">
        <v>2</v>
      </c>
      <c r="P313" s="4"/>
      <c r="Q313" s="4"/>
      <c r="R313" s="4"/>
      <c r="S313" s="4"/>
      <c r="T313" s="4"/>
      <c r="U313" s="4"/>
      <c r="V313" s="4"/>
      <c r="W313" s="4">
        <v>0</v>
      </c>
      <c r="X313" s="4">
        <v>1</v>
      </c>
      <c r="Y313" s="4">
        <v>0</v>
      </c>
      <c r="Z313" s="4"/>
      <c r="AA313" s="4"/>
      <c r="AB313" s="4"/>
    </row>
    <row r="314" spans="1:206" x14ac:dyDescent="0.2">
      <c r="A314" s="4">
        <v>50</v>
      </c>
      <c r="B314" s="4">
        <v>0</v>
      </c>
      <c r="C314" s="4">
        <v>0</v>
      </c>
      <c r="D314" s="4">
        <v>1</v>
      </c>
      <c r="E314" s="4">
        <v>228</v>
      </c>
      <c r="F314" s="4">
        <f>ROUND(Source!AY306,O314)</f>
        <v>116053.42</v>
      </c>
      <c r="G314" s="4" t="s">
        <v>76</v>
      </c>
      <c r="H314" s="4" t="s">
        <v>77</v>
      </c>
      <c r="I314" s="4"/>
      <c r="J314" s="4"/>
      <c r="K314" s="4">
        <v>228</v>
      </c>
      <c r="L314" s="4">
        <v>7</v>
      </c>
      <c r="M314" s="4">
        <v>3</v>
      </c>
      <c r="N314" s="4" t="s">
        <v>3</v>
      </c>
      <c r="O314" s="4">
        <v>2</v>
      </c>
      <c r="P314" s="4"/>
      <c r="Q314" s="4"/>
      <c r="R314" s="4"/>
      <c r="S314" s="4"/>
      <c r="T314" s="4"/>
      <c r="U314" s="4"/>
      <c r="V314" s="4"/>
      <c r="W314" s="4">
        <v>116053.42</v>
      </c>
      <c r="X314" s="4">
        <v>1</v>
      </c>
      <c r="Y314" s="4">
        <v>116053.42</v>
      </c>
      <c r="Z314" s="4"/>
      <c r="AA314" s="4"/>
      <c r="AB314" s="4"/>
    </row>
    <row r="315" spans="1:206" x14ac:dyDescent="0.2">
      <c r="A315" s="4">
        <v>50</v>
      </c>
      <c r="B315" s="4">
        <v>0</v>
      </c>
      <c r="C315" s="4">
        <v>0</v>
      </c>
      <c r="D315" s="4">
        <v>1</v>
      </c>
      <c r="E315" s="4">
        <v>216</v>
      </c>
      <c r="F315" s="4">
        <f>ROUND(Source!AP306,O315)</f>
        <v>0</v>
      </c>
      <c r="G315" s="4" t="s">
        <v>78</v>
      </c>
      <c r="H315" s="4" t="s">
        <v>79</v>
      </c>
      <c r="I315" s="4"/>
      <c r="J315" s="4"/>
      <c r="K315" s="4">
        <v>216</v>
      </c>
      <c r="L315" s="4">
        <v>8</v>
      </c>
      <c r="M315" s="4">
        <v>3</v>
      </c>
      <c r="N315" s="4" t="s">
        <v>3</v>
      </c>
      <c r="O315" s="4">
        <v>2</v>
      </c>
      <c r="P315" s="4"/>
      <c r="Q315" s="4"/>
      <c r="R315" s="4"/>
      <c r="S315" s="4"/>
      <c r="T315" s="4"/>
      <c r="U315" s="4"/>
      <c r="V315" s="4"/>
      <c r="W315" s="4">
        <v>0</v>
      </c>
      <c r="X315" s="4">
        <v>1</v>
      </c>
      <c r="Y315" s="4">
        <v>0</v>
      </c>
      <c r="Z315" s="4"/>
      <c r="AA315" s="4"/>
      <c r="AB315" s="4"/>
    </row>
    <row r="316" spans="1:206" x14ac:dyDescent="0.2">
      <c r="A316" s="4">
        <v>50</v>
      </c>
      <c r="B316" s="4">
        <v>0</v>
      </c>
      <c r="C316" s="4">
        <v>0</v>
      </c>
      <c r="D316" s="4">
        <v>1</v>
      </c>
      <c r="E316" s="4">
        <v>223</v>
      </c>
      <c r="F316" s="4">
        <f>ROUND(Source!AQ306,O316)</f>
        <v>0</v>
      </c>
      <c r="G316" s="4" t="s">
        <v>80</v>
      </c>
      <c r="H316" s="4" t="s">
        <v>81</v>
      </c>
      <c r="I316" s="4"/>
      <c r="J316" s="4"/>
      <c r="K316" s="4">
        <v>223</v>
      </c>
      <c r="L316" s="4">
        <v>9</v>
      </c>
      <c r="M316" s="4">
        <v>3</v>
      </c>
      <c r="N316" s="4" t="s">
        <v>3</v>
      </c>
      <c r="O316" s="4">
        <v>2</v>
      </c>
      <c r="P316" s="4"/>
      <c r="Q316" s="4"/>
      <c r="R316" s="4"/>
      <c r="S316" s="4"/>
      <c r="T316" s="4"/>
      <c r="U316" s="4"/>
      <c r="V316" s="4"/>
      <c r="W316" s="4">
        <v>0</v>
      </c>
      <c r="X316" s="4">
        <v>1</v>
      </c>
      <c r="Y316" s="4">
        <v>0</v>
      </c>
      <c r="Z316" s="4"/>
      <c r="AA316" s="4"/>
      <c r="AB316" s="4"/>
    </row>
    <row r="317" spans="1:206" x14ac:dyDescent="0.2">
      <c r="A317" s="4">
        <v>50</v>
      </c>
      <c r="B317" s="4">
        <v>0</v>
      </c>
      <c r="C317" s="4">
        <v>0</v>
      </c>
      <c r="D317" s="4">
        <v>1</v>
      </c>
      <c r="E317" s="4">
        <v>229</v>
      </c>
      <c r="F317" s="4">
        <f>ROUND(Source!AZ306,O317)</f>
        <v>0</v>
      </c>
      <c r="G317" s="4" t="s">
        <v>82</v>
      </c>
      <c r="H317" s="4" t="s">
        <v>83</v>
      </c>
      <c r="I317" s="4"/>
      <c r="J317" s="4"/>
      <c r="K317" s="4">
        <v>229</v>
      </c>
      <c r="L317" s="4">
        <v>10</v>
      </c>
      <c r="M317" s="4">
        <v>3</v>
      </c>
      <c r="N317" s="4" t="s">
        <v>3</v>
      </c>
      <c r="O317" s="4">
        <v>2</v>
      </c>
      <c r="P317" s="4"/>
      <c r="Q317" s="4"/>
      <c r="R317" s="4"/>
      <c r="S317" s="4"/>
      <c r="T317" s="4"/>
      <c r="U317" s="4"/>
      <c r="V317" s="4"/>
      <c r="W317" s="4">
        <v>0</v>
      </c>
      <c r="X317" s="4">
        <v>1</v>
      </c>
      <c r="Y317" s="4">
        <v>0</v>
      </c>
      <c r="Z317" s="4"/>
      <c r="AA317" s="4"/>
      <c r="AB317" s="4"/>
    </row>
    <row r="318" spans="1:206" x14ac:dyDescent="0.2">
      <c r="A318" s="4">
        <v>50</v>
      </c>
      <c r="B318" s="4">
        <v>0</v>
      </c>
      <c r="C318" s="4">
        <v>0</v>
      </c>
      <c r="D318" s="4">
        <v>1</v>
      </c>
      <c r="E318" s="4">
        <v>203</v>
      </c>
      <c r="F318" s="4">
        <f>ROUND(Source!Q306,O318)</f>
        <v>280.61</v>
      </c>
      <c r="G318" s="4" t="s">
        <v>84</v>
      </c>
      <c r="H318" s="4" t="s">
        <v>85</v>
      </c>
      <c r="I318" s="4"/>
      <c r="J318" s="4"/>
      <c r="K318" s="4">
        <v>203</v>
      </c>
      <c r="L318" s="4">
        <v>11</v>
      </c>
      <c r="M318" s="4">
        <v>3</v>
      </c>
      <c r="N318" s="4" t="s">
        <v>3</v>
      </c>
      <c r="O318" s="4">
        <v>2</v>
      </c>
      <c r="P318" s="4"/>
      <c r="Q318" s="4"/>
      <c r="R318" s="4"/>
      <c r="S318" s="4"/>
      <c r="T318" s="4"/>
      <c r="U318" s="4"/>
      <c r="V318" s="4"/>
      <c r="W318" s="4">
        <v>280.61</v>
      </c>
      <c r="X318" s="4">
        <v>1</v>
      </c>
      <c r="Y318" s="4">
        <v>280.61</v>
      </c>
      <c r="Z318" s="4"/>
      <c r="AA318" s="4"/>
      <c r="AB318" s="4"/>
    </row>
    <row r="319" spans="1:206" x14ac:dyDescent="0.2">
      <c r="A319" s="4">
        <v>50</v>
      </c>
      <c r="B319" s="4">
        <v>0</v>
      </c>
      <c r="C319" s="4">
        <v>0</v>
      </c>
      <c r="D319" s="4">
        <v>1</v>
      </c>
      <c r="E319" s="4">
        <v>231</v>
      </c>
      <c r="F319" s="4">
        <f>ROUND(Source!BB306,O319)</f>
        <v>0</v>
      </c>
      <c r="G319" s="4" t="s">
        <v>86</v>
      </c>
      <c r="H319" s="4" t="s">
        <v>87</v>
      </c>
      <c r="I319" s="4"/>
      <c r="J319" s="4"/>
      <c r="K319" s="4">
        <v>231</v>
      </c>
      <c r="L319" s="4">
        <v>12</v>
      </c>
      <c r="M319" s="4">
        <v>3</v>
      </c>
      <c r="N319" s="4" t="s">
        <v>3</v>
      </c>
      <c r="O319" s="4">
        <v>2</v>
      </c>
      <c r="P319" s="4"/>
      <c r="Q319" s="4"/>
      <c r="R319" s="4"/>
      <c r="S319" s="4"/>
      <c r="T319" s="4"/>
      <c r="U319" s="4"/>
      <c r="V319" s="4"/>
      <c r="W319" s="4">
        <v>0</v>
      </c>
      <c r="X319" s="4">
        <v>1</v>
      </c>
      <c r="Y319" s="4">
        <v>0</v>
      </c>
      <c r="Z319" s="4"/>
      <c r="AA319" s="4"/>
      <c r="AB319" s="4"/>
    </row>
    <row r="320" spans="1:206" x14ac:dyDescent="0.2">
      <c r="A320" s="4">
        <v>50</v>
      </c>
      <c r="B320" s="4">
        <v>0</v>
      </c>
      <c r="C320" s="4">
        <v>0</v>
      </c>
      <c r="D320" s="4">
        <v>1</v>
      </c>
      <c r="E320" s="4">
        <v>204</v>
      </c>
      <c r="F320" s="4">
        <f>ROUND(Source!R306,O320)</f>
        <v>90.33</v>
      </c>
      <c r="G320" s="4" t="s">
        <v>88</v>
      </c>
      <c r="H320" s="4" t="s">
        <v>89</v>
      </c>
      <c r="I320" s="4"/>
      <c r="J320" s="4"/>
      <c r="K320" s="4">
        <v>204</v>
      </c>
      <c r="L320" s="4">
        <v>13</v>
      </c>
      <c r="M320" s="4">
        <v>3</v>
      </c>
      <c r="N320" s="4" t="s">
        <v>3</v>
      </c>
      <c r="O320" s="4">
        <v>2</v>
      </c>
      <c r="P320" s="4"/>
      <c r="Q320" s="4"/>
      <c r="R320" s="4"/>
      <c r="S320" s="4"/>
      <c r="T320" s="4"/>
      <c r="U320" s="4"/>
      <c r="V320" s="4"/>
      <c r="W320" s="4">
        <v>90.33</v>
      </c>
      <c r="X320" s="4">
        <v>1</v>
      </c>
      <c r="Y320" s="4">
        <v>90.33</v>
      </c>
      <c r="Z320" s="4"/>
      <c r="AA320" s="4"/>
      <c r="AB320" s="4"/>
    </row>
    <row r="321" spans="1:88" x14ac:dyDescent="0.2">
      <c r="A321" s="4">
        <v>50</v>
      </c>
      <c r="B321" s="4">
        <v>0</v>
      </c>
      <c r="C321" s="4">
        <v>0</v>
      </c>
      <c r="D321" s="4">
        <v>1</v>
      </c>
      <c r="E321" s="4">
        <v>205</v>
      </c>
      <c r="F321" s="4">
        <f>ROUND(Source!S306,O321)</f>
        <v>94265.22</v>
      </c>
      <c r="G321" s="4" t="s">
        <v>90</v>
      </c>
      <c r="H321" s="4" t="s">
        <v>91</v>
      </c>
      <c r="I321" s="4"/>
      <c r="J321" s="4"/>
      <c r="K321" s="4">
        <v>205</v>
      </c>
      <c r="L321" s="4">
        <v>14</v>
      </c>
      <c r="M321" s="4">
        <v>3</v>
      </c>
      <c r="N321" s="4" t="s">
        <v>3</v>
      </c>
      <c r="O321" s="4">
        <v>2</v>
      </c>
      <c r="P321" s="4"/>
      <c r="Q321" s="4"/>
      <c r="R321" s="4"/>
      <c r="S321" s="4"/>
      <c r="T321" s="4"/>
      <c r="U321" s="4"/>
      <c r="V321" s="4"/>
      <c r="W321" s="4">
        <v>94265.22</v>
      </c>
      <c r="X321" s="4">
        <v>1</v>
      </c>
      <c r="Y321" s="4">
        <v>94265.22</v>
      </c>
      <c r="Z321" s="4"/>
      <c r="AA321" s="4"/>
      <c r="AB321" s="4"/>
    </row>
    <row r="322" spans="1:88" x14ac:dyDescent="0.2">
      <c r="A322" s="4">
        <v>50</v>
      </c>
      <c r="B322" s="4">
        <v>0</v>
      </c>
      <c r="C322" s="4">
        <v>0</v>
      </c>
      <c r="D322" s="4">
        <v>1</v>
      </c>
      <c r="E322" s="4">
        <v>232</v>
      </c>
      <c r="F322" s="4">
        <f>ROUND(Source!BC306,O322)</f>
        <v>0</v>
      </c>
      <c r="G322" s="4" t="s">
        <v>92</v>
      </c>
      <c r="H322" s="4" t="s">
        <v>93</v>
      </c>
      <c r="I322" s="4"/>
      <c r="J322" s="4"/>
      <c r="K322" s="4">
        <v>232</v>
      </c>
      <c r="L322" s="4">
        <v>15</v>
      </c>
      <c r="M322" s="4">
        <v>3</v>
      </c>
      <c r="N322" s="4" t="s">
        <v>3</v>
      </c>
      <c r="O322" s="4">
        <v>2</v>
      </c>
      <c r="P322" s="4"/>
      <c r="Q322" s="4"/>
      <c r="R322" s="4"/>
      <c r="S322" s="4"/>
      <c r="T322" s="4"/>
      <c r="U322" s="4"/>
      <c r="V322" s="4"/>
      <c r="W322" s="4">
        <v>0</v>
      </c>
      <c r="X322" s="4">
        <v>1</v>
      </c>
      <c r="Y322" s="4">
        <v>0</v>
      </c>
      <c r="Z322" s="4"/>
      <c r="AA322" s="4"/>
      <c r="AB322" s="4"/>
    </row>
    <row r="323" spans="1:88" x14ac:dyDescent="0.2">
      <c r="A323" s="4">
        <v>50</v>
      </c>
      <c r="B323" s="4">
        <v>0</v>
      </c>
      <c r="C323" s="4">
        <v>0</v>
      </c>
      <c r="D323" s="4">
        <v>1</v>
      </c>
      <c r="E323" s="4">
        <v>214</v>
      </c>
      <c r="F323" s="4">
        <f>ROUND(Source!AS306,O323)</f>
        <v>0</v>
      </c>
      <c r="G323" s="4" t="s">
        <v>94</v>
      </c>
      <c r="H323" s="4" t="s">
        <v>95</v>
      </c>
      <c r="I323" s="4"/>
      <c r="J323" s="4"/>
      <c r="K323" s="4">
        <v>214</v>
      </c>
      <c r="L323" s="4">
        <v>16</v>
      </c>
      <c r="M323" s="4">
        <v>3</v>
      </c>
      <c r="N323" s="4" t="s">
        <v>3</v>
      </c>
      <c r="O323" s="4">
        <v>2</v>
      </c>
      <c r="P323" s="4"/>
      <c r="Q323" s="4"/>
      <c r="R323" s="4"/>
      <c r="S323" s="4"/>
      <c r="T323" s="4"/>
      <c r="U323" s="4"/>
      <c r="V323" s="4"/>
      <c r="W323" s="4">
        <v>0</v>
      </c>
      <c r="X323" s="4">
        <v>1</v>
      </c>
      <c r="Y323" s="4">
        <v>0</v>
      </c>
      <c r="Z323" s="4"/>
      <c r="AA323" s="4"/>
      <c r="AB323" s="4"/>
    </row>
    <row r="324" spans="1:88" x14ac:dyDescent="0.2">
      <c r="A324" s="4">
        <v>50</v>
      </c>
      <c r="B324" s="4">
        <v>0</v>
      </c>
      <c r="C324" s="4">
        <v>0</v>
      </c>
      <c r="D324" s="4">
        <v>1</v>
      </c>
      <c r="E324" s="4">
        <v>215</v>
      </c>
      <c r="F324" s="4">
        <f>ROUND(Source!AT306,O324)</f>
        <v>0</v>
      </c>
      <c r="G324" s="4" t="s">
        <v>96</v>
      </c>
      <c r="H324" s="4" t="s">
        <v>97</v>
      </c>
      <c r="I324" s="4"/>
      <c r="J324" s="4"/>
      <c r="K324" s="4">
        <v>215</v>
      </c>
      <c r="L324" s="4">
        <v>17</v>
      </c>
      <c r="M324" s="4">
        <v>3</v>
      </c>
      <c r="N324" s="4" t="s">
        <v>3</v>
      </c>
      <c r="O324" s="4">
        <v>2</v>
      </c>
      <c r="P324" s="4"/>
      <c r="Q324" s="4"/>
      <c r="R324" s="4"/>
      <c r="S324" s="4"/>
      <c r="T324" s="4"/>
      <c r="U324" s="4"/>
      <c r="V324" s="4"/>
      <c r="W324" s="4">
        <v>0</v>
      </c>
      <c r="X324" s="4">
        <v>1</v>
      </c>
      <c r="Y324" s="4">
        <v>0</v>
      </c>
      <c r="Z324" s="4"/>
      <c r="AA324" s="4"/>
      <c r="AB324" s="4"/>
    </row>
    <row r="325" spans="1:88" x14ac:dyDescent="0.2">
      <c r="A325" s="4">
        <v>50</v>
      </c>
      <c r="B325" s="4">
        <v>0</v>
      </c>
      <c r="C325" s="4">
        <v>0</v>
      </c>
      <c r="D325" s="4">
        <v>1</v>
      </c>
      <c r="E325" s="4">
        <v>217</v>
      </c>
      <c r="F325" s="4">
        <f>ROUND(Source!AU306,O325)</f>
        <v>286108.96999999997</v>
      </c>
      <c r="G325" s="4" t="s">
        <v>98</v>
      </c>
      <c r="H325" s="4" t="s">
        <v>99</v>
      </c>
      <c r="I325" s="4"/>
      <c r="J325" s="4"/>
      <c r="K325" s="4">
        <v>217</v>
      </c>
      <c r="L325" s="4">
        <v>18</v>
      </c>
      <c r="M325" s="4">
        <v>3</v>
      </c>
      <c r="N325" s="4" t="s">
        <v>3</v>
      </c>
      <c r="O325" s="4">
        <v>2</v>
      </c>
      <c r="P325" s="4"/>
      <c r="Q325" s="4"/>
      <c r="R325" s="4"/>
      <c r="S325" s="4"/>
      <c r="T325" s="4"/>
      <c r="U325" s="4"/>
      <c r="V325" s="4"/>
      <c r="W325" s="4">
        <v>286108.96999999997</v>
      </c>
      <c r="X325" s="4">
        <v>1</v>
      </c>
      <c r="Y325" s="4">
        <v>286108.96999999997</v>
      </c>
      <c r="Z325" s="4"/>
      <c r="AA325" s="4"/>
      <c r="AB325" s="4"/>
    </row>
    <row r="326" spans="1:88" x14ac:dyDescent="0.2">
      <c r="A326" s="4">
        <v>50</v>
      </c>
      <c r="B326" s="4">
        <v>0</v>
      </c>
      <c r="C326" s="4">
        <v>0</v>
      </c>
      <c r="D326" s="4">
        <v>1</v>
      </c>
      <c r="E326" s="4">
        <v>230</v>
      </c>
      <c r="F326" s="4">
        <f>ROUND(Source!BA306,O326)</f>
        <v>0</v>
      </c>
      <c r="G326" s="4" t="s">
        <v>100</v>
      </c>
      <c r="H326" s="4" t="s">
        <v>101</v>
      </c>
      <c r="I326" s="4"/>
      <c r="J326" s="4"/>
      <c r="K326" s="4">
        <v>230</v>
      </c>
      <c r="L326" s="4">
        <v>19</v>
      </c>
      <c r="M326" s="4">
        <v>3</v>
      </c>
      <c r="N326" s="4" t="s">
        <v>3</v>
      </c>
      <c r="O326" s="4">
        <v>2</v>
      </c>
      <c r="P326" s="4"/>
      <c r="Q326" s="4"/>
      <c r="R326" s="4"/>
      <c r="S326" s="4"/>
      <c r="T326" s="4"/>
      <c r="U326" s="4"/>
      <c r="V326" s="4"/>
      <c r="W326" s="4">
        <v>0</v>
      </c>
      <c r="X326" s="4">
        <v>1</v>
      </c>
      <c r="Y326" s="4">
        <v>0</v>
      </c>
      <c r="Z326" s="4"/>
      <c r="AA326" s="4"/>
      <c r="AB326" s="4"/>
    </row>
    <row r="327" spans="1:88" x14ac:dyDescent="0.2">
      <c r="A327" s="4">
        <v>50</v>
      </c>
      <c r="B327" s="4">
        <v>0</v>
      </c>
      <c r="C327" s="4">
        <v>0</v>
      </c>
      <c r="D327" s="4">
        <v>1</v>
      </c>
      <c r="E327" s="4">
        <v>206</v>
      </c>
      <c r="F327" s="4">
        <f>ROUND(Source!T306,O327)</f>
        <v>0</v>
      </c>
      <c r="G327" s="4" t="s">
        <v>102</v>
      </c>
      <c r="H327" s="4" t="s">
        <v>103</v>
      </c>
      <c r="I327" s="4"/>
      <c r="J327" s="4"/>
      <c r="K327" s="4">
        <v>206</v>
      </c>
      <c r="L327" s="4">
        <v>20</v>
      </c>
      <c r="M327" s="4">
        <v>3</v>
      </c>
      <c r="N327" s="4" t="s">
        <v>3</v>
      </c>
      <c r="O327" s="4">
        <v>2</v>
      </c>
      <c r="P327" s="4"/>
      <c r="Q327" s="4"/>
      <c r="R327" s="4"/>
      <c r="S327" s="4"/>
      <c r="T327" s="4"/>
      <c r="U327" s="4"/>
      <c r="V327" s="4"/>
      <c r="W327" s="4">
        <v>0</v>
      </c>
      <c r="X327" s="4">
        <v>1</v>
      </c>
      <c r="Y327" s="4">
        <v>0</v>
      </c>
      <c r="Z327" s="4"/>
      <c r="AA327" s="4"/>
      <c r="AB327" s="4"/>
    </row>
    <row r="328" spans="1:88" x14ac:dyDescent="0.2">
      <c r="A328" s="4">
        <v>50</v>
      </c>
      <c r="B328" s="4">
        <v>0</v>
      </c>
      <c r="C328" s="4">
        <v>0</v>
      </c>
      <c r="D328" s="4">
        <v>1</v>
      </c>
      <c r="E328" s="4">
        <v>207</v>
      </c>
      <c r="F328" s="4">
        <f>Source!U306</f>
        <v>300.04337600000002</v>
      </c>
      <c r="G328" s="4" t="s">
        <v>104</v>
      </c>
      <c r="H328" s="4" t="s">
        <v>105</v>
      </c>
      <c r="I328" s="4"/>
      <c r="J328" s="4"/>
      <c r="K328" s="4">
        <v>207</v>
      </c>
      <c r="L328" s="4">
        <v>21</v>
      </c>
      <c r="M328" s="4">
        <v>3</v>
      </c>
      <c r="N328" s="4" t="s">
        <v>3</v>
      </c>
      <c r="O328" s="4">
        <v>-1</v>
      </c>
      <c r="P328" s="4"/>
      <c r="Q328" s="4"/>
      <c r="R328" s="4"/>
      <c r="S328" s="4"/>
      <c r="T328" s="4"/>
      <c r="U328" s="4"/>
      <c r="V328" s="4"/>
      <c r="W328" s="4">
        <v>300.04337600000002</v>
      </c>
      <c r="X328" s="4">
        <v>1</v>
      </c>
      <c r="Y328" s="4">
        <v>300.04337600000002</v>
      </c>
      <c r="Z328" s="4"/>
      <c r="AA328" s="4"/>
      <c r="AB328" s="4"/>
    </row>
    <row r="329" spans="1:88" x14ac:dyDescent="0.2">
      <c r="A329" s="4">
        <v>50</v>
      </c>
      <c r="B329" s="4">
        <v>0</v>
      </c>
      <c r="C329" s="4">
        <v>0</v>
      </c>
      <c r="D329" s="4">
        <v>1</v>
      </c>
      <c r="E329" s="4">
        <v>208</v>
      </c>
      <c r="F329" s="4">
        <f>Source!V306</f>
        <v>0</v>
      </c>
      <c r="G329" s="4" t="s">
        <v>106</v>
      </c>
      <c r="H329" s="4" t="s">
        <v>107</v>
      </c>
      <c r="I329" s="4"/>
      <c r="J329" s="4"/>
      <c r="K329" s="4">
        <v>208</v>
      </c>
      <c r="L329" s="4">
        <v>22</v>
      </c>
      <c r="M329" s="4">
        <v>3</v>
      </c>
      <c r="N329" s="4" t="s">
        <v>3</v>
      </c>
      <c r="O329" s="4">
        <v>-1</v>
      </c>
      <c r="P329" s="4"/>
      <c r="Q329" s="4"/>
      <c r="R329" s="4"/>
      <c r="S329" s="4"/>
      <c r="T329" s="4"/>
      <c r="U329" s="4"/>
      <c r="V329" s="4"/>
      <c r="W329" s="4">
        <v>0</v>
      </c>
      <c r="X329" s="4">
        <v>1</v>
      </c>
      <c r="Y329" s="4">
        <v>0</v>
      </c>
      <c r="Z329" s="4"/>
      <c r="AA329" s="4"/>
      <c r="AB329" s="4"/>
    </row>
    <row r="330" spans="1:88" x14ac:dyDescent="0.2">
      <c r="A330" s="4">
        <v>50</v>
      </c>
      <c r="B330" s="4">
        <v>0</v>
      </c>
      <c r="C330" s="4">
        <v>0</v>
      </c>
      <c r="D330" s="4">
        <v>1</v>
      </c>
      <c r="E330" s="4">
        <v>209</v>
      </c>
      <c r="F330" s="4">
        <f>ROUND(Source!W306,O330)</f>
        <v>0</v>
      </c>
      <c r="G330" s="4" t="s">
        <v>108</v>
      </c>
      <c r="H330" s="4" t="s">
        <v>109</v>
      </c>
      <c r="I330" s="4"/>
      <c r="J330" s="4"/>
      <c r="K330" s="4">
        <v>209</v>
      </c>
      <c r="L330" s="4">
        <v>23</v>
      </c>
      <c r="M330" s="4">
        <v>3</v>
      </c>
      <c r="N330" s="4" t="s">
        <v>3</v>
      </c>
      <c r="O330" s="4">
        <v>2</v>
      </c>
      <c r="P330" s="4"/>
      <c r="Q330" s="4"/>
      <c r="R330" s="4"/>
      <c r="S330" s="4"/>
      <c r="T330" s="4"/>
      <c r="U330" s="4"/>
      <c r="V330" s="4"/>
      <c r="W330" s="4">
        <v>0</v>
      </c>
      <c r="X330" s="4">
        <v>1</v>
      </c>
      <c r="Y330" s="4">
        <v>0</v>
      </c>
      <c r="Z330" s="4"/>
      <c r="AA330" s="4"/>
      <c r="AB330" s="4"/>
    </row>
    <row r="331" spans="1:88" x14ac:dyDescent="0.2">
      <c r="A331" s="4">
        <v>50</v>
      </c>
      <c r="B331" s="4">
        <v>0</v>
      </c>
      <c r="C331" s="4">
        <v>0</v>
      </c>
      <c r="D331" s="4">
        <v>1</v>
      </c>
      <c r="E331" s="4">
        <v>233</v>
      </c>
      <c r="F331" s="4">
        <f>ROUND(Source!BD306,O331)</f>
        <v>0</v>
      </c>
      <c r="G331" s="4" t="s">
        <v>110</v>
      </c>
      <c r="H331" s="4" t="s">
        <v>111</v>
      </c>
      <c r="I331" s="4"/>
      <c r="J331" s="4"/>
      <c r="K331" s="4">
        <v>233</v>
      </c>
      <c r="L331" s="4">
        <v>24</v>
      </c>
      <c r="M331" s="4">
        <v>3</v>
      </c>
      <c r="N331" s="4" t="s">
        <v>3</v>
      </c>
      <c r="O331" s="4">
        <v>2</v>
      </c>
      <c r="P331" s="4"/>
      <c r="Q331" s="4"/>
      <c r="R331" s="4"/>
      <c r="S331" s="4"/>
      <c r="T331" s="4"/>
      <c r="U331" s="4"/>
      <c r="V331" s="4"/>
      <c r="W331" s="4">
        <v>0</v>
      </c>
      <c r="X331" s="4">
        <v>1</v>
      </c>
      <c r="Y331" s="4">
        <v>0</v>
      </c>
      <c r="Z331" s="4"/>
      <c r="AA331" s="4"/>
      <c r="AB331" s="4"/>
    </row>
    <row r="332" spans="1:88" x14ac:dyDescent="0.2">
      <c r="A332" s="4">
        <v>50</v>
      </c>
      <c r="B332" s="4">
        <v>0</v>
      </c>
      <c r="C332" s="4">
        <v>0</v>
      </c>
      <c r="D332" s="4">
        <v>1</v>
      </c>
      <c r="E332" s="4">
        <v>210</v>
      </c>
      <c r="F332" s="4">
        <f>ROUND(Source!X306,O332)</f>
        <v>65985.64</v>
      </c>
      <c r="G332" s="4" t="s">
        <v>112</v>
      </c>
      <c r="H332" s="4" t="s">
        <v>113</v>
      </c>
      <c r="I332" s="4"/>
      <c r="J332" s="4"/>
      <c r="K332" s="4">
        <v>210</v>
      </c>
      <c r="L332" s="4">
        <v>25</v>
      </c>
      <c r="M332" s="4">
        <v>3</v>
      </c>
      <c r="N332" s="4" t="s">
        <v>3</v>
      </c>
      <c r="O332" s="4">
        <v>2</v>
      </c>
      <c r="P332" s="4"/>
      <c r="Q332" s="4"/>
      <c r="R332" s="4"/>
      <c r="S332" s="4"/>
      <c r="T332" s="4"/>
      <c r="U332" s="4"/>
      <c r="V332" s="4"/>
      <c r="W332" s="4">
        <v>65985.64</v>
      </c>
      <c r="X332" s="4">
        <v>1</v>
      </c>
      <c r="Y332" s="4">
        <v>65985.64</v>
      </c>
      <c r="Z332" s="4"/>
      <c r="AA332" s="4"/>
      <c r="AB332" s="4"/>
    </row>
    <row r="333" spans="1:88" x14ac:dyDescent="0.2">
      <c r="A333" s="4">
        <v>50</v>
      </c>
      <c r="B333" s="4">
        <v>0</v>
      </c>
      <c r="C333" s="4">
        <v>0</v>
      </c>
      <c r="D333" s="4">
        <v>1</v>
      </c>
      <c r="E333" s="4">
        <v>211</v>
      </c>
      <c r="F333" s="4">
        <f>ROUND(Source!Y306,O333)</f>
        <v>9426.52</v>
      </c>
      <c r="G333" s="4" t="s">
        <v>114</v>
      </c>
      <c r="H333" s="4" t="s">
        <v>115</v>
      </c>
      <c r="I333" s="4"/>
      <c r="J333" s="4"/>
      <c r="K333" s="4">
        <v>211</v>
      </c>
      <c r="L333" s="4">
        <v>26</v>
      </c>
      <c r="M333" s="4">
        <v>3</v>
      </c>
      <c r="N333" s="4" t="s">
        <v>3</v>
      </c>
      <c r="O333" s="4">
        <v>2</v>
      </c>
      <c r="P333" s="4"/>
      <c r="Q333" s="4"/>
      <c r="R333" s="4"/>
      <c r="S333" s="4"/>
      <c r="T333" s="4"/>
      <c r="U333" s="4"/>
      <c r="V333" s="4"/>
      <c r="W333" s="4">
        <v>9426.52</v>
      </c>
      <c r="X333" s="4">
        <v>1</v>
      </c>
      <c r="Y333" s="4">
        <v>9426.52</v>
      </c>
      <c r="Z333" s="4"/>
      <c r="AA333" s="4"/>
      <c r="AB333" s="4"/>
    </row>
    <row r="334" spans="1:88" x14ac:dyDescent="0.2">
      <c r="A334" s="4">
        <v>50</v>
      </c>
      <c r="B334" s="4">
        <v>0</v>
      </c>
      <c r="C334" s="4">
        <v>0</v>
      </c>
      <c r="D334" s="4">
        <v>1</v>
      </c>
      <c r="E334" s="4">
        <v>224</v>
      </c>
      <c r="F334" s="4">
        <f>ROUND(Source!AR306,O334)</f>
        <v>286108.96999999997</v>
      </c>
      <c r="G334" s="4" t="s">
        <v>116</v>
      </c>
      <c r="H334" s="4" t="s">
        <v>117</v>
      </c>
      <c r="I334" s="4"/>
      <c r="J334" s="4"/>
      <c r="K334" s="4">
        <v>224</v>
      </c>
      <c r="L334" s="4">
        <v>27</v>
      </c>
      <c r="M334" s="4">
        <v>3</v>
      </c>
      <c r="N334" s="4" t="s">
        <v>3</v>
      </c>
      <c r="O334" s="4">
        <v>2</v>
      </c>
      <c r="P334" s="4"/>
      <c r="Q334" s="4"/>
      <c r="R334" s="4"/>
      <c r="S334" s="4"/>
      <c r="T334" s="4"/>
      <c r="U334" s="4"/>
      <c r="V334" s="4"/>
      <c r="W334" s="4">
        <v>286108.96999999997</v>
      </c>
      <c r="X334" s="4">
        <v>1</v>
      </c>
      <c r="Y334" s="4">
        <v>286108.96999999997</v>
      </c>
      <c r="Z334" s="4"/>
      <c r="AA334" s="4"/>
      <c r="AB334" s="4"/>
    </row>
    <row r="336" spans="1:88" x14ac:dyDescent="0.2">
      <c r="A336" s="1">
        <v>5</v>
      </c>
      <c r="B336" s="1">
        <v>1</v>
      </c>
      <c r="C336" s="1"/>
      <c r="D336" s="1">
        <f>ROW(A351)</f>
        <v>351</v>
      </c>
      <c r="E336" s="1"/>
      <c r="F336" s="1" t="s">
        <v>15</v>
      </c>
      <c r="G336" s="1" t="s">
        <v>310</v>
      </c>
      <c r="H336" s="1" t="s">
        <v>3</v>
      </c>
      <c r="I336" s="1">
        <v>0</v>
      </c>
      <c r="J336" s="1"/>
      <c r="K336" s="1">
        <v>0</v>
      </c>
      <c r="L336" s="1"/>
      <c r="M336" s="1" t="s">
        <v>3</v>
      </c>
      <c r="N336" s="1"/>
      <c r="O336" s="1"/>
      <c r="P336" s="1"/>
      <c r="Q336" s="1"/>
      <c r="R336" s="1"/>
      <c r="S336" s="1">
        <v>0</v>
      </c>
      <c r="T336" s="1"/>
      <c r="U336" s="1" t="s">
        <v>3</v>
      </c>
      <c r="V336" s="1">
        <v>0</v>
      </c>
      <c r="W336" s="1"/>
      <c r="X336" s="1"/>
      <c r="Y336" s="1"/>
      <c r="Z336" s="1"/>
      <c r="AA336" s="1"/>
      <c r="AB336" s="1" t="s">
        <v>3</v>
      </c>
      <c r="AC336" s="1" t="s">
        <v>3</v>
      </c>
      <c r="AD336" s="1" t="s">
        <v>3</v>
      </c>
      <c r="AE336" s="1" t="s">
        <v>3</v>
      </c>
      <c r="AF336" s="1" t="s">
        <v>3</v>
      </c>
      <c r="AG336" s="1" t="s">
        <v>3</v>
      </c>
      <c r="AH336" s="1"/>
      <c r="AI336" s="1"/>
      <c r="AJ336" s="1"/>
      <c r="AK336" s="1"/>
      <c r="AL336" s="1"/>
      <c r="AM336" s="1"/>
      <c r="AN336" s="1"/>
      <c r="AO336" s="1"/>
      <c r="AP336" s="1" t="s">
        <v>3</v>
      </c>
      <c r="AQ336" s="1" t="s">
        <v>3</v>
      </c>
      <c r="AR336" s="1" t="s">
        <v>3</v>
      </c>
      <c r="AS336" s="1"/>
      <c r="AT336" s="1"/>
      <c r="AU336" s="1"/>
      <c r="AV336" s="1"/>
      <c r="AW336" s="1"/>
      <c r="AX336" s="1"/>
      <c r="AY336" s="1"/>
      <c r="AZ336" s="1" t="s">
        <v>3</v>
      </c>
      <c r="BA336" s="1"/>
      <c r="BB336" s="1" t="s">
        <v>3</v>
      </c>
      <c r="BC336" s="1" t="s">
        <v>3</v>
      </c>
      <c r="BD336" s="1" t="s">
        <v>3</v>
      </c>
      <c r="BE336" s="1" t="s">
        <v>3</v>
      </c>
      <c r="BF336" s="1" t="s">
        <v>3</v>
      </c>
      <c r="BG336" s="1" t="s">
        <v>3</v>
      </c>
      <c r="BH336" s="1" t="s">
        <v>3</v>
      </c>
      <c r="BI336" s="1" t="s">
        <v>3</v>
      </c>
      <c r="BJ336" s="1" t="s">
        <v>3</v>
      </c>
      <c r="BK336" s="1" t="s">
        <v>3</v>
      </c>
      <c r="BL336" s="1" t="s">
        <v>3</v>
      </c>
      <c r="BM336" s="1" t="s">
        <v>3</v>
      </c>
      <c r="BN336" s="1" t="s">
        <v>3</v>
      </c>
      <c r="BO336" s="1" t="s">
        <v>3</v>
      </c>
      <c r="BP336" s="1" t="s">
        <v>3</v>
      </c>
      <c r="BQ336" s="1"/>
      <c r="BR336" s="1"/>
      <c r="BS336" s="1"/>
      <c r="BT336" s="1"/>
      <c r="BU336" s="1"/>
      <c r="BV336" s="1"/>
      <c r="BW336" s="1"/>
      <c r="BX336" s="1">
        <v>0</v>
      </c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>
        <v>0</v>
      </c>
    </row>
    <row r="338" spans="1:245" x14ac:dyDescent="0.2">
      <c r="A338" s="2">
        <v>52</v>
      </c>
      <c r="B338" s="2">
        <f t="shared" ref="B338:G338" si="311">B351</f>
        <v>1</v>
      </c>
      <c r="C338" s="2">
        <f t="shared" si="311"/>
        <v>5</v>
      </c>
      <c r="D338" s="2">
        <f t="shared" si="311"/>
        <v>336</v>
      </c>
      <c r="E338" s="2">
        <f t="shared" si="311"/>
        <v>0</v>
      </c>
      <c r="F338" s="2" t="str">
        <f t="shared" si="311"/>
        <v>Новый подраздел</v>
      </c>
      <c r="G338" s="2" t="str">
        <f t="shared" si="311"/>
        <v>2.3 Сантехнические работы</v>
      </c>
      <c r="H338" s="2"/>
      <c r="I338" s="2"/>
      <c r="J338" s="2"/>
      <c r="K338" s="2"/>
      <c r="L338" s="2"/>
      <c r="M338" s="2"/>
      <c r="N338" s="2"/>
      <c r="O338" s="2">
        <f t="shared" ref="O338:AT338" si="312">O351</f>
        <v>52382.01</v>
      </c>
      <c r="P338" s="2">
        <f t="shared" si="312"/>
        <v>48829.83</v>
      </c>
      <c r="Q338" s="2">
        <f t="shared" si="312"/>
        <v>1.26</v>
      </c>
      <c r="R338" s="2">
        <f t="shared" si="312"/>
        <v>0.04</v>
      </c>
      <c r="S338" s="2">
        <f t="shared" si="312"/>
        <v>3550.92</v>
      </c>
      <c r="T338" s="2">
        <f t="shared" si="312"/>
        <v>0</v>
      </c>
      <c r="U338" s="2">
        <f t="shared" si="312"/>
        <v>10.588032</v>
      </c>
      <c r="V338" s="2">
        <f t="shared" si="312"/>
        <v>0</v>
      </c>
      <c r="W338" s="2">
        <f t="shared" si="312"/>
        <v>0</v>
      </c>
      <c r="X338" s="2">
        <f t="shared" si="312"/>
        <v>2485.65</v>
      </c>
      <c r="Y338" s="2">
        <f t="shared" si="312"/>
        <v>355.09</v>
      </c>
      <c r="Z338" s="2">
        <f t="shared" si="312"/>
        <v>0</v>
      </c>
      <c r="AA338" s="2">
        <f t="shared" si="312"/>
        <v>0</v>
      </c>
      <c r="AB338" s="2">
        <f t="shared" si="312"/>
        <v>52382.01</v>
      </c>
      <c r="AC338" s="2">
        <f t="shared" si="312"/>
        <v>48829.83</v>
      </c>
      <c r="AD338" s="2">
        <f t="shared" si="312"/>
        <v>1.26</v>
      </c>
      <c r="AE338" s="2">
        <f t="shared" si="312"/>
        <v>0.04</v>
      </c>
      <c r="AF338" s="2">
        <f t="shared" si="312"/>
        <v>3550.92</v>
      </c>
      <c r="AG338" s="2">
        <f t="shared" si="312"/>
        <v>0</v>
      </c>
      <c r="AH338" s="2">
        <f t="shared" si="312"/>
        <v>10.588032</v>
      </c>
      <c r="AI338" s="2">
        <f t="shared" si="312"/>
        <v>0</v>
      </c>
      <c r="AJ338" s="2">
        <f t="shared" si="312"/>
        <v>0</v>
      </c>
      <c r="AK338" s="2">
        <f t="shared" si="312"/>
        <v>2485.65</v>
      </c>
      <c r="AL338" s="2">
        <f t="shared" si="312"/>
        <v>355.09</v>
      </c>
      <c r="AM338" s="2">
        <f t="shared" si="312"/>
        <v>0</v>
      </c>
      <c r="AN338" s="2">
        <f t="shared" si="312"/>
        <v>0</v>
      </c>
      <c r="AO338" s="2">
        <f t="shared" si="312"/>
        <v>0</v>
      </c>
      <c r="AP338" s="2">
        <f t="shared" si="312"/>
        <v>0</v>
      </c>
      <c r="AQ338" s="2">
        <f t="shared" si="312"/>
        <v>0</v>
      </c>
      <c r="AR338" s="2">
        <f t="shared" si="312"/>
        <v>55222.79</v>
      </c>
      <c r="AS338" s="2">
        <f t="shared" si="312"/>
        <v>0</v>
      </c>
      <c r="AT338" s="2">
        <f t="shared" si="312"/>
        <v>0</v>
      </c>
      <c r="AU338" s="2">
        <f t="shared" ref="AU338:BZ338" si="313">AU351</f>
        <v>55222.79</v>
      </c>
      <c r="AV338" s="2">
        <f t="shared" si="313"/>
        <v>48829.83</v>
      </c>
      <c r="AW338" s="2">
        <f t="shared" si="313"/>
        <v>48829.83</v>
      </c>
      <c r="AX338" s="2">
        <f t="shared" si="313"/>
        <v>0</v>
      </c>
      <c r="AY338" s="2">
        <f t="shared" si="313"/>
        <v>48829.83</v>
      </c>
      <c r="AZ338" s="2">
        <f t="shared" si="313"/>
        <v>0</v>
      </c>
      <c r="BA338" s="2">
        <f t="shared" si="313"/>
        <v>0</v>
      </c>
      <c r="BB338" s="2">
        <f t="shared" si="313"/>
        <v>0</v>
      </c>
      <c r="BC338" s="2">
        <f t="shared" si="313"/>
        <v>0</v>
      </c>
      <c r="BD338" s="2">
        <f t="shared" si="313"/>
        <v>0</v>
      </c>
      <c r="BE338" s="2">
        <f t="shared" si="313"/>
        <v>0</v>
      </c>
      <c r="BF338" s="2">
        <f t="shared" si="313"/>
        <v>0</v>
      </c>
      <c r="BG338" s="2">
        <f t="shared" si="313"/>
        <v>0</v>
      </c>
      <c r="BH338" s="2">
        <f t="shared" si="313"/>
        <v>0</v>
      </c>
      <c r="BI338" s="2">
        <f t="shared" si="313"/>
        <v>0</v>
      </c>
      <c r="BJ338" s="2">
        <f t="shared" si="313"/>
        <v>0</v>
      </c>
      <c r="BK338" s="2">
        <f t="shared" si="313"/>
        <v>0</v>
      </c>
      <c r="BL338" s="2">
        <f t="shared" si="313"/>
        <v>0</v>
      </c>
      <c r="BM338" s="2">
        <f t="shared" si="313"/>
        <v>0</v>
      </c>
      <c r="BN338" s="2">
        <f t="shared" si="313"/>
        <v>0</v>
      </c>
      <c r="BO338" s="2">
        <f t="shared" si="313"/>
        <v>0</v>
      </c>
      <c r="BP338" s="2">
        <f t="shared" si="313"/>
        <v>0</v>
      </c>
      <c r="BQ338" s="2">
        <f t="shared" si="313"/>
        <v>0</v>
      </c>
      <c r="BR338" s="2">
        <f t="shared" si="313"/>
        <v>0</v>
      </c>
      <c r="BS338" s="2">
        <f t="shared" si="313"/>
        <v>0</v>
      </c>
      <c r="BT338" s="2">
        <f t="shared" si="313"/>
        <v>0</v>
      </c>
      <c r="BU338" s="2">
        <f t="shared" si="313"/>
        <v>0</v>
      </c>
      <c r="BV338" s="2">
        <f t="shared" si="313"/>
        <v>0</v>
      </c>
      <c r="BW338" s="2">
        <f t="shared" si="313"/>
        <v>0</v>
      </c>
      <c r="BX338" s="2">
        <f t="shared" si="313"/>
        <v>0</v>
      </c>
      <c r="BY338" s="2">
        <f t="shared" si="313"/>
        <v>0</v>
      </c>
      <c r="BZ338" s="2">
        <f t="shared" si="313"/>
        <v>0</v>
      </c>
      <c r="CA338" s="2">
        <f t="shared" ref="CA338:DF338" si="314">CA351</f>
        <v>55222.79</v>
      </c>
      <c r="CB338" s="2">
        <f t="shared" si="314"/>
        <v>0</v>
      </c>
      <c r="CC338" s="2">
        <f t="shared" si="314"/>
        <v>0</v>
      </c>
      <c r="CD338" s="2">
        <f t="shared" si="314"/>
        <v>55222.79</v>
      </c>
      <c r="CE338" s="2">
        <f t="shared" si="314"/>
        <v>48829.83</v>
      </c>
      <c r="CF338" s="2">
        <f t="shared" si="314"/>
        <v>48829.83</v>
      </c>
      <c r="CG338" s="2">
        <f t="shared" si="314"/>
        <v>0</v>
      </c>
      <c r="CH338" s="2">
        <f t="shared" si="314"/>
        <v>48829.83</v>
      </c>
      <c r="CI338" s="2">
        <f t="shared" si="314"/>
        <v>0</v>
      </c>
      <c r="CJ338" s="2">
        <f t="shared" si="314"/>
        <v>0</v>
      </c>
      <c r="CK338" s="2">
        <f t="shared" si="314"/>
        <v>0</v>
      </c>
      <c r="CL338" s="2">
        <f t="shared" si="314"/>
        <v>0</v>
      </c>
      <c r="CM338" s="2">
        <f t="shared" si="314"/>
        <v>0</v>
      </c>
      <c r="CN338" s="2">
        <f t="shared" si="314"/>
        <v>0</v>
      </c>
      <c r="CO338" s="2">
        <f t="shared" si="314"/>
        <v>0</v>
      </c>
      <c r="CP338" s="2">
        <f t="shared" si="314"/>
        <v>0</v>
      </c>
      <c r="CQ338" s="2">
        <f t="shared" si="314"/>
        <v>0</v>
      </c>
      <c r="CR338" s="2">
        <f t="shared" si="314"/>
        <v>0</v>
      </c>
      <c r="CS338" s="2">
        <f t="shared" si="314"/>
        <v>0</v>
      </c>
      <c r="CT338" s="2">
        <f t="shared" si="314"/>
        <v>0</v>
      </c>
      <c r="CU338" s="2">
        <f t="shared" si="314"/>
        <v>0</v>
      </c>
      <c r="CV338" s="2">
        <f t="shared" si="314"/>
        <v>0</v>
      </c>
      <c r="CW338" s="2">
        <f t="shared" si="314"/>
        <v>0</v>
      </c>
      <c r="CX338" s="2">
        <f t="shared" si="314"/>
        <v>0</v>
      </c>
      <c r="CY338" s="2">
        <f t="shared" si="314"/>
        <v>0</v>
      </c>
      <c r="CZ338" s="2">
        <f t="shared" si="314"/>
        <v>0</v>
      </c>
      <c r="DA338" s="2">
        <f t="shared" si="314"/>
        <v>0</v>
      </c>
      <c r="DB338" s="2">
        <f t="shared" si="314"/>
        <v>0</v>
      </c>
      <c r="DC338" s="2">
        <f t="shared" si="314"/>
        <v>0</v>
      </c>
      <c r="DD338" s="2">
        <f t="shared" si="314"/>
        <v>0</v>
      </c>
      <c r="DE338" s="2">
        <f t="shared" si="314"/>
        <v>0</v>
      </c>
      <c r="DF338" s="2">
        <f t="shared" si="314"/>
        <v>0</v>
      </c>
      <c r="DG338" s="3">
        <f t="shared" ref="DG338:EL338" si="315">DG351</f>
        <v>0</v>
      </c>
      <c r="DH338" s="3">
        <f t="shared" si="315"/>
        <v>0</v>
      </c>
      <c r="DI338" s="3">
        <f t="shared" si="315"/>
        <v>0</v>
      </c>
      <c r="DJ338" s="3">
        <f t="shared" si="315"/>
        <v>0</v>
      </c>
      <c r="DK338" s="3">
        <f t="shared" si="315"/>
        <v>0</v>
      </c>
      <c r="DL338" s="3">
        <f t="shared" si="315"/>
        <v>0</v>
      </c>
      <c r="DM338" s="3">
        <f t="shared" si="315"/>
        <v>0</v>
      </c>
      <c r="DN338" s="3">
        <f t="shared" si="315"/>
        <v>0</v>
      </c>
      <c r="DO338" s="3">
        <f t="shared" si="315"/>
        <v>0</v>
      </c>
      <c r="DP338" s="3">
        <f t="shared" si="315"/>
        <v>0</v>
      </c>
      <c r="DQ338" s="3">
        <f t="shared" si="315"/>
        <v>0</v>
      </c>
      <c r="DR338" s="3">
        <f t="shared" si="315"/>
        <v>0</v>
      </c>
      <c r="DS338" s="3">
        <f t="shared" si="315"/>
        <v>0</v>
      </c>
      <c r="DT338" s="3">
        <f t="shared" si="315"/>
        <v>0</v>
      </c>
      <c r="DU338" s="3">
        <f t="shared" si="315"/>
        <v>0</v>
      </c>
      <c r="DV338" s="3">
        <f t="shared" si="315"/>
        <v>0</v>
      </c>
      <c r="DW338" s="3">
        <f t="shared" si="315"/>
        <v>0</v>
      </c>
      <c r="DX338" s="3">
        <f t="shared" si="315"/>
        <v>0</v>
      </c>
      <c r="DY338" s="3">
        <f t="shared" si="315"/>
        <v>0</v>
      </c>
      <c r="DZ338" s="3">
        <f t="shared" si="315"/>
        <v>0</v>
      </c>
      <c r="EA338" s="3">
        <f t="shared" si="315"/>
        <v>0</v>
      </c>
      <c r="EB338" s="3">
        <f t="shared" si="315"/>
        <v>0</v>
      </c>
      <c r="EC338" s="3">
        <f t="shared" si="315"/>
        <v>0</v>
      </c>
      <c r="ED338" s="3">
        <f t="shared" si="315"/>
        <v>0</v>
      </c>
      <c r="EE338" s="3">
        <f t="shared" si="315"/>
        <v>0</v>
      </c>
      <c r="EF338" s="3">
        <f t="shared" si="315"/>
        <v>0</v>
      </c>
      <c r="EG338" s="3">
        <f t="shared" si="315"/>
        <v>0</v>
      </c>
      <c r="EH338" s="3">
        <f t="shared" si="315"/>
        <v>0</v>
      </c>
      <c r="EI338" s="3">
        <f t="shared" si="315"/>
        <v>0</v>
      </c>
      <c r="EJ338" s="3">
        <f t="shared" si="315"/>
        <v>0</v>
      </c>
      <c r="EK338" s="3">
        <f t="shared" si="315"/>
        <v>0</v>
      </c>
      <c r="EL338" s="3">
        <f t="shared" si="315"/>
        <v>0</v>
      </c>
      <c r="EM338" s="3">
        <f t="shared" ref="EM338:FR338" si="316">EM351</f>
        <v>0</v>
      </c>
      <c r="EN338" s="3">
        <f t="shared" si="316"/>
        <v>0</v>
      </c>
      <c r="EO338" s="3">
        <f t="shared" si="316"/>
        <v>0</v>
      </c>
      <c r="EP338" s="3">
        <f t="shared" si="316"/>
        <v>0</v>
      </c>
      <c r="EQ338" s="3">
        <f t="shared" si="316"/>
        <v>0</v>
      </c>
      <c r="ER338" s="3">
        <f t="shared" si="316"/>
        <v>0</v>
      </c>
      <c r="ES338" s="3">
        <f t="shared" si="316"/>
        <v>0</v>
      </c>
      <c r="ET338" s="3">
        <f t="shared" si="316"/>
        <v>0</v>
      </c>
      <c r="EU338" s="3">
        <f t="shared" si="316"/>
        <v>0</v>
      </c>
      <c r="EV338" s="3">
        <f t="shared" si="316"/>
        <v>0</v>
      </c>
      <c r="EW338" s="3">
        <f t="shared" si="316"/>
        <v>0</v>
      </c>
      <c r="EX338" s="3">
        <f t="shared" si="316"/>
        <v>0</v>
      </c>
      <c r="EY338" s="3">
        <f t="shared" si="316"/>
        <v>0</v>
      </c>
      <c r="EZ338" s="3">
        <f t="shared" si="316"/>
        <v>0</v>
      </c>
      <c r="FA338" s="3">
        <f t="shared" si="316"/>
        <v>0</v>
      </c>
      <c r="FB338" s="3">
        <f t="shared" si="316"/>
        <v>0</v>
      </c>
      <c r="FC338" s="3">
        <f t="shared" si="316"/>
        <v>0</v>
      </c>
      <c r="FD338" s="3">
        <f t="shared" si="316"/>
        <v>0</v>
      </c>
      <c r="FE338" s="3">
        <f t="shared" si="316"/>
        <v>0</v>
      </c>
      <c r="FF338" s="3">
        <f t="shared" si="316"/>
        <v>0</v>
      </c>
      <c r="FG338" s="3">
        <f t="shared" si="316"/>
        <v>0</v>
      </c>
      <c r="FH338" s="3">
        <f t="shared" si="316"/>
        <v>0</v>
      </c>
      <c r="FI338" s="3">
        <f t="shared" si="316"/>
        <v>0</v>
      </c>
      <c r="FJ338" s="3">
        <f t="shared" si="316"/>
        <v>0</v>
      </c>
      <c r="FK338" s="3">
        <f t="shared" si="316"/>
        <v>0</v>
      </c>
      <c r="FL338" s="3">
        <f t="shared" si="316"/>
        <v>0</v>
      </c>
      <c r="FM338" s="3">
        <f t="shared" si="316"/>
        <v>0</v>
      </c>
      <c r="FN338" s="3">
        <f t="shared" si="316"/>
        <v>0</v>
      </c>
      <c r="FO338" s="3">
        <f t="shared" si="316"/>
        <v>0</v>
      </c>
      <c r="FP338" s="3">
        <f t="shared" si="316"/>
        <v>0</v>
      </c>
      <c r="FQ338" s="3">
        <f t="shared" si="316"/>
        <v>0</v>
      </c>
      <c r="FR338" s="3">
        <f t="shared" si="316"/>
        <v>0</v>
      </c>
      <c r="FS338" s="3">
        <f t="shared" ref="FS338:GX338" si="317">FS351</f>
        <v>0</v>
      </c>
      <c r="FT338" s="3">
        <f t="shared" si="317"/>
        <v>0</v>
      </c>
      <c r="FU338" s="3">
        <f t="shared" si="317"/>
        <v>0</v>
      </c>
      <c r="FV338" s="3">
        <f t="shared" si="317"/>
        <v>0</v>
      </c>
      <c r="FW338" s="3">
        <f t="shared" si="317"/>
        <v>0</v>
      </c>
      <c r="FX338" s="3">
        <f t="shared" si="317"/>
        <v>0</v>
      </c>
      <c r="FY338" s="3">
        <f t="shared" si="317"/>
        <v>0</v>
      </c>
      <c r="FZ338" s="3">
        <f t="shared" si="317"/>
        <v>0</v>
      </c>
      <c r="GA338" s="3">
        <f t="shared" si="317"/>
        <v>0</v>
      </c>
      <c r="GB338" s="3">
        <f t="shared" si="317"/>
        <v>0</v>
      </c>
      <c r="GC338" s="3">
        <f t="shared" si="317"/>
        <v>0</v>
      </c>
      <c r="GD338" s="3">
        <f t="shared" si="317"/>
        <v>0</v>
      </c>
      <c r="GE338" s="3">
        <f t="shared" si="317"/>
        <v>0</v>
      </c>
      <c r="GF338" s="3">
        <f t="shared" si="317"/>
        <v>0</v>
      </c>
      <c r="GG338" s="3">
        <f t="shared" si="317"/>
        <v>0</v>
      </c>
      <c r="GH338" s="3">
        <f t="shared" si="317"/>
        <v>0</v>
      </c>
      <c r="GI338" s="3">
        <f t="shared" si="317"/>
        <v>0</v>
      </c>
      <c r="GJ338" s="3">
        <f t="shared" si="317"/>
        <v>0</v>
      </c>
      <c r="GK338" s="3">
        <f t="shared" si="317"/>
        <v>0</v>
      </c>
      <c r="GL338" s="3">
        <f t="shared" si="317"/>
        <v>0</v>
      </c>
      <c r="GM338" s="3">
        <f t="shared" si="317"/>
        <v>0</v>
      </c>
      <c r="GN338" s="3">
        <f t="shared" si="317"/>
        <v>0</v>
      </c>
      <c r="GO338" s="3">
        <f t="shared" si="317"/>
        <v>0</v>
      </c>
      <c r="GP338" s="3">
        <f t="shared" si="317"/>
        <v>0</v>
      </c>
      <c r="GQ338" s="3">
        <f t="shared" si="317"/>
        <v>0</v>
      </c>
      <c r="GR338" s="3">
        <f t="shared" si="317"/>
        <v>0</v>
      </c>
      <c r="GS338" s="3">
        <f t="shared" si="317"/>
        <v>0</v>
      </c>
      <c r="GT338" s="3">
        <f t="shared" si="317"/>
        <v>0</v>
      </c>
      <c r="GU338" s="3">
        <f t="shared" si="317"/>
        <v>0</v>
      </c>
      <c r="GV338" s="3">
        <f t="shared" si="317"/>
        <v>0</v>
      </c>
      <c r="GW338" s="3">
        <f t="shared" si="317"/>
        <v>0</v>
      </c>
      <c r="GX338" s="3">
        <f t="shared" si="317"/>
        <v>0</v>
      </c>
    </row>
    <row r="340" spans="1:245" x14ac:dyDescent="0.2">
      <c r="A340">
        <v>17</v>
      </c>
      <c r="B340">
        <v>1</v>
      </c>
      <c r="D340">
        <f>ROW(EtalonRes!A218)</f>
        <v>218</v>
      </c>
      <c r="E340" t="s">
        <v>311</v>
      </c>
      <c r="F340" t="s">
        <v>160</v>
      </c>
      <c r="G340" t="s">
        <v>161</v>
      </c>
      <c r="H340" t="s">
        <v>162</v>
      </c>
      <c r="I340">
        <f>ROUND(1.96*2/100,9)</f>
        <v>3.9199999999999999E-2</v>
      </c>
      <c r="J340">
        <v>0</v>
      </c>
      <c r="K340">
        <f>ROUND(1.96*2/100,9)</f>
        <v>3.9199999999999999E-2</v>
      </c>
      <c r="O340">
        <f t="shared" ref="O340:O349" si="318">ROUND(CP340,2)</f>
        <v>31188.47</v>
      </c>
      <c r="P340">
        <f t="shared" ref="P340:P349" si="319">ROUND(CQ340*I340,2)</f>
        <v>30385.08</v>
      </c>
      <c r="Q340">
        <f t="shared" ref="Q340:Q349" si="320">ROUND(CR340*I340,2)</f>
        <v>0.08</v>
      </c>
      <c r="R340">
        <f t="shared" ref="R340:R349" si="321">ROUND(CS340*I340,2)</f>
        <v>0.01</v>
      </c>
      <c r="S340">
        <f t="shared" ref="S340:S349" si="322">ROUND(CT340*I340,2)</f>
        <v>803.31</v>
      </c>
      <c r="T340">
        <f t="shared" ref="T340:T349" si="323">ROUND(CU340*I340,2)</f>
        <v>0</v>
      </c>
      <c r="U340">
        <f t="shared" ref="U340:U349" si="324">CV340*I340</f>
        <v>2.6640319999999997</v>
      </c>
      <c r="V340">
        <f t="shared" ref="V340:V349" si="325">CW340*I340</f>
        <v>0</v>
      </c>
      <c r="W340">
        <f t="shared" ref="W340:W349" si="326">ROUND(CX340*I340,2)</f>
        <v>0</v>
      </c>
      <c r="X340">
        <f t="shared" ref="X340:X349" si="327">ROUND(CY340,2)</f>
        <v>562.32000000000005</v>
      </c>
      <c r="Y340">
        <f t="shared" ref="Y340:Y349" si="328">ROUND(CZ340,2)</f>
        <v>80.33</v>
      </c>
      <c r="AA340">
        <v>72192302</v>
      </c>
      <c r="AB340">
        <f t="shared" ref="AB340:AB349" si="329">ROUND((AC340+AD340+AF340),6)</f>
        <v>795624.33</v>
      </c>
      <c r="AC340">
        <f t="shared" ref="AC340:AC349" si="330">ROUND((ES340),6)</f>
        <v>775129.57</v>
      </c>
      <c r="AD340">
        <f t="shared" ref="AD340:AD349" si="331">ROUND((((ET340)-(EU340))+AE340),6)</f>
        <v>2.1</v>
      </c>
      <c r="AE340">
        <f t="shared" ref="AE340:AE349" si="332">ROUND((EU340),6)</f>
        <v>0.32</v>
      </c>
      <c r="AF340">
        <f t="shared" ref="AF340:AF349" si="333">ROUND((EV340),6)</f>
        <v>20492.66</v>
      </c>
      <c r="AG340">
        <f t="shared" ref="AG340:AG349" si="334">ROUND((AP340),6)</f>
        <v>0</v>
      </c>
      <c r="AH340">
        <f t="shared" ref="AH340:AH349" si="335">(EW340)</f>
        <v>67.959999999999994</v>
      </c>
      <c r="AI340">
        <f t="shared" ref="AI340:AI349" si="336">(EX340)</f>
        <v>0</v>
      </c>
      <c r="AJ340">
        <f t="shared" ref="AJ340:AJ349" si="337">(AS340)</f>
        <v>0</v>
      </c>
      <c r="AK340">
        <v>795624.33</v>
      </c>
      <c r="AL340">
        <v>775129.57</v>
      </c>
      <c r="AM340">
        <v>2.1</v>
      </c>
      <c r="AN340">
        <v>0.32</v>
      </c>
      <c r="AO340">
        <v>20492.66</v>
      </c>
      <c r="AP340">
        <v>0</v>
      </c>
      <c r="AQ340">
        <v>67.959999999999994</v>
      </c>
      <c r="AR340">
        <v>0</v>
      </c>
      <c r="AS340">
        <v>0</v>
      </c>
      <c r="AT340">
        <v>70</v>
      </c>
      <c r="AU340">
        <v>10</v>
      </c>
      <c r="AV340">
        <v>1</v>
      </c>
      <c r="AW340">
        <v>1</v>
      </c>
      <c r="AZ340">
        <v>1</v>
      </c>
      <c r="BA340">
        <v>1</v>
      </c>
      <c r="BB340">
        <v>1</v>
      </c>
      <c r="BC340">
        <v>1</v>
      </c>
      <c r="BD340" t="s">
        <v>3</v>
      </c>
      <c r="BE340" t="s">
        <v>3</v>
      </c>
      <c r="BF340" t="s">
        <v>3</v>
      </c>
      <c r="BG340" t="s">
        <v>3</v>
      </c>
      <c r="BH340">
        <v>0</v>
      </c>
      <c r="BI340">
        <v>4</v>
      </c>
      <c r="BJ340" t="s">
        <v>163</v>
      </c>
      <c r="BM340">
        <v>0</v>
      </c>
      <c r="BN340">
        <v>0</v>
      </c>
      <c r="BO340" t="s">
        <v>3</v>
      </c>
      <c r="BP340">
        <v>0</v>
      </c>
      <c r="BQ340">
        <v>1</v>
      </c>
      <c r="BR340">
        <v>0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 t="s">
        <v>3</v>
      </c>
      <c r="BZ340">
        <v>70</v>
      </c>
      <c r="CA340">
        <v>10</v>
      </c>
      <c r="CB340" t="s">
        <v>3</v>
      </c>
      <c r="CE340">
        <v>0</v>
      </c>
      <c r="CF340">
        <v>0</v>
      </c>
      <c r="CG340">
        <v>0</v>
      </c>
      <c r="CM340">
        <v>0</v>
      </c>
      <c r="CN340" t="s">
        <v>3</v>
      </c>
      <c r="CO340">
        <v>0</v>
      </c>
      <c r="CP340">
        <f t="shared" ref="CP340:CP349" si="338">(P340+Q340+S340)</f>
        <v>31188.470000000005</v>
      </c>
      <c r="CQ340">
        <f t="shared" ref="CQ340:CQ349" si="339">(AC340*BC340*AW340)</f>
        <v>775129.57</v>
      </c>
      <c r="CR340">
        <f t="shared" ref="CR340:CR349" si="340">((((ET340)*BB340-(EU340)*BS340)+AE340*BS340)*AV340)</f>
        <v>2.1</v>
      </c>
      <c r="CS340">
        <f t="shared" ref="CS340:CS349" si="341">(AE340*BS340*AV340)</f>
        <v>0.32</v>
      </c>
      <c r="CT340">
        <f t="shared" ref="CT340:CT349" si="342">(AF340*BA340*AV340)</f>
        <v>20492.66</v>
      </c>
      <c r="CU340">
        <f t="shared" ref="CU340:CU349" si="343">AG340</f>
        <v>0</v>
      </c>
      <c r="CV340">
        <f t="shared" ref="CV340:CV349" si="344">(AH340*AV340)</f>
        <v>67.959999999999994</v>
      </c>
      <c r="CW340">
        <f t="shared" ref="CW340:CW349" si="345">AI340</f>
        <v>0</v>
      </c>
      <c r="CX340">
        <f t="shared" ref="CX340:CX349" si="346">AJ340</f>
        <v>0</v>
      </c>
      <c r="CY340">
        <f t="shared" ref="CY340:CY349" si="347">((S340*BZ340)/100)</f>
        <v>562.31700000000001</v>
      </c>
      <c r="CZ340">
        <f t="shared" ref="CZ340:CZ349" si="348">((S340*CA340)/100)</f>
        <v>80.330999999999989</v>
      </c>
      <c r="DC340" t="s">
        <v>3</v>
      </c>
      <c r="DD340" t="s">
        <v>3</v>
      </c>
      <c r="DE340" t="s">
        <v>3</v>
      </c>
      <c r="DF340" t="s">
        <v>3</v>
      </c>
      <c r="DG340" t="s">
        <v>3</v>
      </c>
      <c r="DH340" t="s">
        <v>3</v>
      </c>
      <c r="DI340" t="s">
        <v>3</v>
      </c>
      <c r="DJ340" t="s">
        <v>3</v>
      </c>
      <c r="DK340" t="s">
        <v>3</v>
      </c>
      <c r="DL340" t="s">
        <v>3</v>
      </c>
      <c r="DM340" t="s">
        <v>3</v>
      </c>
      <c r="DN340">
        <v>0</v>
      </c>
      <c r="DO340">
        <v>0</v>
      </c>
      <c r="DP340">
        <v>1</v>
      </c>
      <c r="DQ340">
        <v>1</v>
      </c>
      <c r="DU340">
        <v>1013</v>
      </c>
      <c r="DV340" t="s">
        <v>162</v>
      </c>
      <c r="DW340" t="s">
        <v>162</v>
      </c>
      <c r="DX340">
        <v>1</v>
      </c>
      <c r="DZ340" t="s">
        <v>3</v>
      </c>
      <c r="EA340" t="s">
        <v>3</v>
      </c>
      <c r="EB340" t="s">
        <v>3</v>
      </c>
      <c r="EC340" t="s">
        <v>3</v>
      </c>
      <c r="EE340">
        <v>71753531</v>
      </c>
      <c r="EF340">
        <v>1</v>
      </c>
      <c r="EG340" t="s">
        <v>22</v>
      </c>
      <c r="EH340">
        <v>0</v>
      </c>
      <c r="EI340" t="s">
        <v>3</v>
      </c>
      <c r="EJ340">
        <v>4</v>
      </c>
      <c r="EK340">
        <v>0</v>
      </c>
      <c r="EL340" t="s">
        <v>23</v>
      </c>
      <c r="EM340" t="s">
        <v>24</v>
      </c>
      <c r="EO340" t="s">
        <v>3</v>
      </c>
      <c r="EQ340">
        <v>0</v>
      </c>
      <c r="ER340">
        <v>795624.33</v>
      </c>
      <c r="ES340">
        <v>775129.57</v>
      </c>
      <c r="ET340">
        <v>2.1</v>
      </c>
      <c r="EU340">
        <v>0.32</v>
      </c>
      <c r="EV340">
        <v>20492.66</v>
      </c>
      <c r="EW340">
        <v>67.959999999999994</v>
      </c>
      <c r="EX340">
        <v>0</v>
      </c>
      <c r="EY340">
        <v>0</v>
      </c>
      <c r="FQ340">
        <v>0</v>
      </c>
      <c r="FR340">
        <f t="shared" ref="FR340:FR349" si="349">ROUND(IF(BI340=3,GM340,0),2)</f>
        <v>0</v>
      </c>
      <c r="FS340">
        <v>0</v>
      </c>
      <c r="FX340">
        <v>70</v>
      </c>
      <c r="FY340">
        <v>10</v>
      </c>
      <c r="GA340" t="s">
        <v>3</v>
      </c>
      <c r="GD340">
        <v>0</v>
      </c>
      <c r="GF340">
        <v>1046146772</v>
      </c>
      <c r="GG340">
        <v>2</v>
      </c>
      <c r="GH340">
        <v>1</v>
      </c>
      <c r="GI340">
        <v>-2</v>
      </c>
      <c r="GJ340">
        <v>0</v>
      </c>
      <c r="GK340">
        <f>ROUND(R340*(R12)/100,2)</f>
        <v>0.01</v>
      </c>
      <c r="GL340">
        <f t="shared" ref="GL340:GL349" si="350">ROUND(IF(AND(BH340=3,BI340=3,FS340&lt;&gt;0),P340,0),2)</f>
        <v>0</v>
      </c>
      <c r="GM340">
        <f t="shared" ref="GM340:GM349" si="351">ROUND(O340+X340+Y340+GK340,2)+GX340</f>
        <v>31831.13</v>
      </c>
      <c r="GN340">
        <f t="shared" ref="GN340:GN349" si="352">IF(OR(BI340=0,BI340=1),GM340,0)</f>
        <v>0</v>
      </c>
      <c r="GO340">
        <f t="shared" ref="GO340:GO349" si="353">IF(BI340=2,GM340,0)</f>
        <v>0</v>
      </c>
      <c r="GP340">
        <f t="shared" ref="GP340:GP349" si="354">IF(BI340=4,GM340+GX340,0)</f>
        <v>31831.13</v>
      </c>
      <c r="GR340">
        <v>0</v>
      </c>
      <c r="GS340">
        <v>3</v>
      </c>
      <c r="GT340">
        <v>0</v>
      </c>
      <c r="GU340" t="s">
        <v>3</v>
      </c>
      <c r="GV340">
        <f t="shared" ref="GV340:GV349" si="355">ROUND((GT340),6)</f>
        <v>0</v>
      </c>
      <c r="GW340">
        <v>1</v>
      </c>
      <c r="GX340">
        <f t="shared" ref="GX340:GX349" si="356">ROUND(HC340*I340,2)</f>
        <v>0</v>
      </c>
      <c r="HA340">
        <v>0</v>
      </c>
      <c r="HB340">
        <v>0</v>
      </c>
      <c r="HC340">
        <f t="shared" ref="HC340:HC349" si="357">GV340*GW340</f>
        <v>0</v>
      </c>
      <c r="HE340" t="s">
        <v>3</v>
      </c>
      <c r="HF340" t="s">
        <v>3</v>
      </c>
      <c r="HM340" t="s">
        <v>3</v>
      </c>
      <c r="HN340" t="s">
        <v>3</v>
      </c>
      <c r="HO340" t="s">
        <v>3</v>
      </c>
      <c r="HP340" t="s">
        <v>3</v>
      </c>
      <c r="HQ340" t="s">
        <v>3</v>
      </c>
      <c r="IK340">
        <v>0</v>
      </c>
    </row>
    <row r="341" spans="1:245" x14ac:dyDescent="0.2">
      <c r="A341">
        <v>18</v>
      </c>
      <c r="B341">
        <v>1</v>
      </c>
      <c r="E341" t="s">
        <v>312</v>
      </c>
      <c r="F341" t="s">
        <v>165</v>
      </c>
      <c r="G341" t="s">
        <v>166</v>
      </c>
      <c r="H341" t="s">
        <v>51</v>
      </c>
      <c r="I341">
        <f>I340*J341</f>
        <v>-3.881192</v>
      </c>
      <c r="J341">
        <v>-99.01</v>
      </c>
      <c r="K341">
        <v>-99.01</v>
      </c>
      <c r="O341">
        <f t="shared" si="318"/>
        <v>-30111.3</v>
      </c>
      <c r="P341">
        <f t="shared" si="319"/>
        <v>-30111.3</v>
      </c>
      <c r="Q341">
        <f t="shared" si="320"/>
        <v>0</v>
      </c>
      <c r="R341">
        <f t="shared" si="321"/>
        <v>0</v>
      </c>
      <c r="S341">
        <f t="shared" si="322"/>
        <v>0</v>
      </c>
      <c r="T341">
        <f t="shared" si="323"/>
        <v>0</v>
      </c>
      <c r="U341">
        <f t="shared" si="324"/>
        <v>0</v>
      </c>
      <c r="V341">
        <f t="shared" si="325"/>
        <v>0</v>
      </c>
      <c r="W341">
        <f t="shared" si="326"/>
        <v>0</v>
      </c>
      <c r="X341">
        <f t="shared" si="327"/>
        <v>0</v>
      </c>
      <c r="Y341">
        <f t="shared" si="328"/>
        <v>0</v>
      </c>
      <c r="AA341">
        <v>72192302</v>
      </c>
      <c r="AB341">
        <f t="shared" si="329"/>
        <v>7758.26</v>
      </c>
      <c r="AC341">
        <f t="shared" si="330"/>
        <v>7758.26</v>
      </c>
      <c r="AD341">
        <f t="shared" si="331"/>
        <v>0</v>
      </c>
      <c r="AE341">
        <f t="shared" si="332"/>
        <v>0</v>
      </c>
      <c r="AF341">
        <f t="shared" si="333"/>
        <v>0</v>
      </c>
      <c r="AG341">
        <f t="shared" si="334"/>
        <v>0</v>
      </c>
      <c r="AH341">
        <f t="shared" si="335"/>
        <v>0</v>
      </c>
      <c r="AI341">
        <f t="shared" si="336"/>
        <v>0</v>
      </c>
      <c r="AJ341">
        <f t="shared" si="337"/>
        <v>0</v>
      </c>
      <c r="AK341">
        <v>7758.26</v>
      </c>
      <c r="AL341">
        <v>7758.26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70</v>
      </c>
      <c r="AU341">
        <v>10</v>
      </c>
      <c r="AV341">
        <v>1</v>
      </c>
      <c r="AW341">
        <v>1</v>
      </c>
      <c r="AZ341">
        <v>1</v>
      </c>
      <c r="BA341">
        <v>1</v>
      </c>
      <c r="BB341">
        <v>1</v>
      </c>
      <c r="BC341">
        <v>1</v>
      </c>
      <c r="BD341" t="s">
        <v>3</v>
      </c>
      <c r="BE341" t="s">
        <v>3</v>
      </c>
      <c r="BF341" t="s">
        <v>3</v>
      </c>
      <c r="BG341" t="s">
        <v>3</v>
      </c>
      <c r="BH341">
        <v>3</v>
      </c>
      <c r="BI341">
        <v>4</v>
      </c>
      <c r="BJ341" t="s">
        <v>167</v>
      </c>
      <c r="BM341">
        <v>0</v>
      </c>
      <c r="BN341">
        <v>0</v>
      </c>
      <c r="BO341" t="s">
        <v>3</v>
      </c>
      <c r="BP341">
        <v>0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 t="s">
        <v>3</v>
      </c>
      <c r="BZ341">
        <v>70</v>
      </c>
      <c r="CA341">
        <v>10</v>
      </c>
      <c r="CB341" t="s">
        <v>3</v>
      </c>
      <c r="CE341">
        <v>0</v>
      </c>
      <c r="CF341">
        <v>0</v>
      </c>
      <c r="CG341">
        <v>0</v>
      </c>
      <c r="CM341">
        <v>0</v>
      </c>
      <c r="CN341" t="s">
        <v>3</v>
      </c>
      <c r="CO341">
        <v>0</v>
      </c>
      <c r="CP341">
        <f t="shared" si="338"/>
        <v>-30111.3</v>
      </c>
      <c r="CQ341">
        <f t="shared" si="339"/>
        <v>7758.26</v>
      </c>
      <c r="CR341">
        <f t="shared" si="340"/>
        <v>0</v>
      </c>
      <c r="CS341">
        <f t="shared" si="341"/>
        <v>0</v>
      </c>
      <c r="CT341">
        <f t="shared" si="342"/>
        <v>0</v>
      </c>
      <c r="CU341">
        <f t="shared" si="343"/>
        <v>0</v>
      </c>
      <c r="CV341">
        <f t="shared" si="344"/>
        <v>0</v>
      </c>
      <c r="CW341">
        <f t="shared" si="345"/>
        <v>0</v>
      </c>
      <c r="CX341">
        <f t="shared" si="346"/>
        <v>0</v>
      </c>
      <c r="CY341">
        <f t="shared" si="347"/>
        <v>0</v>
      </c>
      <c r="CZ341">
        <f t="shared" si="348"/>
        <v>0</v>
      </c>
      <c r="DC341" t="s">
        <v>3</v>
      </c>
      <c r="DD341" t="s">
        <v>3</v>
      </c>
      <c r="DE341" t="s">
        <v>3</v>
      </c>
      <c r="DF341" t="s">
        <v>3</v>
      </c>
      <c r="DG341" t="s">
        <v>3</v>
      </c>
      <c r="DH341" t="s">
        <v>3</v>
      </c>
      <c r="DI341" t="s">
        <v>3</v>
      </c>
      <c r="DJ341" t="s">
        <v>3</v>
      </c>
      <c r="DK341" t="s">
        <v>3</v>
      </c>
      <c r="DL341" t="s">
        <v>3</v>
      </c>
      <c r="DM341" t="s">
        <v>3</v>
      </c>
      <c r="DN341">
        <v>0</v>
      </c>
      <c r="DO341">
        <v>0</v>
      </c>
      <c r="DP341">
        <v>1</v>
      </c>
      <c r="DQ341">
        <v>1</v>
      </c>
      <c r="DU341">
        <v>1010</v>
      </c>
      <c r="DV341" t="s">
        <v>51</v>
      </c>
      <c r="DW341" t="s">
        <v>51</v>
      </c>
      <c r="DX341">
        <v>1</v>
      </c>
      <c r="DZ341" t="s">
        <v>3</v>
      </c>
      <c r="EA341" t="s">
        <v>3</v>
      </c>
      <c r="EB341" t="s">
        <v>3</v>
      </c>
      <c r="EC341" t="s">
        <v>3</v>
      </c>
      <c r="EE341">
        <v>71753531</v>
      </c>
      <c r="EF341">
        <v>1</v>
      </c>
      <c r="EG341" t="s">
        <v>22</v>
      </c>
      <c r="EH341">
        <v>0</v>
      </c>
      <c r="EI341" t="s">
        <v>3</v>
      </c>
      <c r="EJ341">
        <v>4</v>
      </c>
      <c r="EK341">
        <v>0</v>
      </c>
      <c r="EL341" t="s">
        <v>23</v>
      </c>
      <c r="EM341" t="s">
        <v>24</v>
      </c>
      <c r="EO341" t="s">
        <v>3</v>
      </c>
      <c r="EQ341">
        <v>32768</v>
      </c>
      <c r="ER341">
        <v>7758.26</v>
      </c>
      <c r="ES341">
        <v>7758.26</v>
      </c>
      <c r="ET341">
        <v>0</v>
      </c>
      <c r="EU341">
        <v>0</v>
      </c>
      <c r="EV341">
        <v>0</v>
      </c>
      <c r="EW341">
        <v>0</v>
      </c>
      <c r="EX341">
        <v>0</v>
      </c>
      <c r="FQ341">
        <v>0</v>
      </c>
      <c r="FR341">
        <f t="shared" si="349"/>
        <v>0</v>
      </c>
      <c r="FS341">
        <v>0</v>
      </c>
      <c r="FX341">
        <v>70</v>
      </c>
      <c r="FY341">
        <v>10</v>
      </c>
      <c r="GA341" t="s">
        <v>3</v>
      </c>
      <c r="GD341">
        <v>0</v>
      </c>
      <c r="GF341">
        <v>-572927986</v>
      </c>
      <c r="GG341">
        <v>2</v>
      </c>
      <c r="GH341">
        <v>1</v>
      </c>
      <c r="GI341">
        <v>-2</v>
      </c>
      <c r="GJ341">
        <v>0</v>
      </c>
      <c r="GK341">
        <f>ROUND(R341*(R12)/100,2)</f>
        <v>0</v>
      </c>
      <c r="GL341">
        <f t="shared" si="350"/>
        <v>0</v>
      </c>
      <c r="GM341">
        <f t="shared" si="351"/>
        <v>-30111.3</v>
      </c>
      <c r="GN341">
        <f t="shared" si="352"/>
        <v>0</v>
      </c>
      <c r="GO341">
        <f t="shared" si="353"/>
        <v>0</v>
      </c>
      <c r="GP341">
        <f t="shared" si="354"/>
        <v>-30111.3</v>
      </c>
      <c r="GR341">
        <v>0</v>
      </c>
      <c r="GS341">
        <v>3</v>
      </c>
      <c r="GT341">
        <v>0</v>
      </c>
      <c r="GU341" t="s">
        <v>3</v>
      </c>
      <c r="GV341">
        <f t="shared" si="355"/>
        <v>0</v>
      </c>
      <c r="GW341">
        <v>1</v>
      </c>
      <c r="GX341">
        <f t="shared" si="356"/>
        <v>0</v>
      </c>
      <c r="HA341">
        <v>0</v>
      </c>
      <c r="HB341">
        <v>0</v>
      </c>
      <c r="HC341">
        <f t="shared" si="357"/>
        <v>0</v>
      </c>
      <c r="HE341" t="s">
        <v>3</v>
      </c>
      <c r="HF341" t="s">
        <v>3</v>
      </c>
      <c r="HM341" t="s">
        <v>3</v>
      </c>
      <c r="HN341" t="s">
        <v>3</v>
      </c>
      <c r="HO341" t="s">
        <v>3</v>
      </c>
      <c r="HP341" t="s">
        <v>3</v>
      </c>
      <c r="HQ341" t="s">
        <v>3</v>
      </c>
      <c r="IK341">
        <v>0</v>
      </c>
    </row>
    <row r="342" spans="1:245" x14ac:dyDescent="0.2">
      <c r="A342">
        <v>18</v>
      </c>
      <c r="B342">
        <v>1</v>
      </c>
      <c r="E342" t="s">
        <v>313</v>
      </c>
      <c r="F342" t="s">
        <v>156</v>
      </c>
      <c r="G342" s="46" t="s">
        <v>777</v>
      </c>
      <c r="H342" t="s">
        <v>51</v>
      </c>
      <c r="I342">
        <f>I340*J342</f>
        <v>3</v>
      </c>
      <c r="J342">
        <v>76.530612244897966</v>
      </c>
      <c r="K342">
        <v>76.530612000000005</v>
      </c>
      <c r="O342">
        <f t="shared" si="318"/>
        <v>38020.5</v>
      </c>
      <c r="P342">
        <f t="shared" si="319"/>
        <v>38020.5</v>
      </c>
      <c r="Q342">
        <f t="shared" si="320"/>
        <v>0</v>
      </c>
      <c r="R342">
        <f t="shared" si="321"/>
        <v>0</v>
      </c>
      <c r="S342">
        <f t="shared" si="322"/>
        <v>0</v>
      </c>
      <c r="T342">
        <f t="shared" si="323"/>
        <v>0</v>
      </c>
      <c r="U342">
        <f t="shared" si="324"/>
        <v>0</v>
      </c>
      <c r="V342">
        <f t="shared" si="325"/>
        <v>0</v>
      </c>
      <c r="W342">
        <f t="shared" si="326"/>
        <v>0</v>
      </c>
      <c r="X342">
        <f t="shared" si="327"/>
        <v>0</v>
      </c>
      <c r="Y342">
        <f t="shared" si="328"/>
        <v>0</v>
      </c>
      <c r="AA342">
        <v>72192302</v>
      </c>
      <c r="AB342">
        <f t="shared" si="329"/>
        <v>12673.5</v>
      </c>
      <c r="AC342">
        <f t="shared" si="330"/>
        <v>12673.5</v>
      </c>
      <c r="AD342">
        <f t="shared" si="331"/>
        <v>0</v>
      </c>
      <c r="AE342">
        <f t="shared" si="332"/>
        <v>0</v>
      </c>
      <c r="AF342">
        <f t="shared" si="333"/>
        <v>0</v>
      </c>
      <c r="AG342">
        <f t="shared" si="334"/>
        <v>0</v>
      </c>
      <c r="AH342">
        <f t="shared" si="335"/>
        <v>0</v>
      </c>
      <c r="AI342">
        <f t="shared" si="336"/>
        <v>0</v>
      </c>
      <c r="AJ342">
        <f t="shared" si="337"/>
        <v>0</v>
      </c>
      <c r="AK342">
        <v>12673.5</v>
      </c>
      <c r="AL342">
        <v>12673.5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70</v>
      </c>
      <c r="AU342">
        <v>10</v>
      </c>
      <c r="AV342">
        <v>1</v>
      </c>
      <c r="AW342">
        <v>1</v>
      </c>
      <c r="AZ342">
        <v>1</v>
      </c>
      <c r="BA342">
        <v>1</v>
      </c>
      <c r="BB342">
        <v>1</v>
      </c>
      <c r="BC342">
        <v>1</v>
      </c>
      <c r="BD342" t="s">
        <v>3</v>
      </c>
      <c r="BE342" t="s">
        <v>3</v>
      </c>
      <c r="BF342" t="s">
        <v>3</v>
      </c>
      <c r="BG342" t="s">
        <v>3</v>
      </c>
      <c r="BH342">
        <v>3</v>
      </c>
      <c r="BI342">
        <v>4</v>
      </c>
      <c r="BJ342" t="s">
        <v>3</v>
      </c>
      <c r="BM342">
        <v>0</v>
      </c>
      <c r="BN342">
        <v>0</v>
      </c>
      <c r="BO342" t="s">
        <v>3</v>
      </c>
      <c r="BP342">
        <v>0</v>
      </c>
      <c r="BQ342">
        <v>1</v>
      </c>
      <c r="BR342">
        <v>0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 t="s">
        <v>3</v>
      </c>
      <c r="BZ342">
        <v>70</v>
      </c>
      <c r="CA342">
        <v>10</v>
      </c>
      <c r="CB342" t="s">
        <v>3</v>
      </c>
      <c r="CE342">
        <v>0</v>
      </c>
      <c r="CF342">
        <v>0</v>
      </c>
      <c r="CG342">
        <v>0</v>
      </c>
      <c r="CM342">
        <v>0</v>
      </c>
      <c r="CN342" t="s">
        <v>3</v>
      </c>
      <c r="CO342">
        <v>0</v>
      </c>
      <c r="CP342">
        <f t="shared" si="338"/>
        <v>38020.5</v>
      </c>
      <c r="CQ342">
        <f t="shared" si="339"/>
        <v>12673.5</v>
      </c>
      <c r="CR342">
        <f t="shared" si="340"/>
        <v>0</v>
      </c>
      <c r="CS342">
        <f t="shared" si="341"/>
        <v>0</v>
      </c>
      <c r="CT342">
        <f t="shared" si="342"/>
        <v>0</v>
      </c>
      <c r="CU342">
        <f t="shared" si="343"/>
        <v>0</v>
      </c>
      <c r="CV342">
        <f t="shared" si="344"/>
        <v>0</v>
      </c>
      <c r="CW342">
        <f t="shared" si="345"/>
        <v>0</v>
      </c>
      <c r="CX342">
        <f t="shared" si="346"/>
        <v>0</v>
      </c>
      <c r="CY342">
        <f t="shared" si="347"/>
        <v>0</v>
      </c>
      <c r="CZ342">
        <f t="shared" si="348"/>
        <v>0</v>
      </c>
      <c r="DC342" t="s">
        <v>3</v>
      </c>
      <c r="DD342" t="s">
        <v>3</v>
      </c>
      <c r="DE342" t="s">
        <v>3</v>
      </c>
      <c r="DF342" t="s">
        <v>3</v>
      </c>
      <c r="DG342" t="s">
        <v>3</v>
      </c>
      <c r="DH342" t="s">
        <v>3</v>
      </c>
      <c r="DI342" t="s">
        <v>3</v>
      </c>
      <c r="DJ342" t="s">
        <v>3</v>
      </c>
      <c r="DK342" t="s">
        <v>3</v>
      </c>
      <c r="DL342" t="s">
        <v>3</v>
      </c>
      <c r="DM342" t="s">
        <v>3</v>
      </c>
      <c r="DN342">
        <v>0</v>
      </c>
      <c r="DO342">
        <v>0</v>
      </c>
      <c r="DP342">
        <v>1</v>
      </c>
      <c r="DQ342">
        <v>1</v>
      </c>
      <c r="DU342">
        <v>1010</v>
      </c>
      <c r="DV342" t="s">
        <v>51</v>
      </c>
      <c r="DW342" t="s">
        <v>51</v>
      </c>
      <c r="DX342">
        <v>1</v>
      </c>
      <c r="DZ342" t="s">
        <v>3</v>
      </c>
      <c r="EA342" t="s">
        <v>3</v>
      </c>
      <c r="EB342" t="s">
        <v>3</v>
      </c>
      <c r="EC342" t="s">
        <v>3</v>
      </c>
      <c r="EE342">
        <v>71753531</v>
      </c>
      <c r="EF342">
        <v>1</v>
      </c>
      <c r="EG342" t="s">
        <v>22</v>
      </c>
      <c r="EH342">
        <v>0</v>
      </c>
      <c r="EI342" t="s">
        <v>3</v>
      </c>
      <c r="EJ342">
        <v>4</v>
      </c>
      <c r="EK342">
        <v>0</v>
      </c>
      <c r="EL342" t="s">
        <v>23</v>
      </c>
      <c r="EM342" t="s">
        <v>24</v>
      </c>
      <c r="EO342" t="s">
        <v>3</v>
      </c>
      <c r="EQ342">
        <v>0</v>
      </c>
      <c r="ER342">
        <v>12673.5</v>
      </c>
      <c r="ES342">
        <v>12673.5</v>
      </c>
      <c r="ET342">
        <v>0</v>
      </c>
      <c r="EU342">
        <v>0</v>
      </c>
      <c r="EV342">
        <v>0</v>
      </c>
      <c r="EW342">
        <v>0</v>
      </c>
      <c r="EX342">
        <v>0</v>
      </c>
      <c r="FQ342">
        <v>0</v>
      </c>
      <c r="FR342">
        <f t="shared" si="349"/>
        <v>0</v>
      </c>
      <c r="FS342">
        <v>0</v>
      </c>
      <c r="FX342">
        <v>70</v>
      </c>
      <c r="FY342">
        <v>10</v>
      </c>
      <c r="GA342" t="s">
        <v>3</v>
      </c>
      <c r="GD342">
        <v>0</v>
      </c>
      <c r="GF342">
        <v>195406401</v>
      </c>
      <c r="GG342">
        <v>2</v>
      </c>
      <c r="GH342">
        <v>0</v>
      </c>
      <c r="GI342">
        <v>-2</v>
      </c>
      <c r="GJ342">
        <v>0</v>
      </c>
      <c r="GK342">
        <f>ROUND(R342*(R12)/100,2)</f>
        <v>0</v>
      </c>
      <c r="GL342">
        <f t="shared" si="350"/>
        <v>0</v>
      </c>
      <c r="GM342">
        <f t="shared" si="351"/>
        <v>38020.5</v>
      </c>
      <c r="GN342">
        <f t="shared" si="352"/>
        <v>0</v>
      </c>
      <c r="GO342">
        <f t="shared" si="353"/>
        <v>0</v>
      </c>
      <c r="GP342">
        <f t="shared" si="354"/>
        <v>38020.5</v>
      </c>
      <c r="GR342">
        <v>0</v>
      </c>
      <c r="GS342">
        <v>0</v>
      </c>
      <c r="GT342">
        <v>0</v>
      </c>
      <c r="GU342" t="s">
        <v>3</v>
      </c>
      <c r="GV342">
        <f t="shared" si="355"/>
        <v>0</v>
      </c>
      <c r="GW342">
        <v>1</v>
      </c>
      <c r="GX342">
        <f t="shared" si="356"/>
        <v>0</v>
      </c>
      <c r="HA342">
        <v>0</v>
      </c>
      <c r="HB342">
        <v>0</v>
      </c>
      <c r="HC342">
        <f t="shared" si="357"/>
        <v>0</v>
      </c>
      <c r="HE342" t="s">
        <v>3</v>
      </c>
      <c r="HF342" t="s">
        <v>3</v>
      </c>
      <c r="HM342" t="s">
        <v>3</v>
      </c>
      <c r="HN342" t="s">
        <v>3</v>
      </c>
      <c r="HO342" t="s">
        <v>3</v>
      </c>
      <c r="HP342" t="s">
        <v>3</v>
      </c>
      <c r="HQ342" t="s">
        <v>3</v>
      </c>
      <c r="IK342">
        <v>0</v>
      </c>
    </row>
    <row r="343" spans="1:245" x14ac:dyDescent="0.2">
      <c r="A343">
        <v>18</v>
      </c>
      <c r="B343">
        <v>1</v>
      </c>
      <c r="E343" t="s">
        <v>314</v>
      </c>
      <c r="F343" t="s">
        <v>171</v>
      </c>
      <c r="G343" t="s">
        <v>172</v>
      </c>
      <c r="H343" t="s">
        <v>173</v>
      </c>
      <c r="I343">
        <f>I340*J343</f>
        <v>-1.73264</v>
      </c>
      <c r="J343">
        <v>-44.2</v>
      </c>
      <c r="K343">
        <v>-44.2</v>
      </c>
      <c r="O343">
        <f t="shared" si="318"/>
        <v>-228.38</v>
      </c>
      <c r="P343">
        <f t="shared" si="319"/>
        <v>-228.38</v>
      </c>
      <c r="Q343">
        <f t="shared" si="320"/>
        <v>0</v>
      </c>
      <c r="R343">
        <f t="shared" si="321"/>
        <v>0</v>
      </c>
      <c r="S343">
        <f t="shared" si="322"/>
        <v>0</v>
      </c>
      <c r="T343">
        <f t="shared" si="323"/>
        <v>0</v>
      </c>
      <c r="U343">
        <f t="shared" si="324"/>
        <v>0</v>
      </c>
      <c r="V343">
        <f t="shared" si="325"/>
        <v>0</v>
      </c>
      <c r="W343">
        <f t="shared" si="326"/>
        <v>0</v>
      </c>
      <c r="X343">
        <f t="shared" si="327"/>
        <v>0</v>
      </c>
      <c r="Y343">
        <f t="shared" si="328"/>
        <v>0</v>
      </c>
      <c r="AA343">
        <v>72192302</v>
      </c>
      <c r="AB343">
        <f t="shared" si="329"/>
        <v>131.81</v>
      </c>
      <c r="AC343">
        <f t="shared" si="330"/>
        <v>131.81</v>
      </c>
      <c r="AD343">
        <f t="shared" si="331"/>
        <v>0</v>
      </c>
      <c r="AE343">
        <f t="shared" si="332"/>
        <v>0</v>
      </c>
      <c r="AF343">
        <f t="shared" si="333"/>
        <v>0</v>
      </c>
      <c r="AG343">
        <f t="shared" si="334"/>
        <v>0</v>
      </c>
      <c r="AH343">
        <f t="shared" si="335"/>
        <v>0</v>
      </c>
      <c r="AI343">
        <f t="shared" si="336"/>
        <v>0</v>
      </c>
      <c r="AJ343">
        <f t="shared" si="337"/>
        <v>0</v>
      </c>
      <c r="AK343">
        <v>131.81</v>
      </c>
      <c r="AL343">
        <v>131.81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70</v>
      </c>
      <c r="AU343">
        <v>10</v>
      </c>
      <c r="AV343">
        <v>1</v>
      </c>
      <c r="AW343">
        <v>1</v>
      </c>
      <c r="AZ343">
        <v>1</v>
      </c>
      <c r="BA343">
        <v>1</v>
      </c>
      <c r="BB343">
        <v>1</v>
      </c>
      <c r="BC343">
        <v>1</v>
      </c>
      <c r="BD343" t="s">
        <v>3</v>
      </c>
      <c r="BE343" t="s">
        <v>3</v>
      </c>
      <c r="BF343" t="s">
        <v>3</v>
      </c>
      <c r="BG343" t="s">
        <v>3</v>
      </c>
      <c r="BH343">
        <v>3</v>
      </c>
      <c r="BI343">
        <v>4</v>
      </c>
      <c r="BJ343" t="s">
        <v>174</v>
      </c>
      <c r="BM343">
        <v>0</v>
      </c>
      <c r="BN343">
        <v>0</v>
      </c>
      <c r="BO343" t="s">
        <v>3</v>
      </c>
      <c r="BP343">
        <v>0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 t="s">
        <v>3</v>
      </c>
      <c r="BZ343">
        <v>70</v>
      </c>
      <c r="CA343">
        <v>10</v>
      </c>
      <c r="CB343" t="s">
        <v>3</v>
      </c>
      <c r="CE343">
        <v>0</v>
      </c>
      <c r="CF343">
        <v>0</v>
      </c>
      <c r="CG343">
        <v>0</v>
      </c>
      <c r="CM343">
        <v>0</v>
      </c>
      <c r="CN343" t="s">
        <v>3</v>
      </c>
      <c r="CO343">
        <v>0</v>
      </c>
      <c r="CP343">
        <f t="shared" si="338"/>
        <v>-228.38</v>
      </c>
      <c r="CQ343">
        <f t="shared" si="339"/>
        <v>131.81</v>
      </c>
      <c r="CR343">
        <f t="shared" si="340"/>
        <v>0</v>
      </c>
      <c r="CS343">
        <f t="shared" si="341"/>
        <v>0</v>
      </c>
      <c r="CT343">
        <f t="shared" si="342"/>
        <v>0</v>
      </c>
      <c r="CU343">
        <f t="shared" si="343"/>
        <v>0</v>
      </c>
      <c r="CV343">
        <f t="shared" si="344"/>
        <v>0</v>
      </c>
      <c r="CW343">
        <f t="shared" si="345"/>
        <v>0</v>
      </c>
      <c r="CX343">
        <f t="shared" si="346"/>
        <v>0</v>
      </c>
      <c r="CY343">
        <f t="shared" si="347"/>
        <v>0</v>
      </c>
      <c r="CZ343">
        <f t="shared" si="348"/>
        <v>0</v>
      </c>
      <c r="DC343" t="s">
        <v>3</v>
      </c>
      <c r="DD343" t="s">
        <v>3</v>
      </c>
      <c r="DE343" t="s">
        <v>3</v>
      </c>
      <c r="DF343" t="s">
        <v>3</v>
      </c>
      <c r="DG343" t="s">
        <v>3</v>
      </c>
      <c r="DH343" t="s">
        <v>3</v>
      </c>
      <c r="DI343" t="s">
        <v>3</v>
      </c>
      <c r="DJ343" t="s">
        <v>3</v>
      </c>
      <c r="DK343" t="s">
        <v>3</v>
      </c>
      <c r="DL343" t="s">
        <v>3</v>
      </c>
      <c r="DM343" t="s">
        <v>3</v>
      </c>
      <c r="DN343">
        <v>0</v>
      </c>
      <c r="DO343">
        <v>0</v>
      </c>
      <c r="DP343">
        <v>1</v>
      </c>
      <c r="DQ343">
        <v>1</v>
      </c>
      <c r="DU343">
        <v>1013</v>
      </c>
      <c r="DV343" t="s">
        <v>173</v>
      </c>
      <c r="DW343" t="s">
        <v>173</v>
      </c>
      <c r="DX343">
        <v>1</v>
      </c>
      <c r="DZ343" t="s">
        <v>3</v>
      </c>
      <c r="EA343" t="s">
        <v>3</v>
      </c>
      <c r="EB343" t="s">
        <v>3</v>
      </c>
      <c r="EC343" t="s">
        <v>3</v>
      </c>
      <c r="EE343">
        <v>71753531</v>
      </c>
      <c r="EF343">
        <v>1</v>
      </c>
      <c r="EG343" t="s">
        <v>22</v>
      </c>
      <c r="EH343">
        <v>0</v>
      </c>
      <c r="EI343" t="s">
        <v>3</v>
      </c>
      <c r="EJ343">
        <v>4</v>
      </c>
      <c r="EK343">
        <v>0</v>
      </c>
      <c r="EL343" t="s">
        <v>23</v>
      </c>
      <c r="EM343" t="s">
        <v>24</v>
      </c>
      <c r="EO343" t="s">
        <v>3</v>
      </c>
      <c r="EQ343">
        <v>32768</v>
      </c>
      <c r="ER343">
        <v>131.81</v>
      </c>
      <c r="ES343">
        <v>131.81</v>
      </c>
      <c r="ET343">
        <v>0</v>
      </c>
      <c r="EU343">
        <v>0</v>
      </c>
      <c r="EV343">
        <v>0</v>
      </c>
      <c r="EW343">
        <v>0</v>
      </c>
      <c r="EX343">
        <v>0</v>
      </c>
      <c r="FQ343">
        <v>0</v>
      </c>
      <c r="FR343">
        <f t="shared" si="349"/>
        <v>0</v>
      </c>
      <c r="FS343">
        <v>0</v>
      </c>
      <c r="FX343">
        <v>70</v>
      </c>
      <c r="FY343">
        <v>10</v>
      </c>
      <c r="GA343" t="s">
        <v>3</v>
      </c>
      <c r="GD343">
        <v>0</v>
      </c>
      <c r="GF343">
        <v>1263435074</v>
      </c>
      <c r="GG343">
        <v>2</v>
      </c>
      <c r="GH343">
        <v>1</v>
      </c>
      <c r="GI343">
        <v>-2</v>
      </c>
      <c r="GJ343">
        <v>0</v>
      </c>
      <c r="GK343">
        <f>ROUND(R343*(R12)/100,2)</f>
        <v>0</v>
      </c>
      <c r="GL343">
        <f t="shared" si="350"/>
        <v>0</v>
      </c>
      <c r="GM343">
        <f t="shared" si="351"/>
        <v>-228.38</v>
      </c>
      <c r="GN343">
        <f t="shared" si="352"/>
        <v>0</v>
      </c>
      <c r="GO343">
        <f t="shared" si="353"/>
        <v>0</v>
      </c>
      <c r="GP343">
        <f t="shared" si="354"/>
        <v>-228.38</v>
      </c>
      <c r="GR343">
        <v>0</v>
      </c>
      <c r="GS343">
        <v>3</v>
      </c>
      <c r="GT343">
        <v>0</v>
      </c>
      <c r="GU343" t="s">
        <v>3</v>
      </c>
      <c r="GV343">
        <f t="shared" si="355"/>
        <v>0</v>
      </c>
      <c r="GW343">
        <v>1</v>
      </c>
      <c r="GX343">
        <f t="shared" si="356"/>
        <v>0</v>
      </c>
      <c r="HA343">
        <v>0</v>
      </c>
      <c r="HB343">
        <v>0</v>
      </c>
      <c r="HC343">
        <f t="shared" si="357"/>
        <v>0</v>
      </c>
      <c r="HE343" t="s">
        <v>3</v>
      </c>
      <c r="HF343" t="s">
        <v>3</v>
      </c>
      <c r="HM343" t="s">
        <v>3</v>
      </c>
      <c r="HN343" t="s">
        <v>3</v>
      </c>
      <c r="HO343" t="s">
        <v>3</v>
      </c>
      <c r="HP343" t="s">
        <v>3</v>
      </c>
      <c r="HQ343" t="s">
        <v>3</v>
      </c>
      <c r="IK343">
        <v>0</v>
      </c>
    </row>
    <row r="344" spans="1:245" x14ac:dyDescent="0.2">
      <c r="A344">
        <v>18</v>
      </c>
      <c r="B344">
        <v>1</v>
      </c>
      <c r="E344" t="s">
        <v>315</v>
      </c>
      <c r="F344" t="s">
        <v>176</v>
      </c>
      <c r="G344" t="s">
        <v>177</v>
      </c>
      <c r="H344" t="s">
        <v>51</v>
      </c>
      <c r="I344">
        <f>I340*J344</f>
        <v>6</v>
      </c>
      <c r="J344">
        <v>153.06122448979593</v>
      </c>
      <c r="K344">
        <v>153.06122400000001</v>
      </c>
      <c r="O344">
        <f t="shared" si="318"/>
        <v>307.38</v>
      </c>
      <c r="P344">
        <f t="shared" si="319"/>
        <v>307.38</v>
      </c>
      <c r="Q344">
        <f t="shared" si="320"/>
        <v>0</v>
      </c>
      <c r="R344">
        <f t="shared" si="321"/>
        <v>0</v>
      </c>
      <c r="S344">
        <f t="shared" si="322"/>
        <v>0</v>
      </c>
      <c r="T344">
        <f t="shared" si="323"/>
        <v>0</v>
      </c>
      <c r="U344">
        <f t="shared" si="324"/>
        <v>0</v>
      </c>
      <c r="V344">
        <f t="shared" si="325"/>
        <v>0</v>
      </c>
      <c r="W344">
        <f t="shared" si="326"/>
        <v>0</v>
      </c>
      <c r="X344">
        <f t="shared" si="327"/>
        <v>0</v>
      </c>
      <c r="Y344">
        <f t="shared" si="328"/>
        <v>0</v>
      </c>
      <c r="AA344">
        <v>72192302</v>
      </c>
      <c r="AB344">
        <f t="shared" si="329"/>
        <v>51.23</v>
      </c>
      <c r="AC344">
        <f t="shared" si="330"/>
        <v>51.23</v>
      </c>
      <c r="AD344">
        <f t="shared" si="331"/>
        <v>0</v>
      </c>
      <c r="AE344">
        <f t="shared" si="332"/>
        <v>0</v>
      </c>
      <c r="AF344">
        <f t="shared" si="333"/>
        <v>0</v>
      </c>
      <c r="AG344">
        <f t="shared" si="334"/>
        <v>0</v>
      </c>
      <c r="AH344">
        <f t="shared" si="335"/>
        <v>0</v>
      </c>
      <c r="AI344">
        <f t="shared" si="336"/>
        <v>0</v>
      </c>
      <c r="AJ344">
        <f t="shared" si="337"/>
        <v>0</v>
      </c>
      <c r="AK344">
        <v>51.23</v>
      </c>
      <c r="AL344">
        <v>51.23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70</v>
      </c>
      <c r="AU344">
        <v>10</v>
      </c>
      <c r="AV344">
        <v>1</v>
      </c>
      <c r="AW344">
        <v>1</v>
      </c>
      <c r="AZ344">
        <v>1</v>
      </c>
      <c r="BA344">
        <v>1</v>
      </c>
      <c r="BB344">
        <v>1</v>
      </c>
      <c r="BC344">
        <v>1</v>
      </c>
      <c r="BD344" t="s">
        <v>3</v>
      </c>
      <c r="BE344" t="s">
        <v>3</v>
      </c>
      <c r="BF344" t="s">
        <v>3</v>
      </c>
      <c r="BG344" t="s">
        <v>3</v>
      </c>
      <c r="BH344">
        <v>3</v>
      </c>
      <c r="BI344">
        <v>4</v>
      </c>
      <c r="BJ344" t="s">
        <v>178</v>
      </c>
      <c r="BM344">
        <v>0</v>
      </c>
      <c r="BN344">
        <v>0</v>
      </c>
      <c r="BO344" t="s">
        <v>3</v>
      </c>
      <c r="BP344">
        <v>0</v>
      </c>
      <c r="BQ344">
        <v>1</v>
      </c>
      <c r="BR344">
        <v>0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 t="s">
        <v>3</v>
      </c>
      <c r="BZ344">
        <v>70</v>
      </c>
      <c r="CA344">
        <v>10</v>
      </c>
      <c r="CB344" t="s">
        <v>3</v>
      </c>
      <c r="CE344">
        <v>0</v>
      </c>
      <c r="CF344">
        <v>0</v>
      </c>
      <c r="CG344">
        <v>0</v>
      </c>
      <c r="CM344">
        <v>0</v>
      </c>
      <c r="CN344" t="s">
        <v>3</v>
      </c>
      <c r="CO344">
        <v>0</v>
      </c>
      <c r="CP344">
        <f t="shared" si="338"/>
        <v>307.38</v>
      </c>
      <c r="CQ344">
        <f t="shared" si="339"/>
        <v>51.23</v>
      </c>
      <c r="CR344">
        <f t="shared" si="340"/>
        <v>0</v>
      </c>
      <c r="CS344">
        <f t="shared" si="341"/>
        <v>0</v>
      </c>
      <c r="CT344">
        <f t="shared" si="342"/>
        <v>0</v>
      </c>
      <c r="CU344">
        <f t="shared" si="343"/>
        <v>0</v>
      </c>
      <c r="CV344">
        <f t="shared" si="344"/>
        <v>0</v>
      </c>
      <c r="CW344">
        <f t="shared" si="345"/>
        <v>0</v>
      </c>
      <c r="CX344">
        <f t="shared" si="346"/>
        <v>0</v>
      </c>
      <c r="CY344">
        <f t="shared" si="347"/>
        <v>0</v>
      </c>
      <c r="CZ344">
        <f t="shared" si="348"/>
        <v>0</v>
      </c>
      <c r="DC344" t="s">
        <v>3</v>
      </c>
      <c r="DD344" t="s">
        <v>3</v>
      </c>
      <c r="DE344" t="s">
        <v>3</v>
      </c>
      <c r="DF344" t="s">
        <v>3</v>
      </c>
      <c r="DG344" t="s">
        <v>3</v>
      </c>
      <c r="DH344" t="s">
        <v>3</v>
      </c>
      <c r="DI344" t="s">
        <v>3</v>
      </c>
      <c r="DJ344" t="s">
        <v>3</v>
      </c>
      <c r="DK344" t="s">
        <v>3</v>
      </c>
      <c r="DL344" t="s">
        <v>3</v>
      </c>
      <c r="DM344" t="s">
        <v>3</v>
      </c>
      <c r="DN344">
        <v>0</v>
      </c>
      <c r="DO344">
        <v>0</v>
      </c>
      <c r="DP344">
        <v>1</v>
      </c>
      <c r="DQ344">
        <v>1</v>
      </c>
      <c r="DU344">
        <v>1010</v>
      </c>
      <c r="DV344" t="s">
        <v>51</v>
      </c>
      <c r="DW344" t="s">
        <v>51</v>
      </c>
      <c r="DX344">
        <v>1</v>
      </c>
      <c r="DZ344" t="s">
        <v>3</v>
      </c>
      <c r="EA344" t="s">
        <v>3</v>
      </c>
      <c r="EB344" t="s">
        <v>3</v>
      </c>
      <c r="EC344" t="s">
        <v>3</v>
      </c>
      <c r="EE344">
        <v>71753531</v>
      </c>
      <c r="EF344">
        <v>1</v>
      </c>
      <c r="EG344" t="s">
        <v>22</v>
      </c>
      <c r="EH344">
        <v>0</v>
      </c>
      <c r="EI344" t="s">
        <v>3</v>
      </c>
      <c r="EJ344">
        <v>4</v>
      </c>
      <c r="EK344">
        <v>0</v>
      </c>
      <c r="EL344" t="s">
        <v>23</v>
      </c>
      <c r="EM344" t="s">
        <v>24</v>
      </c>
      <c r="EO344" t="s">
        <v>3</v>
      </c>
      <c r="EQ344">
        <v>0</v>
      </c>
      <c r="ER344">
        <v>51.23</v>
      </c>
      <c r="ES344">
        <v>51.23</v>
      </c>
      <c r="ET344">
        <v>0</v>
      </c>
      <c r="EU344">
        <v>0</v>
      </c>
      <c r="EV344">
        <v>0</v>
      </c>
      <c r="EW344">
        <v>0</v>
      </c>
      <c r="EX344">
        <v>0</v>
      </c>
      <c r="FQ344">
        <v>0</v>
      </c>
      <c r="FR344">
        <f t="shared" si="349"/>
        <v>0</v>
      </c>
      <c r="FS344">
        <v>0</v>
      </c>
      <c r="FX344">
        <v>70</v>
      </c>
      <c r="FY344">
        <v>10</v>
      </c>
      <c r="GA344" t="s">
        <v>3</v>
      </c>
      <c r="GD344">
        <v>0</v>
      </c>
      <c r="GF344">
        <v>140294319</v>
      </c>
      <c r="GG344">
        <v>2</v>
      </c>
      <c r="GH344">
        <v>1</v>
      </c>
      <c r="GI344">
        <v>-2</v>
      </c>
      <c r="GJ344">
        <v>0</v>
      </c>
      <c r="GK344">
        <f>ROUND(R344*(R12)/100,2)</f>
        <v>0</v>
      </c>
      <c r="GL344">
        <f t="shared" si="350"/>
        <v>0</v>
      </c>
      <c r="GM344">
        <f t="shared" si="351"/>
        <v>307.38</v>
      </c>
      <c r="GN344">
        <f t="shared" si="352"/>
        <v>0</v>
      </c>
      <c r="GO344">
        <f t="shared" si="353"/>
        <v>0</v>
      </c>
      <c r="GP344">
        <f t="shared" si="354"/>
        <v>307.38</v>
      </c>
      <c r="GR344">
        <v>0</v>
      </c>
      <c r="GS344">
        <v>3</v>
      </c>
      <c r="GT344">
        <v>0</v>
      </c>
      <c r="GU344" t="s">
        <v>3</v>
      </c>
      <c r="GV344">
        <f t="shared" si="355"/>
        <v>0</v>
      </c>
      <c r="GW344">
        <v>1</v>
      </c>
      <c r="GX344">
        <f t="shared" si="356"/>
        <v>0</v>
      </c>
      <c r="HA344">
        <v>0</v>
      </c>
      <c r="HB344">
        <v>0</v>
      </c>
      <c r="HC344">
        <f t="shared" si="357"/>
        <v>0</v>
      </c>
      <c r="HE344" t="s">
        <v>3</v>
      </c>
      <c r="HF344" t="s">
        <v>3</v>
      </c>
      <c r="HM344" t="s">
        <v>3</v>
      </c>
      <c r="HN344" t="s">
        <v>3</v>
      </c>
      <c r="HO344" t="s">
        <v>3</v>
      </c>
      <c r="HP344" t="s">
        <v>3</v>
      </c>
      <c r="HQ344" t="s">
        <v>3</v>
      </c>
      <c r="IK344">
        <v>0</v>
      </c>
    </row>
    <row r="345" spans="1:245" x14ac:dyDescent="0.2">
      <c r="A345">
        <v>17</v>
      </c>
      <c r="B345">
        <v>1</v>
      </c>
      <c r="D345">
        <f>ROW(EtalonRes!A231)</f>
        <v>231</v>
      </c>
      <c r="E345" t="s">
        <v>316</v>
      </c>
      <c r="F345" t="s">
        <v>188</v>
      </c>
      <c r="G345" t="s">
        <v>189</v>
      </c>
      <c r="H345" t="s">
        <v>20</v>
      </c>
      <c r="I345">
        <v>0.15</v>
      </c>
      <c r="J345">
        <v>0</v>
      </c>
      <c r="K345">
        <v>0.15</v>
      </c>
      <c r="O345">
        <f t="shared" si="318"/>
        <v>6861.3</v>
      </c>
      <c r="P345">
        <f t="shared" si="319"/>
        <v>5159.93</v>
      </c>
      <c r="Q345">
        <f t="shared" si="320"/>
        <v>1.18</v>
      </c>
      <c r="R345">
        <f t="shared" si="321"/>
        <v>0.03</v>
      </c>
      <c r="S345">
        <f t="shared" si="322"/>
        <v>1700.19</v>
      </c>
      <c r="T345">
        <f t="shared" si="323"/>
        <v>0</v>
      </c>
      <c r="U345">
        <f t="shared" si="324"/>
        <v>5.1239999999999997</v>
      </c>
      <c r="V345">
        <f t="shared" si="325"/>
        <v>0</v>
      </c>
      <c r="W345">
        <f t="shared" si="326"/>
        <v>0</v>
      </c>
      <c r="X345">
        <f t="shared" si="327"/>
        <v>1190.1300000000001</v>
      </c>
      <c r="Y345">
        <f t="shared" si="328"/>
        <v>170.02</v>
      </c>
      <c r="AA345">
        <v>72192302</v>
      </c>
      <c r="AB345">
        <f t="shared" si="329"/>
        <v>45741.99</v>
      </c>
      <c r="AC345">
        <f t="shared" si="330"/>
        <v>34399.51</v>
      </c>
      <c r="AD345">
        <f t="shared" si="331"/>
        <v>7.85</v>
      </c>
      <c r="AE345">
        <f t="shared" si="332"/>
        <v>0.22</v>
      </c>
      <c r="AF345">
        <f t="shared" si="333"/>
        <v>11334.63</v>
      </c>
      <c r="AG345">
        <f t="shared" si="334"/>
        <v>0</v>
      </c>
      <c r="AH345">
        <f t="shared" si="335"/>
        <v>34.159999999999997</v>
      </c>
      <c r="AI345">
        <f t="shared" si="336"/>
        <v>0</v>
      </c>
      <c r="AJ345">
        <f t="shared" si="337"/>
        <v>0</v>
      </c>
      <c r="AK345">
        <v>45741.99</v>
      </c>
      <c r="AL345">
        <v>34399.51</v>
      </c>
      <c r="AM345">
        <v>7.85</v>
      </c>
      <c r="AN345">
        <v>0.22</v>
      </c>
      <c r="AO345">
        <v>11334.63</v>
      </c>
      <c r="AP345">
        <v>0</v>
      </c>
      <c r="AQ345">
        <v>34.159999999999997</v>
      </c>
      <c r="AR345">
        <v>0</v>
      </c>
      <c r="AS345">
        <v>0</v>
      </c>
      <c r="AT345">
        <v>70</v>
      </c>
      <c r="AU345">
        <v>10</v>
      </c>
      <c r="AV345">
        <v>1</v>
      </c>
      <c r="AW345">
        <v>1</v>
      </c>
      <c r="AZ345">
        <v>1</v>
      </c>
      <c r="BA345">
        <v>1</v>
      </c>
      <c r="BB345">
        <v>1</v>
      </c>
      <c r="BC345">
        <v>1</v>
      </c>
      <c r="BD345" t="s">
        <v>3</v>
      </c>
      <c r="BE345" t="s">
        <v>3</v>
      </c>
      <c r="BF345" t="s">
        <v>3</v>
      </c>
      <c r="BG345" t="s">
        <v>3</v>
      </c>
      <c r="BH345">
        <v>0</v>
      </c>
      <c r="BI345">
        <v>4</v>
      </c>
      <c r="BJ345" t="s">
        <v>190</v>
      </c>
      <c r="BM345">
        <v>0</v>
      </c>
      <c r="BN345">
        <v>0</v>
      </c>
      <c r="BO345" t="s">
        <v>3</v>
      </c>
      <c r="BP345">
        <v>0</v>
      </c>
      <c r="BQ345">
        <v>1</v>
      </c>
      <c r="BR345">
        <v>0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 t="s">
        <v>3</v>
      </c>
      <c r="BZ345">
        <v>70</v>
      </c>
      <c r="CA345">
        <v>10</v>
      </c>
      <c r="CB345" t="s">
        <v>3</v>
      </c>
      <c r="CE345">
        <v>0</v>
      </c>
      <c r="CF345">
        <v>0</v>
      </c>
      <c r="CG345">
        <v>0</v>
      </c>
      <c r="CM345">
        <v>0</v>
      </c>
      <c r="CN345" t="s">
        <v>3</v>
      </c>
      <c r="CO345">
        <v>0</v>
      </c>
      <c r="CP345">
        <f t="shared" si="338"/>
        <v>6861.3000000000011</v>
      </c>
      <c r="CQ345">
        <f t="shared" si="339"/>
        <v>34399.51</v>
      </c>
      <c r="CR345">
        <f t="shared" si="340"/>
        <v>7.85</v>
      </c>
      <c r="CS345">
        <f t="shared" si="341"/>
        <v>0.22</v>
      </c>
      <c r="CT345">
        <f t="shared" si="342"/>
        <v>11334.63</v>
      </c>
      <c r="CU345">
        <f t="shared" si="343"/>
        <v>0</v>
      </c>
      <c r="CV345">
        <f t="shared" si="344"/>
        <v>34.159999999999997</v>
      </c>
      <c r="CW345">
        <f t="shared" si="345"/>
        <v>0</v>
      </c>
      <c r="CX345">
        <f t="shared" si="346"/>
        <v>0</v>
      </c>
      <c r="CY345">
        <f t="shared" si="347"/>
        <v>1190.133</v>
      </c>
      <c r="CZ345">
        <f t="shared" si="348"/>
        <v>170.01900000000001</v>
      </c>
      <c r="DC345" t="s">
        <v>3</v>
      </c>
      <c r="DD345" t="s">
        <v>3</v>
      </c>
      <c r="DE345" t="s">
        <v>3</v>
      </c>
      <c r="DF345" t="s">
        <v>3</v>
      </c>
      <c r="DG345" t="s">
        <v>3</v>
      </c>
      <c r="DH345" t="s">
        <v>3</v>
      </c>
      <c r="DI345" t="s">
        <v>3</v>
      </c>
      <c r="DJ345" t="s">
        <v>3</v>
      </c>
      <c r="DK345" t="s">
        <v>3</v>
      </c>
      <c r="DL345" t="s">
        <v>3</v>
      </c>
      <c r="DM345" t="s">
        <v>3</v>
      </c>
      <c r="DN345">
        <v>0</v>
      </c>
      <c r="DO345">
        <v>0</v>
      </c>
      <c r="DP345">
        <v>1</v>
      </c>
      <c r="DQ345">
        <v>1</v>
      </c>
      <c r="DU345">
        <v>1003</v>
      </c>
      <c r="DV345" t="s">
        <v>20</v>
      </c>
      <c r="DW345" t="s">
        <v>20</v>
      </c>
      <c r="DX345">
        <v>100</v>
      </c>
      <c r="DZ345" t="s">
        <v>3</v>
      </c>
      <c r="EA345" t="s">
        <v>3</v>
      </c>
      <c r="EB345" t="s">
        <v>3</v>
      </c>
      <c r="EC345" t="s">
        <v>3</v>
      </c>
      <c r="EE345">
        <v>71753531</v>
      </c>
      <c r="EF345">
        <v>1</v>
      </c>
      <c r="EG345" t="s">
        <v>22</v>
      </c>
      <c r="EH345">
        <v>0</v>
      </c>
      <c r="EI345" t="s">
        <v>3</v>
      </c>
      <c r="EJ345">
        <v>4</v>
      </c>
      <c r="EK345">
        <v>0</v>
      </c>
      <c r="EL345" t="s">
        <v>23</v>
      </c>
      <c r="EM345" t="s">
        <v>24</v>
      </c>
      <c r="EO345" t="s">
        <v>3</v>
      </c>
      <c r="EQ345">
        <v>0</v>
      </c>
      <c r="ER345">
        <v>45741.99</v>
      </c>
      <c r="ES345">
        <v>34399.51</v>
      </c>
      <c r="ET345">
        <v>7.85</v>
      </c>
      <c r="EU345">
        <v>0.22</v>
      </c>
      <c r="EV345">
        <v>11334.63</v>
      </c>
      <c r="EW345">
        <v>34.159999999999997</v>
      </c>
      <c r="EX345">
        <v>0</v>
      </c>
      <c r="EY345">
        <v>0</v>
      </c>
      <c r="FQ345">
        <v>0</v>
      </c>
      <c r="FR345">
        <f t="shared" si="349"/>
        <v>0</v>
      </c>
      <c r="FS345">
        <v>0</v>
      </c>
      <c r="FX345">
        <v>70</v>
      </c>
      <c r="FY345">
        <v>10</v>
      </c>
      <c r="GA345" t="s">
        <v>3</v>
      </c>
      <c r="GD345">
        <v>0</v>
      </c>
      <c r="GF345">
        <v>-1364804565</v>
      </c>
      <c r="GG345">
        <v>2</v>
      </c>
      <c r="GH345">
        <v>1</v>
      </c>
      <c r="GI345">
        <v>-2</v>
      </c>
      <c r="GJ345">
        <v>0</v>
      </c>
      <c r="GK345">
        <f>ROUND(R345*(R12)/100,2)</f>
        <v>0.03</v>
      </c>
      <c r="GL345">
        <f t="shared" si="350"/>
        <v>0</v>
      </c>
      <c r="GM345">
        <f t="shared" si="351"/>
        <v>8221.48</v>
      </c>
      <c r="GN345">
        <f t="shared" si="352"/>
        <v>0</v>
      </c>
      <c r="GO345">
        <f t="shared" si="353"/>
        <v>0</v>
      </c>
      <c r="GP345">
        <f t="shared" si="354"/>
        <v>8221.48</v>
      </c>
      <c r="GR345">
        <v>0</v>
      </c>
      <c r="GS345">
        <v>3</v>
      </c>
      <c r="GT345">
        <v>0</v>
      </c>
      <c r="GU345" t="s">
        <v>3</v>
      </c>
      <c r="GV345">
        <f t="shared" si="355"/>
        <v>0</v>
      </c>
      <c r="GW345">
        <v>1</v>
      </c>
      <c r="GX345">
        <f t="shared" si="356"/>
        <v>0</v>
      </c>
      <c r="HA345">
        <v>0</v>
      </c>
      <c r="HB345">
        <v>0</v>
      </c>
      <c r="HC345">
        <f t="shared" si="357"/>
        <v>0</v>
      </c>
      <c r="HE345" t="s">
        <v>3</v>
      </c>
      <c r="HF345" t="s">
        <v>3</v>
      </c>
      <c r="HM345" t="s">
        <v>3</v>
      </c>
      <c r="HN345" t="s">
        <v>3</v>
      </c>
      <c r="HO345" t="s">
        <v>3</v>
      </c>
      <c r="HP345" t="s">
        <v>3</v>
      </c>
      <c r="HQ345" t="s">
        <v>3</v>
      </c>
      <c r="IK345">
        <v>0</v>
      </c>
    </row>
    <row r="346" spans="1:245" x14ac:dyDescent="0.2">
      <c r="A346">
        <v>18</v>
      </c>
      <c r="B346">
        <v>1</v>
      </c>
      <c r="E346" t="s">
        <v>317</v>
      </c>
      <c r="F346" t="s">
        <v>192</v>
      </c>
      <c r="G346" t="s">
        <v>193</v>
      </c>
      <c r="H346" t="s">
        <v>38</v>
      </c>
      <c r="I346">
        <f>I345*J346</f>
        <v>2.0250000000000001E-2</v>
      </c>
      <c r="J346">
        <v>0.13500000000000001</v>
      </c>
      <c r="K346">
        <v>0.13500000000000001</v>
      </c>
      <c r="O346">
        <f t="shared" si="318"/>
        <v>1441.95</v>
      </c>
      <c r="P346">
        <f t="shared" si="319"/>
        <v>1441.95</v>
      </c>
      <c r="Q346">
        <f t="shared" si="320"/>
        <v>0</v>
      </c>
      <c r="R346">
        <f t="shared" si="321"/>
        <v>0</v>
      </c>
      <c r="S346">
        <f t="shared" si="322"/>
        <v>0</v>
      </c>
      <c r="T346">
        <f t="shared" si="323"/>
        <v>0</v>
      </c>
      <c r="U346">
        <f t="shared" si="324"/>
        <v>0</v>
      </c>
      <c r="V346">
        <f t="shared" si="325"/>
        <v>0</v>
      </c>
      <c r="W346">
        <f t="shared" si="326"/>
        <v>0</v>
      </c>
      <c r="X346">
        <f t="shared" si="327"/>
        <v>0</v>
      </c>
      <c r="Y346">
        <f t="shared" si="328"/>
        <v>0</v>
      </c>
      <c r="AA346">
        <v>72192302</v>
      </c>
      <c r="AB346">
        <f t="shared" si="329"/>
        <v>71207.520000000004</v>
      </c>
      <c r="AC346">
        <f t="shared" si="330"/>
        <v>71207.520000000004</v>
      </c>
      <c r="AD346">
        <f t="shared" si="331"/>
        <v>0</v>
      </c>
      <c r="AE346">
        <f t="shared" si="332"/>
        <v>0</v>
      </c>
      <c r="AF346">
        <f t="shared" si="333"/>
        <v>0</v>
      </c>
      <c r="AG346">
        <f t="shared" si="334"/>
        <v>0</v>
      </c>
      <c r="AH346">
        <f t="shared" si="335"/>
        <v>0</v>
      </c>
      <c r="AI346">
        <f t="shared" si="336"/>
        <v>0</v>
      </c>
      <c r="AJ346">
        <f t="shared" si="337"/>
        <v>0</v>
      </c>
      <c r="AK346">
        <v>71207.520000000004</v>
      </c>
      <c r="AL346">
        <v>71207.520000000004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70</v>
      </c>
      <c r="AU346">
        <v>10</v>
      </c>
      <c r="AV346">
        <v>1</v>
      </c>
      <c r="AW346">
        <v>1</v>
      </c>
      <c r="AZ346">
        <v>1</v>
      </c>
      <c r="BA346">
        <v>1</v>
      </c>
      <c r="BB346">
        <v>1</v>
      </c>
      <c r="BC346">
        <v>1</v>
      </c>
      <c r="BD346" t="s">
        <v>3</v>
      </c>
      <c r="BE346" t="s">
        <v>3</v>
      </c>
      <c r="BF346" t="s">
        <v>3</v>
      </c>
      <c r="BG346" t="s">
        <v>3</v>
      </c>
      <c r="BH346">
        <v>3</v>
      </c>
      <c r="BI346">
        <v>4</v>
      </c>
      <c r="BJ346" t="s">
        <v>194</v>
      </c>
      <c r="BM346">
        <v>0</v>
      </c>
      <c r="BN346">
        <v>0</v>
      </c>
      <c r="BO346" t="s">
        <v>3</v>
      </c>
      <c r="BP346">
        <v>0</v>
      </c>
      <c r="BQ346">
        <v>1</v>
      </c>
      <c r="BR346">
        <v>0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 t="s">
        <v>3</v>
      </c>
      <c r="BZ346">
        <v>70</v>
      </c>
      <c r="CA346">
        <v>10</v>
      </c>
      <c r="CB346" t="s">
        <v>3</v>
      </c>
      <c r="CE346">
        <v>0</v>
      </c>
      <c r="CF346">
        <v>0</v>
      </c>
      <c r="CG346">
        <v>0</v>
      </c>
      <c r="CM346">
        <v>0</v>
      </c>
      <c r="CN346" t="s">
        <v>3</v>
      </c>
      <c r="CO346">
        <v>0</v>
      </c>
      <c r="CP346">
        <f t="shared" si="338"/>
        <v>1441.95</v>
      </c>
      <c r="CQ346">
        <f t="shared" si="339"/>
        <v>71207.520000000004</v>
      </c>
      <c r="CR346">
        <f t="shared" si="340"/>
        <v>0</v>
      </c>
      <c r="CS346">
        <f t="shared" si="341"/>
        <v>0</v>
      </c>
      <c r="CT346">
        <f t="shared" si="342"/>
        <v>0</v>
      </c>
      <c r="CU346">
        <f t="shared" si="343"/>
        <v>0</v>
      </c>
      <c r="CV346">
        <f t="shared" si="344"/>
        <v>0</v>
      </c>
      <c r="CW346">
        <f t="shared" si="345"/>
        <v>0</v>
      </c>
      <c r="CX346">
        <f t="shared" si="346"/>
        <v>0</v>
      </c>
      <c r="CY346">
        <f t="shared" si="347"/>
        <v>0</v>
      </c>
      <c r="CZ346">
        <f t="shared" si="348"/>
        <v>0</v>
      </c>
      <c r="DC346" t="s">
        <v>3</v>
      </c>
      <c r="DD346" t="s">
        <v>3</v>
      </c>
      <c r="DE346" t="s">
        <v>3</v>
      </c>
      <c r="DF346" t="s">
        <v>3</v>
      </c>
      <c r="DG346" t="s">
        <v>3</v>
      </c>
      <c r="DH346" t="s">
        <v>3</v>
      </c>
      <c r="DI346" t="s">
        <v>3</v>
      </c>
      <c r="DJ346" t="s">
        <v>3</v>
      </c>
      <c r="DK346" t="s">
        <v>3</v>
      </c>
      <c r="DL346" t="s">
        <v>3</v>
      </c>
      <c r="DM346" t="s">
        <v>3</v>
      </c>
      <c r="DN346">
        <v>0</v>
      </c>
      <c r="DO346">
        <v>0</v>
      </c>
      <c r="DP346">
        <v>1</v>
      </c>
      <c r="DQ346">
        <v>1</v>
      </c>
      <c r="DU346">
        <v>1009</v>
      </c>
      <c r="DV346" t="s">
        <v>38</v>
      </c>
      <c r="DW346" t="s">
        <v>38</v>
      </c>
      <c r="DX346">
        <v>1000</v>
      </c>
      <c r="DZ346" t="s">
        <v>3</v>
      </c>
      <c r="EA346" t="s">
        <v>3</v>
      </c>
      <c r="EB346" t="s">
        <v>3</v>
      </c>
      <c r="EC346" t="s">
        <v>3</v>
      </c>
      <c r="EE346">
        <v>71753531</v>
      </c>
      <c r="EF346">
        <v>1</v>
      </c>
      <c r="EG346" t="s">
        <v>22</v>
      </c>
      <c r="EH346">
        <v>0</v>
      </c>
      <c r="EI346" t="s">
        <v>3</v>
      </c>
      <c r="EJ346">
        <v>4</v>
      </c>
      <c r="EK346">
        <v>0</v>
      </c>
      <c r="EL346" t="s">
        <v>23</v>
      </c>
      <c r="EM346" t="s">
        <v>24</v>
      </c>
      <c r="EO346" t="s">
        <v>3</v>
      </c>
      <c r="EQ346">
        <v>0</v>
      </c>
      <c r="ER346">
        <v>71207.520000000004</v>
      </c>
      <c r="ES346">
        <v>71207.520000000004</v>
      </c>
      <c r="ET346">
        <v>0</v>
      </c>
      <c r="EU346">
        <v>0</v>
      </c>
      <c r="EV346">
        <v>0</v>
      </c>
      <c r="EW346">
        <v>0</v>
      </c>
      <c r="EX346">
        <v>0</v>
      </c>
      <c r="FQ346">
        <v>0</v>
      </c>
      <c r="FR346">
        <f t="shared" si="349"/>
        <v>0</v>
      </c>
      <c r="FS346">
        <v>0</v>
      </c>
      <c r="FX346">
        <v>70</v>
      </c>
      <c r="FY346">
        <v>10</v>
      </c>
      <c r="GA346" t="s">
        <v>3</v>
      </c>
      <c r="GD346">
        <v>0</v>
      </c>
      <c r="GF346">
        <v>1622126655</v>
      </c>
      <c r="GG346">
        <v>2</v>
      </c>
      <c r="GH346">
        <v>1</v>
      </c>
      <c r="GI346">
        <v>-2</v>
      </c>
      <c r="GJ346">
        <v>0</v>
      </c>
      <c r="GK346">
        <f>ROUND(R346*(R12)/100,2)</f>
        <v>0</v>
      </c>
      <c r="GL346">
        <f t="shared" si="350"/>
        <v>0</v>
      </c>
      <c r="GM346">
        <f t="shared" si="351"/>
        <v>1441.95</v>
      </c>
      <c r="GN346">
        <f t="shared" si="352"/>
        <v>0</v>
      </c>
      <c r="GO346">
        <f t="shared" si="353"/>
        <v>0</v>
      </c>
      <c r="GP346">
        <f t="shared" si="354"/>
        <v>1441.95</v>
      </c>
      <c r="GR346">
        <v>0</v>
      </c>
      <c r="GS346">
        <v>3</v>
      </c>
      <c r="GT346">
        <v>0</v>
      </c>
      <c r="GU346" t="s">
        <v>3</v>
      </c>
      <c r="GV346">
        <f t="shared" si="355"/>
        <v>0</v>
      </c>
      <c r="GW346">
        <v>1</v>
      </c>
      <c r="GX346">
        <f t="shared" si="356"/>
        <v>0</v>
      </c>
      <c r="HA346">
        <v>0</v>
      </c>
      <c r="HB346">
        <v>0</v>
      </c>
      <c r="HC346">
        <f t="shared" si="357"/>
        <v>0</v>
      </c>
      <c r="HE346" t="s">
        <v>3</v>
      </c>
      <c r="HF346" t="s">
        <v>3</v>
      </c>
      <c r="HM346" t="s">
        <v>3</v>
      </c>
      <c r="HN346" t="s">
        <v>3</v>
      </c>
      <c r="HO346" t="s">
        <v>3</v>
      </c>
      <c r="HP346" t="s">
        <v>3</v>
      </c>
      <c r="HQ346" t="s">
        <v>3</v>
      </c>
      <c r="IK346">
        <v>0</v>
      </c>
    </row>
    <row r="347" spans="1:245" x14ac:dyDescent="0.2">
      <c r="A347">
        <v>17</v>
      </c>
      <c r="B347">
        <v>1</v>
      </c>
      <c r="D347">
        <f>ROW(EtalonRes!A233)</f>
        <v>233</v>
      </c>
      <c r="E347" t="s">
        <v>318</v>
      </c>
      <c r="F347" t="s">
        <v>201</v>
      </c>
      <c r="G347" t="s">
        <v>202</v>
      </c>
      <c r="H347" t="s">
        <v>20</v>
      </c>
      <c r="I347">
        <v>0.15</v>
      </c>
      <c r="J347">
        <v>0</v>
      </c>
      <c r="K347">
        <v>0.15</v>
      </c>
      <c r="O347">
        <f t="shared" si="318"/>
        <v>647.01</v>
      </c>
      <c r="P347">
        <f t="shared" si="319"/>
        <v>6.37</v>
      </c>
      <c r="Q347">
        <f t="shared" si="320"/>
        <v>0</v>
      </c>
      <c r="R347">
        <f t="shared" si="321"/>
        <v>0</v>
      </c>
      <c r="S347">
        <f t="shared" si="322"/>
        <v>640.64</v>
      </c>
      <c r="T347">
        <f t="shared" si="323"/>
        <v>0</v>
      </c>
      <c r="U347">
        <f t="shared" si="324"/>
        <v>1.5960000000000001</v>
      </c>
      <c r="V347">
        <f t="shared" si="325"/>
        <v>0</v>
      </c>
      <c r="W347">
        <f t="shared" si="326"/>
        <v>0</v>
      </c>
      <c r="X347">
        <f t="shared" si="327"/>
        <v>448.45</v>
      </c>
      <c r="Y347">
        <f t="shared" si="328"/>
        <v>64.06</v>
      </c>
      <c r="AA347">
        <v>72192302</v>
      </c>
      <c r="AB347">
        <f t="shared" si="329"/>
        <v>4313.34</v>
      </c>
      <c r="AC347">
        <f t="shared" si="330"/>
        <v>42.44</v>
      </c>
      <c r="AD347">
        <f t="shared" si="331"/>
        <v>0</v>
      </c>
      <c r="AE347">
        <f t="shared" si="332"/>
        <v>0</v>
      </c>
      <c r="AF347">
        <f t="shared" si="333"/>
        <v>4270.8999999999996</v>
      </c>
      <c r="AG347">
        <f t="shared" si="334"/>
        <v>0</v>
      </c>
      <c r="AH347">
        <f t="shared" si="335"/>
        <v>10.64</v>
      </c>
      <c r="AI347">
        <f t="shared" si="336"/>
        <v>0</v>
      </c>
      <c r="AJ347">
        <f t="shared" si="337"/>
        <v>0</v>
      </c>
      <c r="AK347">
        <v>4313.34</v>
      </c>
      <c r="AL347">
        <v>42.44</v>
      </c>
      <c r="AM347">
        <v>0</v>
      </c>
      <c r="AN347">
        <v>0</v>
      </c>
      <c r="AO347">
        <v>4270.8999999999996</v>
      </c>
      <c r="AP347">
        <v>0</v>
      </c>
      <c r="AQ347">
        <v>10.64</v>
      </c>
      <c r="AR347">
        <v>0</v>
      </c>
      <c r="AS347">
        <v>0</v>
      </c>
      <c r="AT347">
        <v>70</v>
      </c>
      <c r="AU347">
        <v>10</v>
      </c>
      <c r="AV347">
        <v>1</v>
      </c>
      <c r="AW347">
        <v>1</v>
      </c>
      <c r="AZ347">
        <v>1</v>
      </c>
      <c r="BA347">
        <v>1</v>
      </c>
      <c r="BB347">
        <v>1</v>
      </c>
      <c r="BC347">
        <v>1</v>
      </c>
      <c r="BD347" t="s">
        <v>3</v>
      </c>
      <c r="BE347" t="s">
        <v>3</v>
      </c>
      <c r="BF347" t="s">
        <v>3</v>
      </c>
      <c r="BG347" t="s">
        <v>3</v>
      </c>
      <c r="BH347">
        <v>0</v>
      </c>
      <c r="BI347">
        <v>4</v>
      </c>
      <c r="BJ347" t="s">
        <v>203</v>
      </c>
      <c r="BM347">
        <v>0</v>
      </c>
      <c r="BN347">
        <v>0</v>
      </c>
      <c r="BO347" t="s">
        <v>3</v>
      </c>
      <c r="BP347">
        <v>0</v>
      </c>
      <c r="BQ347">
        <v>1</v>
      </c>
      <c r="BR347">
        <v>0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 t="s">
        <v>3</v>
      </c>
      <c r="BZ347">
        <v>70</v>
      </c>
      <c r="CA347">
        <v>10</v>
      </c>
      <c r="CB347" t="s">
        <v>3</v>
      </c>
      <c r="CE347">
        <v>0</v>
      </c>
      <c r="CF347">
        <v>0</v>
      </c>
      <c r="CG347">
        <v>0</v>
      </c>
      <c r="CM347">
        <v>0</v>
      </c>
      <c r="CN347" t="s">
        <v>3</v>
      </c>
      <c r="CO347">
        <v>0</v>
      </c>
      <c r="CP347">
        <f t="shared" si="338"/>
        <v>647.01</v>
      </c>
      <c r="CQ347">
        <f t="shared" si="339"/>
        <v>42.44</v>
      </c>
      <c r="CR347">
        <f t="shared" si="340"/>
        <v>0</v>
      </c>
      <c r="CS347">
        <f t="shared" si="341"/>
        <v>0</v>
      </c>
      <c r="CT347">
        <f t="shared" si="342"/>
        <v>4270.8999999999996</v>
      </c>
      <c r="CU347">
        <f t="shared" si="343"/>
        <v>0</v>
      </c>
      <c r="CV347">
        <f t="shared" si="344"/>
        <v>10.64</v>
      </c>
      <c r="CW347">
        <f t="shared" si="345"/>
        <v>0</v>
      </c>
      <c r="CX347">
        <f t="shared" si="346"/>
        <v>0</v>
      </c>
      <c r="CY347">
        <f t="shared" si="347"/>
        <v>448.44799999999998</v>
      </c>
      <c r="CZ347">
        <f t="shared" si="348"/>
        <v>64.063999999999993</v>
      </c>
      <c r="DC347" t="s">
        <v>3</v>
      </c>
      <c r="DD347" t="s">
        <v>3</v>
      </c>
      <c r="DE347" t="s">
        <v>3</v>
      </c>
      <c r="DF347" t="s">
        <v>3</v>
      </c>
      <c r="DG347" t="s">
        <v>3</v>
      </c>
      <c r="DH347" t="s">
        <v>3</v>
      </c>
      <c r="DI347" t="s">
        <v>3</v>
      </c>
      <c r="DJ347" t="s">
        <v>3</v>
      </c>
      <c r="DK347" t="s">
        <v>3</v>
      </c>
      <c r="DL347" t="s">
        <v>3</v>
      </c>
      <c r="DM347" t="s">
        <v>3</v>
      </c>
      <c r="DN347">
        <v>0</v>
      </c>
      <c r="DO347">
        <v>0</v>
      </c>
      <c r="DP347">
        <v>1</v>
      </c>
      <c r="DQ347">
        <v>1</v>
      </c>
      <c r="DU347">
        <v>1003</v>
      </c>
      <c r="DV347" t="s">
        <v>20</v>
      </c>
      <c r="DW347" t="s">
        <v>20</v>
      </c>
      <c r="DX347">
        <v>100</v>
      </c>
      <c r="DZ347" t="s">
        <v>3</v>
      </c>
      <c r="EA347" t="s">
        <v>3</v>
      </c>
      <c r="EB347" t="s">
        <v>3</v>
      </c>
      <c r="EC347" t="s">
        <v>3</v>
      </c>
      <c r="EE347">
        <v>71753531</v>
      </c>
      <c r="EF347">
        <v>1</v>
      </c>
      <c r="EG347" t="s">
        <v>22</v>
      </c>
      <c r="EH347">
        <v>0</v>
      </c>
      <c r="EI347" t="s">
        <v>3</v>
      </c>
      <c r="EJ347">
        <v>4</v>
      </c>
      <c r="EK347">
        <v>0</v>
      </c>
      <c r="EL347" t="s">
        <v>23</v>
      </c>
      <c r="EM347" t="s">
        <v>24</v>
      </c>
      <c r="EO347" t="s">
        <v>3</v>
      </c>
      <c r="EQ347">
        <v>0</v>
      </c>
      <c r="ER347">
        <v>4313.34</v>
      </c>
      <c r="ES347">
        <v>42.44</v>
      </c>
      <c r="ET347">
        <v>0</v>
      </c>
      <c r="EU347">
        <v>0</v>
      </c>
      <c r="EV347">
        <v>4270.8999999999996</v>
      </c>
      <c r="EW347">
        <v>10.64</v>
      </c>
      <c r="EX347">
        <v>0</v>
      </c>
      <c r="EY347">
        <v>0</v>
      </c>
      <c r="FQ347">
        <v>0</v>
      </c>
      <c r="FR347">
        <f t="shared" si="349"/>
        <v>0</v>
      </c>
      <c r="FS347">
        <v>0</v>
      </c>
      <c r="FX347">
        <v>70</v>
      </c>
      <c r="FY347">
        <v>10</v>
      </c>
      <c r="GA347" t="s">
        <v>3</v>
      </c>
      <c r="GD347">
        <v>0</v>
      </c>
      <c r="GF347">
        <v>1747642591</v>
      </c>
      <c r="GG347">
        <v>2</v>
      </c>
      <c r="GH347">
        <v>1</v>
      </c>
      <c r="GI347">
        <v>-2</v>
      </c>
      <c r="GJ347">
        <v>0</v>
      </c>
      <c r="GK347">
        <f>ROUND(R347*(R12)/100,2)</f>
        <v>0</v>
      </c>
      <c r="GL347">
        <f t="shared" si="350"/>
        <v>0</v>
      </c>
      <c r="GM347">
        <f t="shared" si="351"/>
        <v>1159.52</v>
      </c>
      <c r="GN347">
        <f t="shared" si="352"/>
        <v>0</v>
      </c>
      <c r="GO347">
        <f t="shared" si="353"/>
        <v>0</v>
      </c>
      <c r="GP347">
        <f t="shared" si="354"/>
        <v>1159.52</v>
      </c>
      <c r="GR347">
        <v>0</v>
      </c>
      <c r="GS347">
        <v>3</v>
      </c>
      <c r="GT347">
        <v>0</v>
      </c>
      <c r="GU347" t="s">
        <v>3</v>
      </c>
      <c r="GV347">
        <f t="shared" si="355"/>
        <v>0</v>
      </c>
      <c r="GW347">
        <v>1</v>
      </c>
      <c r="GX347">
        <f t="shared" si="356"/>
        <v>0</v>
      </c>
      <c r="HA347">
        <v>0</v>
      </c>
      <c r="HB347">
        <v>0</v>
      </c>
      <c r="HC347">
        <f t="shared" si="357"/>
        <v>0</v>
      </c>
      <c r="HE347" t="s">
        <v>3</v>
      </c>
      <c r="HF347" t="s">
        <v>3</v>
      </c>
      <c r="HM347" t="s">
        <v>3</v>
      </c>
      <c r="HN347" t="s">
        <v>3</v>
      </c>
      <c r="HO347" t="s">
        <v>3</v>
      </c>
      <c r="HP347" t="s">
        <v>3</v>
      </c>
      <c r="HQ347" t="s">
        <v>3</v>
      </c>
      <c r="IK347">
        <v>0</v>
      </c>
    </row>
    <row r="348" spans="1:245" x14ac:dyDescent="0.2">
      <c r="A348">
        <v>17</v>
      </c>
      <c r="B348">
        <v>1</v>
      </c>
      <c r="D348">
        <f>ROW(EtalonRes!A237)</f>
        <v>237</v>
      </c>
      <c r="E348" t="s">
        <v>319</v>
      </c>
      <c r="F348" t="s">
        <v>205</v>
      </c>
      <c r="G348" t="s">
        <v>206</v>
      </c>
      <c r="H348" t="s">
        <v>207</v>
      </c>
      <c r="I348">
        <v>0.7</v>
      </c>
      <c r="J348">
        <v>0</v>
      </c>
      <c r="K348">
        <v>0.7</v>
      </c>
      <c r="O348">
        <f t="shared" si="318"/>
        <v>447.08</v>
      </c>
      <c r="P348">
        <f t="shared" si="319"/>
        <v>40.299999999999997</v>
      </c>
      <c r="Q348">
        <f t="shared" si="320"/>
        <v>0</v>
      </c>
      <c r="R348">
        <f t="shared" si="321"/>
        <v>0</v>
      </c>
      <c r="S348">
        <f t="shared" si="322"/>
        <v>406.78</v>
      </c>
      <c r="T348">
        <f t="shared" si="323"/>
        <v>0</v>
      </c>
      <c r="U348">
        <f t="shared" si="324"/>
        <v>1.204</v>
      </c>
      <c r="V348">
        <f t="shared" si="325"/>
        <v>0</v>
      </c>
      <c r="W348">
        <f t="shared" si="326"/>
        <v>0</v>
      </c>
      <c r="X348">
        <f t="shared" si="327"/>
        <v>284.75</v>
      </c>
      <c r="Y348">
        <f t="shared" si="328"/>
        <v>40.68</v>
      </c>
      <c r="AA348">
        <v>72192302</v>
      </c>
      <c r="AB348">
        <f t="shared" si="329"/>
        <v>638.69000000000005</v>
      </c>
      <c r="AC348">
        <f t="shared" si="330"/>
        <v>57.57</v>
      </c>
      <c r="AD348">
        <f t="shared" si="331"/>
        <v>0</v>
      </c>
      <c r="AE348">
        <f t="shared" si="332"/>
        <v>0</v>
      </c>
      <c r="AF348">
        <f t="shared" si="333"/>
        <v>581.12</v>
      </c>
      <c r="AG348">
        <f t="shared" si="334"/>
        <v>0</v>
      </c>
      <c r="AH348">
        <f t="shared" si="335"/>
        <v>1.72</v>
      </c>
      <c r="AI348">
        <f t="shared" si="336"/>
        <v>0</v>
      </c>
      <c r="AJ348">
        <f t="shared" si="337"/>
        <v>0</v>
      </c>
      <c r="AK348">
        <v>638.69000000000005</v>
      </c>
      <c r="AL348">
        <v>57.57</v>
      </c>
      <c r="AM348">
        <v>0</v>
      </c>
      <c r="AN348">
        <v>0</v>
      </c>
      <c r="AO348">
        <v>581.12</v>
      </c>
      <c r="AP348">
        <v>0</v>
      </c>
      <c r="AQ348">
        <v>1.72</v>
      </c>
      <c r="AR348">
        <v>0</v>
      </c>
      <c r="AS348">
        <v>0</v>
      </c>
      <c r="AT348">
        <v>70</v>
      </c>
      <c r="AU348">
        <v>10</v>
      </c>
      <c r="AV348">
        <v>1</v>
      </c>
      <c r="AW348">
        <v>1</v>
      </c>
      <c r="AZ348">
        <v>1</v>
      </c>
      <c r="BA348">
        <v>1</v>
      </c>
      <c r="BB348">
        <v>1</v>
      </c>
      <c r="BC348">
        <v>1</v>
      </c>
      <c r="BD348" t="s">
        <v>3</v>
      </c>
      <c r="BE348" t="s">
        <v>3</v>
      </c>
      <c r="BF348" t="s">
        <v>3</v>
      </c>
      <c r="BG348" t="s">
        <v>3</v>
      </c>
      <c r="BH348">
        <v>0</v>
      </c>
      <c r="BI348">
        <v>4</v>
      </c>
      <c r="BJ348" t="s">
        <v>208</v>
      </c>
      <c r="BM348">
        <v>0</v>
      </c>
      <c r="BN348">
        <v>0</v>
      </c>
      <c r="BO348" t="s">
        <v>3</v>
      </c>
      <c r="BP348">
        <v>0</v>
      </c>
      <c r="BQ348">
        <v>1</v>
      </c>
      <c r="BR348">
        <v>0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 t="s">
        <v>3</v>
      </c>
      <c r="BZ348">
        <v>70</v>
      </c>
      <c r="CA348">
        <v>10</v>
      </c>
      <c r="CB348" t="s">
        <v>3</v>
      </c>
      <c r="CE348">
        <v>0</v>
      </c>
      <c r="CF348">
        <v>0</v>
      </c>
      <c r="CG348">
        <v>0</v>
      </c>
      <c r="CM348">
        <v>0</v>
      </c>
      <c r="CN348" t="s">
        <v>3</v>
      </c>
      <c r="CO348">
        <v>0</v>
      </c>
      <c r="CP348">
        <f t="shared" si="338"/>
        <v>447.08</v>
      </c>
      <c r="CQ348">
        <f t="shared" si="339"/>
        <v>57.57</v>
      </c>
      <c r="CR348">
        <f t="shared" si="340"/>
        <v>0</v>
      </c>
      <c r="CS348">
        <f t="shared" si="341"/>
        <v>0</v>
      </c>
      <c r="CT348">
        <f t="shared" si="342"/>
        <v>581.12</v>
      </c>
      <c r="CU348">
        <f t="shared" si="343"/>
        <v>0</v>
      </c>
      <c r="CV348">
        <f t="shared" si="344"/>
        <v>1.72</v>
      </c>
      <c r="CW348">
        <f t="shared" si="345"/>
        <v>0</v>
      </c>
      <c r="CX348">
        <f t="shared" si="346"/>
        <v>0</v>
      </c>
      <c r="CY348">
        <f t="shared" si="347"/>
        <v>284.74599999999998</v>
      </c>
      <c r="CZ348">
        <f t="shared" si="348"/>
        <v>40.677999999999997</v>
      </c>
      <c r="DC348" t="s">
        <v>3</v>
      </c>
      <c r="DD348" t="s">
        <v>3</v>
      </c>
      <c r="DE348" t="s">
        <v>3</v>
      </c>
      <c r="DF348" t="s">
        <v>3</v>
      </c>
      <c r="DG348" t="s">
        <v>3</v>
      </c>
      <c r="DH348" t="s">
        <v>3</v>
      </c>
      <c r="DI348" t="s">
        <v>3</v>
      </c>
      <c r="DJ348" t="s">
        <v>3</v>
      </c>
      <c r="DK348" t="s">
        <v>3</v>
      </c>
      <c r="DL348" t="s">
        <v>3</v>
      </c>
      <c r="DM348" t="s">
        <v>3</v>
      </c>
      <c r="DN348">
        <v>0</v>
      </c>
      <c r="DO348">
        <v>0</v>
      </c>
      <c r="DP348">
        <v>1</v>
      </c>
      <c r="DQ348">
        <v>1</v>
      </c>
      <c r="DU348">
        <v>1010</v>
      </c>
      <c r="DV348" t="s">
        <v>207</v>
      </c>
      <c r="DW348" t="s">
        <v>207</v>
      </c>
      <c r="DX348">
        <v>10</v>
      </c>
      <c r="DZ348" t="s">
        <v>3</v>
      </c>
      <c r="EA348" t="s">
        <v>3</v>
      </c>
      <c r="EB348" t="s">
        <v>3</v>
      </c>
      <c r="EC348" t="s">
        <v>3</v>
      </c>
      <c r="EE348">
        <v>71753531</v>
      </c>
      <c r="EF348">
        <v>1</v>
      </c>
      <c r="EG348" t="s">
        <v>22</v>
      </c>
      <c r="EH348">
        <v>0</v>
      </c>
      <c r="EI348" t="s">
        <v>3</v>
      </c>
      <c r="EJ348">
        <v>4</v>
      </c>
      <c r="EK348">
        <v>0</v>
      </c>
      <c r="EL348" t="s">
        <v>23</v>
      </c>
      <c r="EM348" t="s">
        <v>24</v>
      </c>
      <c r="EO348" t="s">
        <v>3</v>
      </c>
      <c r="EQ348">
        <v>0</v>
      </c>
      <c r="ER348">
        <v>638.69000000000005</v>
      </c>
      <c r="ES348">
        <v>57.57</v>
      </c>
      <c r="ET348">
        <v>0</v>
      </c>
      <c r="EU348">
        <v>0</v>
      </c>
      <c r="EV348">
        <v>581.12</v>
      </c>
      <c r="EW348">
        <v>1.72</v>
      </c>
      <c r="EX348">
        <v>0</v>
      </c>
      <c r="EY348">
        <v>0</v>
      </c>
      <c r="FQ348">
        <v>0</v>
      </c>
      <c r="FR348">
        <f t="shared" si="349"/>
        <v>0</v>
      </c>
      <c r="FS348">
        <v>0</v>
      </c>
      <c r="FX348">
        <v>70</v>
      </c>
      <c r="FY348">
        <v>10</v>
      </c>
      <c r="GA348" t="s">
        <v>3</v>
      </c>
      <c r="GD348">
        <v>0</v>
      </c>
      <c r="GF348">
        <v>-1180563267</v>
      </c>
      <c r="GG348">
        <v>2</v>
      </c>
      <c r="GH348">
        <v>1</v>
      </c>
      <c r="GI348">
        <v>-2</v>
      </c>
      <c r="GJ348">
        <v>0</v>
      </c>
      <c r="GK348">
        <f>ROUND(R348*(R12)/100,2)</f>
        <v>0</v>
      </c>
      <c r="GL348">
        <f t="shared" si="350"/>
        <v>0</v>
      </c>
      <c r="GM348">
        <f t="shared" si="351"/>
        <v>772.51</v>
      </c>
      <c r="GN348">
        <f t="shared" si="352"/>
        <v>0</v>
      </c>
      <c r="GO348">
        <f t="shared" si="353"/>
        <v>0</v>
      </c>
      <c r="GP348">
        <f t="shared" si="354"/>
        <v>772.51</v>
      </c>
      <c r="GR348">
        <v>0</v>
      </c>
      <c r="GS348">
        <v>3</v>
      </c>
      <c r="GT348">
        <v>0</v>
      </c>
      <c r="GU348" t="s">
        <v>3</v>
      </c>
      <c r="GV348">
        <f t="shared" si="355"/>
        <v>0</v>
      </c>
      <c r="GW348">
        <v>1</v>
      </c>
      <c r="GX348">
        <f t="shared" si="356"/>
        <v>0</v>
      </c>
      <c r="HA348">
        <v>0</v>
      </c>
      <c r="HB348">
        <v>0</v>
      </c>
      <c r="HC348">
        <f t="shared" si="357"/>
        <v>0</v>
      </c>
      <c r="HE348" t="s">
        <v>3</v>
      </c>
      <c r="HF348" t="s">
        <v>3</v>
      </c>
      <c r="HM348" t="s">
        <v>3</v>
      </c>
      <c r="HN348" t="s">
        <v>3</v>
      </c>
      <c r="HO348" t="s">
        <v>3</v>
      </c>
      <c r="HP348" t="s">
        <v>3</v>
      </c>
      <c r="HQ348" t="s">
        <v>3</v>
      </c>
      <c r="IK348">
        <v>0</v>
      </c>
    </row>
    <row r="349" spans="1:245" x14ac:dyDescent="0.2">
      <c r="A349">
        <v>18</v>
      </c>
      <c r="B349">
        <v>1</v>
      </c>
      <c r="E349" t="s">
        <v>320</v>
      </c>
      <c r="F349" t="s">
        <v>156</v>
      </c>
      <c r="G349" s="46" t="s">
        <v>778</v>
      </c>
      <c r="H349" t="s">
        <v>51</v>
      </c>
      <c r="I349">
        <f>I348*J349</f>
        <v>7</v>
      </c>
      <c r="J349">
        <v>10</v>
      </c>
      <c r="K349">
        <v>10</v>
      </c>
      <c r="O349">
        <f t="shared" si="318"/>
        <v>3808</v>
      </c>
      <c r="P349">
        <f t="shared" si="319"/>
        <v>3808</v>
      </c>
      <c r="Q349">
        <f t="shared" si="320"/>
        <v>0</v>
      </c>
      <c r="R349">
        <f t="shared" si="321"/>
        <v>0</v>
      </c>
      <c r="S349">
        <f t="shared" si="322"/>
        <v>0</v>
      </c>
      <c r="T349">
        <f t="shared" si="323"/>
        <v>0</v>
      </c>
      <c r="U349">
        <f t="shared" si="324"/>
        <v>0</v>
      </c>
      <c r="V349">
        <f t="shared" si="325"/>
        <v>0</v>
      </c>
      <c r="W349">
        <f t="shared" si="326"/>
        <v>0</v>
      </c>
      <c r="X349">
        <f t="shared" si="327"/>
        <v>0</v>
      </c>
      <c r="Y349">
        <f t="shared" si="328"/>
        <v>0</v>
      </c>
      <c r="AA349">
        <v>72192302</v>
      </c>
      <c r="AB349">
        <f t="shared" si="329"/>
        <v>544</v>
      </c>
      <c r="AC349">
        <f t="shared" si="330"/>
        <v>544</v>
      </c>
      <c r="AD349">
        <f t="shared" si="331"/>
        <v>0</v>
      </c>
      <c r="AE349">
        <f t="shared" si="332"/>
        <v>0</v>
      </c>
      <c r="AF349">
        <f t="shared" si="333"/>
        <v>0</v>
      </c>
      <c r="AG349">
        <f t="shared" si="334"/>
        <v>0</v>
      </c>
      <c r="AH349">
        <f t="shared" si="335"/>
        <v>0</v>
      </c>
      <c r="AI349">
        <f t="shared" si="336"/>
        <v>0</v>
      </c>
      <c r="AJ349">
        <f t="shared" si="337"/>
        <v>0</v>
      </c>
      <c r="AK349">
        <v>544</v>
      </c>
      <c r="AL349">
        <v>544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70</v>
      </c>
      <c r="AU349">
        <v>10</v>
      </c>
      <c r="AV349">
        <v>1</v>
      </c>
      <c r="AW349">
        <v>1</v>
      </c>
      <c r="AZ349">
        <v>1</v>
      </c>
      <c r="BA349">
        <v>1</v>
      </c>
      <c r="BB349">
        <v>1</v>
      </c>
      <c r="BC349">
        <v>1</v>
      </c>
      <c r="BD349" t="s">
        <v>3</v>
      </c>
      <c r="BE349" t="s">
        <v>3</v>
      </c>
      <c r="BF349" t="s">
        <v>3</v>
      </c>
      <c r="BG349" t="s">
        <v>3</v>
      </c>
      <c r="BH349">
        <v>3</v>
      </c>
      <c r="BI349">
        <v>4</v>
      </c>
      <c r="BJ349" t="s">
        <v>3</v>
      </c>
      <c r="BM349">
        <v>0</v>
      </c>
      <c r="BN349">
        <v>0</v>
      </c>
      <c r="BO349" t="s">
        <v>3</v>
      </c>
      <c r="BP349">
        <v>0</v>
      </c>
      <c r="BQ349">
        <v>1</v>
      </c>
      <c r="BR349">
        <v>0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 t="s">
        <v>3</v>
      </c>
      <c r="BZ349">
        <v>70</v>
      </c>
      <c r="CA349">
        <v>10</v>
      </c>
      <c r="CB349" t="s">
        <v>3</v>
      </c>
      <c r="CE349">
        <v>0</v>
      </c>
      <c r="CF349">
        <v>0</v>
      </c>
      <c r="CG349">
        <v>0</v>
      </c>
      <c r="CM349">
        <v>0</v>
      </c>
      <c r="CN349" t="s">
        <v>3</v>
      </c>
      <c r="CO349">
        <v>0</v>
      </c>
      <c r="CP349">
        <f t="shared" si="338"/>
        <v>3808</v>
      </c>
      <c r="CQ349">
        <f t="shared" si="339"/>
        <v>544</v>
      </c>
      <c r="CR349">
        <f t="shared" si="340"/>
        <v>0</v>
      </c>
      <c r="CS349">
        <f t="shared" si="341"/>
        <v>0</v>
      </c>
      <c r="CT349">
        <f t="shared" si="342"/>
        <v>0</v>
      </c>
      <c r="CU349">
        <f t="shared" si="343"/>
        <v>0</v>
      </c>
      <c r="CV349">
        <f t="shared" si="344"/>
        <v>0</v>
      </c>
      <c r="CW349">
        <f t="shared" si="345"/>
        <v>0</v>
      </c>
      <c r="CX349">
        <f t="shared" si="346"/>
        <v>0</v>
      </c>
      <c r="CY349">
        <f t="shared" si="347"/>
        <v>0</v>
      </c>
      <c r="CZ349">
        <f t="shared" si="348"/>
        <v>0</v>
      </c>
      <c r="DC349" t="s">
        <v>3</v>
      </c>
      <c r="DD349" t="s">
        <v>3</v>
      </c>
      <c r="DE349" t="s">
        <v>3</v>
      </c>
      <c r="DF349" t="s">
        <v>3</v>
      </c>
      <c r="DG349" t="s">
        <v>3</v>
      </c>
      <c r="DH349" t="s">
        <v>3</v>
      </c>
      <c r="DI349" t="s">
        <v>3</v>
      </c>
      <c r="DJ349" t="s">
        <v>3</v>
      </c>
      <c r="DK349" t="s">
        <v>3</v>
      </c>
      <c r="DL349" t="s">
        <v>3</v>
      </c>
      <c r="DM349" t="s">
        <v>3</v>
      </c>
      <c r="DN349">
        <v>0</v>
      </c>
      <c r="DO349">
        <v>0</v>
      </c>
      <c r="DP349">
        <v>1</v>
      </c>
      <c r="DQ349">
        <v>1</v>
      </c>
      <c r="DU349">
        <v>1010</v>
      </c>
      <c r="DV349" t="s">
        <v>51</v>
      </c>
      <c r="DW349" t="s">
        <v>51</v>
      </c>
      <c r="DX349">
        <v>1</v>
      </c>
      <c r="DZ349" t="s">
        <v>3</v>
      </c>
      <c r="EA349" t="s">
        <v>3</v>
      </c>
      <c r="EB349" t="s">
        <v>3</v>
      </c>
      <c r="EC349" t="s">
        <v>3</v>
      </c>
      <c r="EE349">
        <v>71753531</v>
      </c>
      <c r="EF349">
        <v>1</v>
      </c>
      <c r="EG349" t="s">
        <v>22</v>
      </c>
      <c r="EH349">
        <v>0</v>
      </c>
      <c r="EI349" t="s">
        <v>3</v>
      </c>
      <c r="EJ349">
        <v>4</v>
      </c>
      <c r="EK349">
        <v>0</v>
      </c>
      <c r="EL349" t="s">
        <v>23</v>
      </c>
      <c r="EM349" t="s">
        <v>24</v>
      </c>
      <c r="EO349" t="s">
        <v>3</v>
      </c>
      <c r="EQ349">
        <v>0</v>
      </c>
      <c r="ER349">
        <v>544</v>
      </c>
      <c r="ES349">
        <v>544</v>
      </c>
      <c r="ET349">
        <v>0</v>
      </c>
      <c r="EU349">
        <v>0</v>
      </c>
      <c r="EV349">
        <v>0</v>
      </c>
      <c r="EW349">
        <v>0</v>
      </c>
      <c r="EX349">
        <v>0</v>
      </c>
      <c r="FQ349">
        <v>0</v>
      </c>
      <c r="FR349">
        <f t="shared" si="349"/>
        <v>0</v>
      </c>
      <c r="FS349">
        <v>0</v>
      </c>
      <c r="FX349">
        <v>70</v>
      </c>
      <c r="FY349">
        <v>10</v>
      </c>
      <c r="GA349" t="s">
        <v>3</v>
      </c>
      <c r="GD349">
        <v>0</v>
      </c>
      <c r="GF349">
        <v>502732464</v>
      </c>
      <c r="GG349">
        <v>2</v>
      </c>
      <c r="GH349">
        <v>0</v>
      </c>
      <c r="GI349">
        <v>-2</v>
      </c>
      <c r="GJ349">
        <v>0</v>
      </c>
      <c r="GK349">
        <f>ROUND(R349*(R12)/100,2)</f>
        <v>0</v>
      </c>
      <c r="GL349">
        <f t="shared" si="350"/>
        <v>0</v>
      </c>
      <c r="GM349">
        <f t="shared" si="351"/>
        <v>3808</v>
      </c>
      <c r="GN349">
        <f t="shared" si="352"/>
        <v>0</v>
      </c>
      <c r="GO349">
        <f t="shared" si="353"/>
        <v>0</v>
      </c>
      <c r="GP349">
        <f t="shared" si="354"/>
        <v>3808</v>
      </c>
      <c r="GR349">
        <v>0</v>
      </c>
      <c r="GS349">
        <v>0</v>
      </c>
      <c r="GT349">
        <v>0</v>
      </c>
      <c r="GU349" t="s">
        <v>3</v>
      </c>
      <c r="GV349">
        <f t="shared" si="355"/>
        <v>0</v>
      </c>
      <c r="GW349">
        <v>1</v>
      </c>
      <c r="GX349">
        <f t="shared" si="356"/>
        <v>0</v>
      </c>
      <c r="HA349">
        <v>0</v>
      </c>
      <c r="HB349">
        <v>0</v>
      </c>
      <c r="HC349">
        <f t="shared" si="357"/>
        <v>0</v>
      </c>
      <c r="HE349" t="s">
        <v>3</v>
      </c>
      <c r="HF349" t="s">
        <v>3</v>
      </c>
      <c r="HM349" t="s">
        <v>3</v>
      </c>
      <c r="HN349" t="s">
        <v>3</v>
      </c>
      <c r="HO349" t="s">
        <v>3</v>
      </c>
      <c r="HP349" t="s">
        <v>3</v>
      </c>
      <c r="HQ349" t="s">
        <v>3</v>
      </c>
      <c r="IK349">
        <v>0</v>
      </c>
    </row>
    <row r="351" spans="1:245" x14ac:dyDescent="0.2">
      <c r="A351" s="2">
        <v>51</v>
      </c>
      <c r="B351" s="2">
        <f>B336</f>
        <v>1</v>
      </c>
      <c r="C351" s="2">
        <f>A336</f>
        <v>5</v>
      </c>
      <c r="D351" s="2">
        <f>ROW(A336)</f>
        <v>336</v>
      </c>
      <c r="E351" s="2"/>
      <c r="F351" s="2" t="str">
        <f>IF(F336&lt;&gt;"",F336,"")</f>
        <v>Новый подраздел</v>
      </c>
      <c r="G351" s="2" t="str">
        <f>IF(G336&lt;&gt;"",G336,"")</f>
        <v>2.3 Сантехнические работы</v>
      </c>
      <c r="H351" s="2">
        <v>0</v>
      </c>
      <c r="I351" s="2"/>
      <c r="J351" s="2"/>
      <c r="K351" s="2"/>
      <c r="L351" s="2"/>
      <c r="M351" s="2"/>
      <c r="N351" s="2"/>
      <c r="O351" s="2">
        <f t="shared" ref="O351:T351" si="358">ROUND(AB351,2)</f>
        <v>52382.01</v>
      </c>
      <c r="P351" s="2">
        <f t="shared" si="358"/>
        <v>48829.83</v>
      </c>
      <c r="Q351" s="2">
        <f t="shared" si="358"/>
        <v>1.26</v>
      </c>
      <c r="R351" s="2">
        <f t="shared" si="358"/>
        <v>0.04</v>
      </c>
      <c r="S351" s="2">
        <f t="shared" si="358"/>
        <v>3550.92</v>
      </c>
      <c r="T351" s="2">
        <f t="shared" si="358"/>
        <v>0</v>
      </c>
      <c r="U351" s="2">
        <f>AH351</f>
        <v>10.588032</v>
      </c>
      <c r="V351" s="2">
        <f>AI351</f>
        <v>0</v>
      </c>
      <c r="W351" s="2">
        <f>ROUND(AJ351,2)</f>
        <v>0</v>
      </c>
      <c r="X351" s="2">
        <f>ROUND(AK351,2)</f>
        <v>2485.65</v>
      </c>
      <c r="Y351" s="2">
        <f>ROUND(AL351,2)</f>
        <v>355.09</v>
      </c>
      <c r="Z351" s="2"/>
      <c r="AA351" s="2"/>
      <c r="AB351" s="2">
        <f>ROUND(SUMIF(AA340:AA349,"=72192302",O340:O349),2)</f>
        <v>52382.01</v>
      </c>
      <c r="AC351" s="2">
        <f>ROUND(SUMIF(AA340:AA349,"=72192302",P340:P349),2)</f>
        <v>48829.83</v>
      </c>
      <c r="AD351" s="2">
        <f>ROUND(SUMIF(AA340:AA349,"=72192302",Q340:Q349),2)</f>
        <v>1.26</v>
      </c>
      <c r="AE351" s="2">
        <f>ROUND(SUMIF(AA340:AA349,"=72192302",R340:R349),2)</f>
        <v>0.04</v>
      </c>
      <c r="AF351" s="2">
        <f>ROUND(SUMIF(AA340:AA349,"=72192302",S340:S349),2)</f>
        <v>3550.92</v>
      </c>
      <c r="AG351" s="2">
        <f>ROUND(SUMIF(AA340:AA349,"=72192302",T340:T349),2)</f>
        <v>0</v>
      </c>
      <c r="AH351" s="2">
        <f>SUMIF(AA340:AA349,"=72192302",U340:U349)</f>
        <v>10.588032</v>
      </c>
      <c r="AI351" s="2">
        <f>SUMIF(AA340:AA349,"=72192302",V340:V349)</f>
        <v>0</v>
      </c>
      <c r="AJ351" s="2">
        <f>ROUND(SUMIF(AA340:AA349,"=72192302",W340:W349),2)</f>
        <v>0</v>
      </c>
      <c r="AK351" s="2">
        <f>ROUND(SUMIF(AA340:AA349,"=72192302",X340:X349),2)</f>
        <v>2485.65</v>
      </c>
      <c r="AL351" s="2">
        <f>ROUND(SUMIF(AA340:AA349,"=72192302",Y340:Y349),2)</f>
        <v>355.09</v>
      </c>
      <c r="AM351" s="2"/>
      <c r="AN351" s="2"/>
      <c r="AO351" s="2">
        <f t="shared" ref="AO351:BD351" si="359">ROUND(BX351,2)</f>
        <v>0</v>
      </c>
      <c r="AP351" s="2">
        <f t="shared" si="359"/>
        <v>0</v>
      </c>
      <c r="AQ351" s="2">
        <f t="shared" si="359"/>
        <v>0</v>
      </c>
      <c r="AR351" s="2">
        <f t="shared" si="359"/>
        <v>55222.79</v>
      </c>
      <c r="AS351" s="2">
        <f t="shared" si="359"/>
        <v>0</v>
      </c>
      <c r="AT351" s="2">
        <f t="shared" si="359"/>
        <v>0</v>
      </c>
      <c r="AU351" s="2">
        <f t="shared" si="359"/>
        <v>55222.79</v>
      </c>
      <c r="AV351" s="2">
        <f t="shared" si="359"/>
        <v>48829.83</v>
      </c>
      <c r="AW351" s="2">
        <f t="shared" si="359"/>
        <v>48829.83</v>
      </c>
      <c r="AX351" s="2">
        <f t="shared" si="359"/>
        <v>0</v>
      </c>
      <c r="AY351" s="2">
        <f t="shared" si="359"/>
        <v>48829.83</v>
      </c>
      <c r="AZ351" s="2">
        <f t="shared" si="359"/>
        <v>0</v>
      </c>
      <c r="BA351" s="2">
        <f t="shared" si="359"/>
        <v>0</v>
      </c>
      <c r="BB351" s="2">
        <f t="shared" si="359"/>
        <v>0</v>
      </c>
      <c r="BC351" s="2">
        <f t="shared" si="359"/>
        <v>0</v>
      </c>
      <c r="BD351" s="2">
        <f t="shared" si="359"/>
        <v>0</v>
      </c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>
        <f>ROUND(SUMIF(AA340:AA349,"=72192302",FQ340:FQ349),2)</f>
        <v>0</v>
      </c>
      <c r="BY351" s="2">
        <f>ROUND(SUMIF(AA340:AA349,"=72192302",FR340:FR349),2)</f>
        <v>0</v>
      </c>
      <c r="BZ351" s="2">
        <f>ROUND(SUMIF(AA340:AA349,"=72192302",GL340:GL349),2)</f>
        <v>0</v>
      </c>
      <c r="CA351" s="2">
        <f>ROUND(SUMIF(AA340:AA349,"=72192302",GM340:GM349),2)</f>
        <v>55222.79</v>
      </c>
      <c r="CB351" s="2">
        <f>ROUND(SUMIF(AA340:AA349,"=72192302",GN340:GN349),2)</f>
        <v>0</v>
      </c>
      <c r="CC351" s="2">
        <f>ROUND(SUMIF(AA340:AA349,"=72192302",GO340:GO349),2)</f>
        <v>0</v>
      </c>
      <c r="CD351" s="2">
        <f>ROUND(SUMIF(AA340:AA349,"=72192302",GP340:GP349),2)</f>
        <v>55222.79</v>
      </c>
      <c r="CE351" s="2">
        <f>AC351-BX351</f>
        <v>48829.83</v>
      </c>
      <c r="CF351" s="2">
        <f>AC351-BY351</f>
        <v>48829.83</v>
      </c>
      <c r="CG351" s="2">
        <f>BX351-BZ351</f>
        <v>0</v>
      </c>
      <c r="CH351" s="2">
        <f>AC351-BX351-BY351+BZ351</f>
        <v>48829.83</v>
      </c>
      <c r="CI351" s="2">
        <f>BY351-BZ351</f>
        <v>0</v>
      </c>
      <c r="CJ351" s="2">
        <f>ROUND(SUMIF(AA340:AA349,"=72192302",GX340:GX349),2)</f>
        <v>0</v>
      </c>
      <c r="CK351" s="2">
        <f>ROUND(SUMIF(AA340:AA349,"=72192302",GY340:GY349),2)</f>
        <v>0</v>
      </c>
      <c r="CL351" s="2">
        <f>ROUND(SUMIF(AA340:AA349,"=72192302",GZ340:GZ349),2)</f>
        <v>0</v>
      </c>
      <c r="CM351" s="2">
        <f>ROUND(SUMIF(AA340:AA349,"=72192302",HD340:HD349),2)</f>
        <v>0</v>
      </c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>
        <v>0</v>
      </c>
    </row>
    <row r="353" spans="1:28" x14ac:dyDescent="0.2">
      <c r="A353" s="4">
        <v>50</v>
      </c>
      <c r="B353" s="4">
        <v>0</v>
      </c>
      <c r="C353" s="4">
        <v>0</v>
      </c>
      <c r="D353" s="4">
        <v>1</v>
      </c>
      <c r="E353" s="4">
        <v>201</v>
      </c>
      <c r="F353" s="4">
        <f>ROUND(Source!O351,O353)</f>
        <v>52382.01</v>
      </c>
      <c r="G353" s="4" t="s">
        <v>64</v>
      </c>
      <c r="H353" s="4" t="s">
        <v>65</v>
      </c>
      <c r="I353" s="4"/>
      <c r="J353" s="4"/>
      <c r="K353" s="4">
        <v>201</v>
      </c>
      <c r="L353" s="4">
        <v>1</v>
      </c>
      <c r="M353" s="4">
        <v>3</v>
      </c>
      <c r="N353" s="4" t="s">
        <v>3</v>
      </c>
      <c r="O353" s="4">
        <v>2</v>
      </c>
      <c r="P353" s="4"/>
      <c r="Q353" s="4"/>
      <c r="R353" s="4"/>
      <c r="S353" s="4"/>
      <c r="T353" s="4"/>
      <c r="U353" s="4"/>
      <c r="V353" s="4"/>
      <c r="W353" s="4">
        <v>52382.01</v>
      </c>
      <c r="X353" s="4">
        <v>1</v>
      </c>
      <c r="Y353" s="4">
        <v>52382.01</v>
      </c>
      <c r="Z353" s="4"/>
      <c r="AA353" s="4"/>
      <c r="AB353" s="4"/>
    </row>
    <row r="354" spans="1:28" x14ac:dyDescent="0.2">
      <c r="A354" s="4">
        <v>50</v>
      </c>
      <c r="B354" s="4">
        <v>0</v>
      </c>
      <c r="C354" s="4">
        <v>0</v>
      </c>
      <c r="D354" s="4">
        <v>1</v>
      </c>
      <c r="E354" s="4">
        <v>202</v>
      </c>
      <c r="F354" s="4">
        <f>ROUND(Source!P351,O354)</f>
        <v>48829.83</v>
      </c>
      <c r="G354" s="4" t="s">
        <v>66</v>
      </c>
      <c r="H354" s="4" t="s">
        <v>67</v>
      </c>
      <c r="I354" s="4"/>
      <c r="J354" s="4"/>
      <c r="K354" s="4">
        <v>202</v>
      </c>
      <c r="L354" s="4">
        <v>2</v>
      </c>
      <c r="M354" s="4">
        <v>3</v>
      </c>
      <c r="N354" s="4" t="s">
        <v>3</v>
      </c>
      <c r="O354" s="4">
        <v>2</v>
      </c>
      <c r="P354" s="4"/>
      <c r="Q354" s="4"/>
      <c r="R354" s="4"/>
      <c r="S354" s="4"/>
      <c r="T354" s="4"/>
      <c r="U354" s="4"/>
      <c r="V354" s="4"/>
      <c r="W354" s="4">
        <v>48829.83</v>
      </c>
      <c r="X354" s="4">
        <v>1</v>
      </c>
      <c r="Y354" s="4">
        <v>48829.83</v>
      </c>
      <c r="Z354" s="4"/>
      <c r="AA354" s="4"/>
      <c r="AB354" s="4"/>
    </row>
    <row r="355" spans="1:28" x14ac:dyDescent="0.2">
      <c r="A355" s="4">
        <v>50</v>
      </c>
      <c r="B355" s="4">
        <v>0</v>
      </c>
      <c r="C355" s="4">
        <v>0</v>
      </c>
      <c r="D355" s="4">
        <v>1</v>
      </c>
      <c r="E355" s="4">
        <v>222</v>
      </c>
      <c r="F355" s="4">
        <f>ROUND(Source!AO351,O355)</f>
        <v>0</v>
      </c>
      <c r="G355" s="4" t="s">
        <v>68</v>
      </c>
      <c r="H355" s="4" t="s">
        <v>69</v>
      </c>
      <c r="I355" s="4"/>
      <c r="J355" s="4"/>
      <c r="K355" s="4">
        <v>222</v>
      </c>
      <c r="L355" s="4">
        <v>3</v>
      </c>
      <c r="M355" s="4">
        <v>3</v>
      </c>
      <c r="N355" s="4" t="s">
        <v>3</v>
      </c>
      <c r="O355" s="4">
        <v>2</v>
      </c>
      <c r="P355" s="4"/>
      <c r="Q355" s="4"/>
      <c r="R355" s="4"/>
      <c r="S355" s="4"/>
      <c r="T355" s="4"/>
      <c r="U355" s="4"/>
      <c r="V355" s="4"/>
      <c r="W355" s="4">
        <v>0</v>
      </c>
      <c r="X355" s="4">
        <v>1</v>
      </c>
      <c r="Y355" s="4">
        <v>0</v>
      </c>
      <c r="Z355" s="4"/>
      <c r="AA355" s="4"/>
      <c r="AB355" s="4"/>
    </row>
    <row r="356" spans="1:28" x14ac:dyDescent="0.2">
      <c r="A356" s="4">
        <v>50</v>
      </c>
      <c r="B356" s="4">
        <v>0</v>
      </c>
      <c r="C356" s="4">
        <v>0</v>
      </c>
      <c r="D356" s="4">
        <v>1</v>
      </c>
      <c r="E356" s="4">
        <v>225</v>
      </c>
      <c r="F356" s="4">
        <f>ROUND(Source!AV351,O356)</f>
        <v>48829.83</v>
      </c>
      <c r="G356" s="4" t="s">
        <v>70</v>
      </c>
      <c r="H356" s="4" t="s">
        <v>71</v>
      </c>
      <c r="I356" s="4"/>
      <c r="J356" s="4"/>
      <c r="K356" s="4">
        <v>225</v>
      </c>
      <c r="L356" s="4">
        <v>4</v>
      </c>
      <c r="M356" s="4">
        <v>3</v>
      </c>
      <c r="N356" s="4" t="s">
        <v>3</v>
      </c>
      <c r="O356" s="4">
        <v>2</v>
      </c>
      <c r="P356" s="4"/>
      <c r="Q356" s="4"/>
      <c r="R356" s="4"/>
      <c r="S356" s="4"/>
      <c r="T356" s="4"/>
      <c r="U356" s="4"/>
      <c r="V356" s="4"/>
      <c r="W356" s="4">
        <v>48829.83</v>
      </c>
      <c r="X356" s="4">
        <v>1</v>
      </c>
      <c r="Y356" s="4">
        <v>48829.83</v>
      </c>
      <c r="Z356" s="4"/>
      <c r="AA356" s="4"/>
      <c r="AB356" s="4"/>
    </row>
    <row r="357" spans="1:28" x14ac:dyDescent="0.2">
      <c r="A357" s="4">
        <v>50</v>
      </c>
      <c r="B357" s="4">
        <v>0</v>
      </c>
      <c r="C357" s="4">
        <v>0</v>
      </c>
      <c r="D357" s="4">
        <v>1</v>
      </c>
      <c r="E357" s="4">
        <v>226</v>
      </c>
      <c r="F357" s="4">
        <f>ROUND(Source!AW351,O357)</f>
        <v>48829.83</v>
      </c>
      <c r="G357" s="4" t="s">
        <v>72</v>
      </c>
      <c r="H357" s="4" t="s">
        <v>73</v>
      </c>
      <c r="I357" s="4"/>
      <c r="J357" s="4"/>
      <c r="K357" s="4">
        <v>226</v>
      </c>
      <c r="L357" s="4">
        <v>5</v>
      </c>
      <c r="M357" s="4">
        <v>3</v>
      </c>
      <c r="N357" s="4" t="s">
        <v>3</v>
      </c>
      <c r="O357" s="4">
        <v>2</v>
      </c>
      <c r="P357" s="4"/>
      <c r="Q357" s="4"/>
      <c r="R357" s="4"/>
      <c r="S357" s="4"/>
      <c r="T357" s="4"/>
      <c r="U357" s="4"/>
      <c r="V357" s="4"/>
      <c r="W357" s="4">
        <v>48829.83</v>
      </c>
      <c r="X357" s="4">
        <v>1</v>
      </c>
      <c r="Y357" s="4">
        <v>48829.83</v>
      </c>
      <c r="Z357" s="4"/>
      <c r="AA357" s="4"/>
      <c r="AB357" s="4"/>
    </row>
    <row r="358" spans="1:28" x14ac:dyDescent="0.2">
      <c r="A358" s="4">
        <v>50</v>
      </c>
      <c r="B358" s="4">
        <v>0</v>
      </c>
      <c r="C358" s="4">
        <v>0</v>
      </c>
      <c r="D358" s="4">
        <v>1</v>
      </c>
      <c r="E358" s="4">
        <v>227</v>
      </c>
      <c r="F358" s="4">
        <f>ROUND(Source!AX351,O358)</f>
        <v>0</v>
      </c>
      <c r="G358" s="4" t="s">
        <v>74</v>
      </c>
      <c r="H358" s="4" t="s">
        <v>75</v>
      </c>
      <c r="I358" s="4"/>
      <c r="J358" s="4"/>
      <c r="K358" s="4">
        <v>227</v>
      </c>
      <c r="L358" s="4">
        <v>6</v>
      </c>
      <c r="M358" s="4">
        <v>3</v>
      </c>
      <c r="N358" s="4" t="s">
        <v>3</v>
      </c>
      <c r="O358" s="4">
        <v>2</v>
      </c>
      <c r="P358" s="4"/>
      <c r="Q358" s="4"/>
      <c r="R358" s="4"/>
      <c r="S358" s="4"/>
      <c r="T358" s="4"/>
      <c r="U358" s="4"/>
      <c r="V358" s="4"/>
      <c r="W358" s="4">
        <v>0</v>
      </c>
      <c r="X358" s="4">
        <v>1</v>
      </c>
      <c r="Y358" s="4">
        <v>0</v>
      </c>
      <c r="Z358" s="4"/>
      <c r="AA358" s="4"/>
      <c r="AB358" s="4"/>
    </row>
    <row r="359" spans="1:28" x14ac:dyDescent="0.2">
      <c r="A359" s="4">
        <v>50</v>
      </c>
      <c r="B359" s="4">
        <v>0</v>
      </c>
      <c r="C359" s="4">
        <v>0</v>
      </c>
      <c r="D359" s="4">
        <v>1</v>
      </c>
      <c r="E359" s="4">
        <v>228</v>
      </c>
      <c r="F359" s="4">
        <f>ROUND(Source!AY351,O359)</f>
        <v>48829.83</v>
      </c>
      <c r="G359" s="4" t="s">
        <v>76</v>
      </c>
      <c r="H359" s="4" t="s">
        <v>77</v>
      </c>
      <c r="I359" s="4"/>
      <c r="J359" s="4"/>
      <c r="K359" s="4">
        <v>228</v>
      </c>
      <c r="L359" s="4">
        <v>7</v>
      </c>
      <c r="M359" s="4">
        <v>3</v>
      </c>
      <c r="N359" s="4" t="s">
        <v>3</v>
      </c>
      <c r="O359" s="4">
        <v>2</v>
      </c>
      <c r="P359" s="4"/>
      <c r="Q359" s="4"/>
      <c r="R359" s="4"/>
      <c r="S359" s="4"/>
      <c r="T359" s="4"/>
      <c r="U359" s="4"/>
      <c r="V359" s="4"/>
      <c r="W359" s="4">
        <v>48829.83</v>
      </c>
      <c r="X359" s="4">
        <v>1</v>
      </c>
      <c r="Y359" s="4">
        <v>48829.83</v>
      </c>
      <c r="Z359" s="4"/>
      <c r="AA359" s="4"/>
      <c r="AB359" s="4"/>
    </row>
    <row r="360" spans="1:28" x14ac:dyDescent="0.2">
      <c r="A360" s="4">
        <v>50</v>
      </c>
      <c r="B360" s="4">
        <v>0</v>
      </c>
      <c r="C360" s="4">
        <v>0</v>
      </c>
      <c r="D360" s="4">
        <v>1</v>
      </c>
      <c r="E360" s="4">
        <v>216</v>
      </c>
      <c r="F360" s="4">
        <f>ROUND(Source!AP351,O360)</f>
        <v>0</v>
      </c>
      <c r="G360" s="4" t="s">
        <v>78</v>
      </c>
      <c r="H360" s="4" t="s">
        <v>79</v>
      </c>
      <c r="I360" s="4"/>
      <c r="J360" s="4"/>
      <c r="K360" s="4">
        <v>216</v>
      </c>
      <c r="L360" s="4">
        <v>8</v>
      </c>
      <c r="M360" s="4">
        <v>3</v>
      </c>
      <c r="N360" s="4" t="s">
        <v>3</v>
      </c>
      <c r="O360" s="4">
        <v>2</v>
      </c>
      <c r="P360" s="4"/>
      <c r="Q360" s="4"/>
      <c r="R360" s="4"/>
      <c r="S360" s="4"/>
      <c r="T360" s="4"/>
      <c r="U360" s="4"/>
      <c r="V360" s="4"/>
      <c r="W360" s="4">
        <v>0</v>
      </c>
      <c r="X360" s="4">
        <v>1</v>
      </c>
      <c r="Y360" s="4">
        <v>0</v>
      </c>
      <c r="Z360" s="4"/>
      <c r="AA360" s="4"/>
      <c r="AB360" s="4"/>
    </row>
    <row r="361" spans="1:28" x14ac:dyDescent="0.2">
      <c r="A361" s="4">
        <v>50</v>
      </c>
      <c r="B361" s="4">
        <v>0</v>
      </c>
      <c r="C361" s="4">
        <v>0</v>
      </c>
      <c r="D361" s="4">
        <v>1</v>
      </c>
      <c r="E361" s="4">
        <v>223</v>
      </c>
      <c r="F361" s="4">
        <f>ROUND(Source!AQ351,O361)</f>
        <v>0</v>
      </c>
      <c r="G361" s="4" t="s">
        <v>80</v>
      </c>
      <c r="H361" s="4" t="s">
        <v>81</v>
      </c>
      <c r="I361" s="4"/>
      <c r="J361" s="4"/>
      <c r="K361" s="4">
        <v>223</v>
      </c>
      <c r="L361" s="4">
        <v>9</v>
      </c>
      <c r="M361" s="4">
        <v>3</v>
      </c>
      <c r="N361" s="4" t="s">
        <v>3</v>
      </c>
      <c r="O361" s="4">
        <v>2</v>
      </c>
      <c r="P361" s="4"/>
      <c r="Q361" s="4"/>
      <c r="R361" s="4"/>
      <c r="S361" s="4"/>
      <c r="T361" s="4"/>
      <c r="U361" s="4"/>
      <c r="V361" s="4"/>
      <c r="W361" s="4">
        <v>0</v>
      </c>
      <c r="X361" s="4">
        <v>1</v>
      </c>
      <c r="Y361" s="4">
        <v>0</v>
      </c>
      <c r="Z361" s="4"/>
      <c r="AA361" s="4"/>
      <c r="AB361" s="4"/>
    </row>
    <row r="362" spans="1:28" x14ac:dyDescent="0.2">
      <c r="A362" s="4">
        <v>50</v>
      </c>
      <c r="B362" s="4">
        <v>0</v>
      </c>
      <c r="C362" s="4">
        <v>0</v>
      </c>
      <c r="D362" s="4">
        <v>1</v>
      </c>
      <c r="E362" s="4">
        <v>229</v>
      </c>
      <c r="F362" s="4">
        <f>ROUND(Source!AZ351,O362)</f>
        <v>0</v>
      </c>
      <c r="G362" s="4" t="s">
        <v>82</v>
      </c>
      <c r="H362" s="4" t="s">
        <v>83</v>
      </c>
      <c r="I362" s="4"/>
      <c r="J362" s="4"/>
      <c r="K362" s="4">
        <v>229</v>
      </c>
      <c r="L362" s="4">
        <v>10</v>
      </c>
      <c r="M362" s="4">
        <v>3</v>
      </c>
      <c r="N362" s="4" t="s">
        <v>3</v>
      </c>
      <c r="O362" s="4">
        <v>2</v>
      </c>
      <c r="P362" s="4"/>
      <c r="Q362" s="4"/>
      <c r="R362" s="4"/>
      <c r="S362" s="4"/>
      <c r="T362" s="4"/>
      <c r="U362" s="4"/>
      <c r="V362" s="4"/>
      <c r="W362" s="4">
        <v>0</v>
      </c>
      <c r="X362" s="4">
        <v>1</v>
      </c>
      <c r="Y362" s="4">
        <v>0</v>
      </c>
      <c r="Z362" s="4"/>
      <c r="AA362" s="4"/>
      <c r="AB362" s="4"/>
    </row>
    <row r="363" spans="1:28" x14ac:dyDescent="0.2">
      <c r="A363" s="4">
        <v>50</v>
      </c>
      <c r="B363" s="4">
        <v>0</v>
      </c>
      <c r="C363" s="4">
        <v>0</v>
      </c>
      <c r="D363" s="4">
        <v>1</v>
      </c>
      <c r="E363" s="4">
        <v>203</v>
      </c>
      <c r="F363" s="4">
        <f>ROUND(Source!Q351,O363)</f>
        <v>1.26</v>
      </c>
      <c r="G363" s="4" t="s">
        <v>84</v>
      </c>
      <c r="H363" s="4" t="s">
        <v>85</v>
      </c>
      <c r="I363" s="4"/>
      <c r="J363" s="4"/>
      <c r="K363" s="4">
        <v>203</v>
      </c>
      <c r="L363" s="4">
        <v>11</v>
      </c>
      <c r="M363" s="4">
        <v>3</v>
      </c>
      <c r="N363" s="4" t="s">
        <v>3</v>
      </c>
      <c r="O363" s="4">
        <v>2</v>
      </c>
      <c r="P363" s="4"/>
      <c r="Q363" s="4"/>
      <c r="R363" s="4"/>
      <c r="S363" s="4"/>
      <c r="T363" s="4"/>
      <c r="U363" s="4"/>
      <c r="V363" s="4"/>
      <c r="W363" s="4">
        <v>1.26</v>
      </c>
      <c r="X363" s="4">
        <v>1</v>
      </c>
      <c r="Y363" s="4">
        <v>1.26</v>
      </c>
      <c r="Z363" s="4"/>
      <c r="AA363" s="4"/>
      <c r="AB363" s="4"/>
    </row>
    <row r="364" spans="1:28" x14ac:dyDescent="0.2">
      <c r="A364" s="4">
        <v>50</v>
      </c>
      <c r="B364" s="4">
        <v>0</v>
      </c>
      <c r="C364" s="4">
        <v>0</v>
      </c>
      <c r="D364" s="4">
        <v>1</v>
      </c>
      <c r="E364" s="4">
        <v>231</v>
      </c>
      <c r="F364" s="4">
        <f>ROUND(Source!BB351,O364)</f>
        <v>0</v>
      </c>
      <c r="G364" s="4" t="s">
        <v>86</v>
      </c>
      <c r="H364" s="4" t="s">
        <v>87</v>
      </c>
      <c r="I364" s="4"/>
      <c r="J364" s="4"/>
      <c r="K364" s="4">
        <v>231</v>
      </c>
      <c r="L364" s="4">
        <v>12</v>
      </c>
      <c r="M364" s="4">
        <v>3</v>
      </c>
      <c r="N364" s="4" t="s">
        <v>3</v>
      </c>
      <c r="O364" s="4">
        <v>2</v>
      </c>
      <c r="P364" s="4"/>
      <c r="Q364" s="4"/>
      <c r="R364" s="4"/>
      <c r="S364" s="4"/>
      <c r="T364" s="4"/>
      <c r="U364" s="4"/>
      <c r="V364" s="4"/>
      <c r="W364" s="4">
        <v>0</v>
      </c>
      <c r="X364" s="4">
        <v>1</v>
      </c>
      <c r="Y364" s="4">
        <v>0</v>
      </c>
      <c r="Z364" s="4"/>
      <c r="AA364" s="4"/>
      <c r="AB364" s="4"/>
    </row>
    <row r="365" spans="1:28" x14ac:dyDescent="0.2">
      <c r="A365" s="4">
        <v>50</v>
      </c>
      <c r="B365" s="4">
        <v>0</v>
      </c>
      <c r="C365" s="4">
        <v>0</v>
      </c>
      <c r="D365" s="4">
        <v>1</v>
      </c>
      <c r="E365" s="4">
        <v>204</v>
      </c>
      <c r="F365" s="4">
        <f>ROUND(Source!R351,O365)</f>
        <v>0.04</v>
      </c>
      <c r="G365" s="4" t="s">
        <v>88</v>
      </c>
      <c r="H365" s="4" t="s">
        <v>89</v>
      </c>
      <c r="I365" s="4"/>
      <c r="J365" s="4"/>
      <c r="K365" s="4">
        <v>204</v>
      </c>
      <c r="L365" s="4">
        <v>13</v>
      </c>
      <c r="M365" s="4">
        <v>3</v>
      </c>
      <c r="N365" s="4" t="s">
        <v>3</v>
      </c>
      <c r="O365" s="4">
        <v>2</v>
      </c>
      <c r="P365" s="4"/>
      <c r="Q365" s="4"/>
      <c r="R365" s="4"/>
      <c r="S365" s="4"/>
      <c r="T365" s="4"/>
      <c r="U365" s="4"/>
      <c r="V365" s="4"/>
      <c r="W365" s="4">
        <v>0.04</v>
      </c>
      <c r="X365" s="4">
        <v>1</v>
      </c>
      <c r="Y365" s="4">
        <v>0.04</v>
      </c>
      <c r="Z365" s="4"/>
      <c r="AA365" s="4"/>
      <c r="AB365" s="4"/>
    </row>
    <row r="366" spans="1:28" x14ac:dyDescent="0.2">
      <c r="A366" s="4">
        <v>50</v>
      </c>
      <c r="B366" s="4">
        <v>0</v>
      </c>
      <c r="C366" s="4">
        <v>0</v>
      </c>
      <c r="D366" s="4">
        <v>1</v>
      </c>
      <c r="E366" s="4">
        <v>205</v>
      </c>
      <c r="F366" s="4">
        <f>ROUND(Source!S351,O366)</f>
        <v>3550.92</v>
      </c>
      <c r="G366" s="4" t="s">
        <v>90</v>
      </c>
      <c r="H366" s="4" t="s">
        <v>91</v>
      </c>
      <c r="I366" s="4"/>
      <c r="J366" s="4"/>
      <c r="K366" s="4">
        <v>205</v>
      </c>
      <c r="L366" s="4">
        <v>14</v>
      </c>
      <c r="M366" s="4">
        <v>3</v>
      </c>
      <c r="N366" s="4" t="s">
        <v>3</v>
      </c>
      <c r="O366" s="4">
        <v>2</v>
      </c>
      <c r="P366" s="4"/>
      <c r="Q366" s="4"/>
      <c r="R366" s="4"/>
      <c r="S366" s="4"/>
      <c r="T366" s="4"/>
      <c r="U366" s="4"/>
      <c r="V366" s="4"/>
      <c r="W366" s="4">
        <v>3550.92</v>
      </c>
      <c r="X366" s="4">
        <v>1</v>
      </c>
      <c r="Y366" s="4">
        <v>3550.92</v>
      </c>
      <c r="Z366" s="4"/>
      <c r="AA366" s="4"/>
      <c r="AB366" s="4"/>
    </row>
    <row r="367" spans="1:28" x14ac:dyDescent="0.2">
      <c r="A367" s="4">
        <v>50</v>
      </c>
      <c r="B367" s="4">
        <v>0</v>
      </c>
      <c r="C367" s="4">
        <v>0</v>
      </c>
      <c r="D367" s="4">
        <v>1</v>
      </c>
      <c r="E367" s="4">
        <v>232</v>
      </c>
      <c r="F367" s="4">
        <f>ROUND(Source!BC351,O367)</f>
        <v>0</v>
      </c>
      <c r="G367" s="4" t="s">
        <v>92</v>
      </c>
      <c r="H367" s="4" t="s">
        <v>93</v>
      </c>
      <c r="I367" s="4"/>
      <c r="J367" s="4"/>
      <c r="K367" s="4">
        <v>232</v>
      </c>
      <c r="L367" s="4">
        <v>15</v>
      </c>
      <c r="M367" s="4">
        <v>3</v>
      </c>
      <c r="N367" s="4" t="s">
        <v>3</v>
      </c>
      <c r="O367" s="4">
        <v>2</v>
      </c>
      <c r="P367" s="4"/>
      <c r="Q367" s="4"/>
      <c r="R367" s="4"/>
      <c r="S367" s="4"/>
      <c r="T367" s="4"/>
      <c r="U367" s="4"/>
      <c r="V367" s="4"/>
      <c r="W367" s="4">
        <v>0</v>
      </c>
      <c r="X367" s="4">
        <v>1</v>
      </c>
      <c r="Y367" s="4">
        <v>0</v>
      </c>
      <c r="Z367" s="4"/>
      <c r="AA367" s="4"/>
      <c r="AB367" s="4"/>
    </row>
    <row r="368" spans="1:28" x14ac:dyDescent="0.2">
      <c r="A368" s="4">
        <v>50</v>
      </c>
      <c r="B368" s="4">
        <v>0</v>
      </c>
      <c r="C368" s="4">
        <v>0</v>
      </c>
      <c r="D368" s="4">
        <v>1</v>
      </c>
      <c r="E368" s="4">
        <v>214</v>
      </c>
      <c r="F368" s="4">
        <f>ROUND(Source!AS351,O368)</f>
        <v>0</v>
      </c>
      <c r="G368" s="4" t="s">
        <v>94</v>
      </c>
      <c r="H368" s="4" t="s">
        <v>95</v>
      </c>
      <c r="I368" s="4"/>
      <c r="J368" s="4"/>
      <c r="K368" s="4">
        <v>214</v>
      </c>
      <c r="L368" s="4">
        <v>16</v>
      </c>
      <c r="M368" s="4">
        <v>3</v>
      </c>
      <c r="N368" s="4" t="s">
        <v>3</v>
      </c>
      <c r="O368" s="4">
        <v>2</v>
      </c>
      <c r="P368" s="4"/>
      <c r="Q368" s="4"/>
      <c r="R368" s="4"/>
      <c r="S368" s="4"/>
      <c r="T368" s="4"/>
      <c r="U368" s="4"/>
      <c r="V368" s="4"/>
      <c r="W368" s="4">
        <v>0</v>
      </c>
      <c r="X368" s="4">
        <v>1</v>
      </c>
      <c r="Y368" s="4">
        <v>0</v>
      </c>
      <c r="Z368" s="4"/>
      <c r="AA368" s="4"/>
      <c r="AB368" s="4"/>
    </row>
    <row r="369" spans="1:206" x14ac:dyDescent="0.2">
      <c r="A369" s="4">
        <v>50</v>
      </c>
      <c r="B369" s="4">
        <v>0</v>
      </c>
      <c r="C369" s="4">
        <v>0</v>
      </c>
      <c r="D369" s="4">
        <v>1</v>
      </c>
      <c r="E369" s="4">
        <v>215</v>
      </c>
      <c r="F369" s="4">
        <f>ROUND(Source!AT351,O369)</f>
        <v>0</v>
      </c>
      <c r="G369" s="4" t="s">
        <v>96</v>
      </c>
      <c r="H369" s="4" t="s">
        <v>97</v>
      </c>
      <c r="I369" s="4"/>
      <c r="J369" s="4"/>
      <c r="K369" s="4">
        <v>215</v>
      </c>
      <c r="L369" s="4">
        <v>17</v>
      </c>
      <c r="M369" s="4">
        <v>3</v>
      </c>
      <c r="N369" s="4" t="s">
        <v>3</v>
      </c>
      <c r="O369" s="4">
        <v>2</v>
      </c>
      <c r="P369" s="4"/>
      <c r="Q369" s="4"/>
      <c r="R369" s="4"/>
      <c r="S369" s="4"/>
      <c r="T369" s="4"/>
      <c r="U369" s="4"/>
      <c r="V369" s="4"/>
      <c r="W369" s="4">
        <v>0</v>
      </c>
      <c r="X369" s="4">
        <v>1</v>
      </c>
      <c r="Y369" s="4">
        <v>0</v>
      </c>
      <c r="Z369" s="4"/>
      <c r="AA369" s="4"/>
      <c r="AB369" s="4"/>
    </row>
    <row r="370" spans="1:206" x14ac:dyDescent="0.2">
      <c r="A370" s="4">
        <v>50</v>
      </c>
      <c r="B370" s="4">
        <v>0</v>
      </c>
      <c r="C370" s="4">
        <v>0</v>
      </c>
      <c r="D370" s="4">
        <v>1</v>
      </c>
      <c r="E370" s="4">
        <v>217</v>
      </c>
      <c r="F370" s="4">
        <f>ROUND(Source!AU351,O370)</f>
        <v>55222.79</v>
      </c>
      <c r="G370" s="4" t="s">
        <v>98</v>
      </c>
      <c r="H370" s="4" t="s">
        <v>99</v>
      </c>
      <c r="I370" s="4"/>
      <c r="J370" s="4"/>
      <c r="K370" s="4">
        <v>217</v>
      </c>
      <c r="L370" s="4">
        <v>18</v>
      </c>
      <c r="M370" s="4">
        <v>3</v>
      </c>
      <c r="N370" s="4" t="s">
        <v>3</v>
      </c>
      <c r="O370" s="4">
        <v>2</v>
      </c>
      <c r="P370" s="4"/>
      <c r="Q370" s="4"/>
      <c r="R370" s="4"/>
      <c r="S370" s="4"/>
      <c r="T370" s="4"/>
      <c r="U370" s="4"/>
      <c r="V370" s="4"/>
      <c r="W370" s="4">
        <v>55222.79</v>
      </c>
      <c r="X370" s="4">
        <v>1</v>
      </c>
      <c r="Y370" s="4">
        <v>55222.79</v>
      </c>
      <c r="Z370" s="4"/>
      <c r="AA370" s="4"/>
      <c r="AB370" s="4"/>
    </row>
    <row r="371" spans="1:206" x14ac:dyDescent="0.2">
      <c r="A371" s="4">
        <v>50</v>
      </c>
      <c r="B371" s="4">
        <v>0</v>
      </c>
      <c r="C371" s="4">
        <v>0</v>
      </c>
      <c r="D371" s="4">
        <v>1</v>
      </c>
      <c r="E371" s="4">
        <v>230</v>
      </c>
      <c r="F371" s="4">
        <f>ROUND(Source!BA351,O371)</f>
        <v>0</v>
      </c>
      <c r="G371" s="4" t="s">
        <v>100</v>
      </c>
      <c r="H371" s="4" t="s">
        <v>101</v>
      </c>
      <c r="I371" s="4"/>
      <c r="J371" s="4"/>
      <c r="K371" s="4">
        <v>230</v>
      </c>
      <c r="L371" s="4">
        <v>19</v>
      </c>
      <c r="M371" s="4">
        <v>3</v>
      </c>
      <c r="N371" s="4" t="s">
        <v>3</v>
      </c>
      <c r="O371" s="4">
        <v>2</v>
      </c>
      <c r="P371" s="4"/>
      <c r="Q371" s="4"/>
      <c r="R371" s="4"/>
      <c r="S371" s="4"/>
      <c r="T371" s="4"/>
      <c r="U371" s="4"/>
      <c r="V371" s="4"/>
      <c r="W371" s="4">
        <v>0</v>
      </c>
      <c r="X371" s="4">
        <v>1</v>
      </c>
      <c r="Y371" s="4">
        <v>0</v>
      </c>
      <c r="Z371" s="4"/>
      <c r="AA371" s="4"/>
      <c r="AB371" s="4"/>
    </row>
    <row r="372" spans="1:206" x14ac:dyDescent="0.2">
      <c r="A372" s="4">
        <v>50</v>
      </c>
      <c r="B372" s="4">
        <v>0</v>
      </c>
      <c r="C372" s="4">
        <v>0</v>
      </c>
      <c r="D372" s="4">
        <v>1</v>
      </c>
      <c r="E372" s="4">
        <v>206</v>
      </c>
      <c r="F372" s="4">
        <f>ROUND(Source!T351,O372)</f>
        <v>0</v>
      </c>
      <c r="G372" s="4" t="s">
        <v>102</v>
      </c>
      <c r="H372" s="4" t="s">
        <v>103</v>
      </c>
      <c r="I372" s="4"/>
      <c r="J372" s="4"/>
      <c r="K372" s="4">
        <v>206</v>
      </c>
      <c r="L372" s="4">
        <v>20</v>
      </c>
      <c r="M372" s="4">
        <v>3</v>
      </c>
      <c r="N372" s="4" t="s">
        <v>3</v>
      </c>
      <c r="O372" s="4">
        <v>2</v>
      </c>
      <c r="P372" s="4"/>
      <c r="Q372" s="4"/>
      <c r="R372" s="4"/>
      <c r="S372" s="4"/>
      <c r="T372" s="4"/>
      <c r="U372" s="4"/>
      <c r="V372" s="4"/>
      <c r="W372" s="4">
        <v>0</v>
      </c>
      <c r="X372" s="4">
        <v>1</v>
      </c>
      <c r="Y372" s="4">
        <v>0</v>
      </c>
      <c r="Z372" s="4"/>
      <c r="AA372" s="4"/>
      <c r="AB372" s="4"/>
    </row>
    <row r="373" spans="1:206" x14ac:dyDescent="0.2">
      <c r="A373" s="4">
        <v>50</v>
      </c>
      <c r="B373" s="4">
        <v>0</v>
      </c>
      <c r="C373" s="4">
        <v>0</v>
      </c>
      <c r="D373" s="4">
        <v>1</v>
      </c>
      <c r="E373" s="4">
        <v>207</v>
      </c>
      <c r="F373" s="4">
        <f>Source!U351</f>
        <v>10.588032</v>
      </c>
      <c r="G373" s="4" t="s">
        <v>104</v>
      </c>
      <c r="H373" s="4" t="s">
        <v>105</v>
      </c>
      <c r="I373" s="4"/>
      <c r="J373" s="4"/>
      <c r="K373" s="4">
        <v>207</v>
      </c>
      <c r="L373" s="4">
        <v>21</v>
      </c>
      <c r="M373" s="4">
        <v>3</v>
      </c>
      <c r="N373" s="4" t="s">
        <v>3</v>
      </c>
      <c r="O373" s="4">
        <v>-1</v>
      </c>
      <c r="P373" s="4"/>
      <c r="Q373" s="4"/>
      <c r="R373" s="4"/>
      <c r="S373" s="4"/>
      <c r="T373" s="4"/>
      <c r="U373" s="4"/>
      <c r="V373" s="4"/>
      <c r="W373" s="4">
        <v>10.588032</v>
      </c>
      <c r="X373" s="4">
        <v>1</v>
      </c>
      <c r="Y373" s="4">
        <v>10.588032</v>
      </c>
      <c r="Z373" s="4"/>
      <c r="AA373" s="4"/>
      <c r="AB373" s="4"/>
    </row>
    <row r="374" spans="1:206" x14ac:dyDescent="0.2">
      <c r="A374" s="4">
        <v>50</v>
      </c>
      <c r="B374" s="4">
        <v>0</v>
      </c>
      <c r="C374" s="4">
        <v>0</v>
      </c>
      <c r="D374" s="4">
        <v>1</v>
      </c>
      <c r="E374" s="4">
        <v>208</v>
      </c>
      <c r="F374" s="4">
        <f>Source!V351</f>
        <v>0</v>
      </c>
      <c r="G374" s="4" t="s">
        <v>106</v>
      </c>
      <c r="H374" s="4" t="s">
        <v>107</v>
      </c>
      <c r="I374" s="4"/>
      <c r="J374" s="4"/>
      <c r="K374" s="4">
        <v>208</v>
      </c>
      <c r="L374" s="4">
        <v>22</v>
      </c>
      <c r="M374" s="4">
        <v>3</v>
      </c>
      <c r="N374" s="4" t="s">
        <v>3</v>
      </c>
      <c r="O374" s="4">
        <v>-1</v>
      </c>
      <c r="P374" s="4"/>
      <c r="Q374" s="4"/>
      <c r="R374" s="4"/>
      <c r="S374" s="4"/>
      <c r="T374" s="4"/>
      <c r="U374" s="4"/>
      <c r="V374" s="4"/>
      <c r="W374" s="4">
        <v>0</v>
      </c>
      <c r="X374" s="4">
        <v>1</v>
      </c>
      <c r="Y374" s="4">
        <v>0</v>
      </c>
      <c r="Z374" s="4"/>
      <c r="AA374" s="4"/>
      <c r="AB374" s="4"/>
    </row>
    <row r="375" spans="1:206" x14ac:dyDescent="0.2">
      <c r="A375" s="4">
        <v>50</v>
      </c>
      <c r="B375" s="4">
        <v>0</v>
      </c>
      <c r="C375" s="4">
        <v>0</v>
      </c>
      <c r="D375" s="4">
        <v>1</v>
      </c>
      <c r="E375" s="4">
        <v>209</v>
      </c>
      <c r="F375" s="4">
        <f>ROUND(Source!W351,O375)</f>
        <v>0</v>
      </c>
      <c r="G375" s="4" t="s">
        <v>108</v>
      </c>
      <c r="H375" s="4" t="s">
        <v>109</v>
      </c>
      <c r="I375" s="4"/>
      <c r="J375" s="4"/>
      <c r="K375" s="4">
        <v>209</v>
      </c>
      <c r="L375" s="4">
        <v>23</v>
      </c>
      <c r="M375" s="4">
        <v>3</v>
      </c>
      <c r="N375" s="4" t="s">
        <v>3</v>
      </c>
      <c r="O375" s="4">
        <v>2</v>
      </c>
      <c r="P375" s="4"/>
      <c r="Q375" s="4"/>
      <c r="R375" s="4"/>
      <c r="S375" s="4"/>
      <c r="T375" s="4"/>
      <c r="U375" s="4"/>
      <c r="V375" s="4"/>
      <c r="W375" s="4">
        <v>0</v>
      </c>
      <c r="X375" s="4">
        <v>1</v>
      </c>
      <c r="Y375" s="4">
        <v>0</v>
      </c>
      <c r="Z375" s="4"/>
      <c r="AA375" s="4"/>
      <c r="AB375" s="4"/>
    </row>
    <row r="376" spans="1:206" x14ac:dyDescent="0.2">
      <c r="A376" s="4">
        <v>50</v>
      </c>
      <c r="B376" s="4">
        <v>0</v>
      </c>
      <c r="C376" s="4">
        <v>0</v>
      </c>
      <c r="D376" s="4">
        <v>1</v>
      </c>
      <c r="E376" s="4">
        <v>233</v>
      </c>
      <c r="F376" s="4">
        <f>ROUND(Source!BD351,O376)</f>
        <v>0</v>
      </c>
      <c r="G376" s="4" t="s">
        <v>110</v>
      </c>
      <c r="H376" s="4" t="s">
        <v>111</v>
      </c>
      <c r="I376" s="4"/>
      <c r="J376" s="4"/>
      <c r="K376" s="4">
        <v>233</v>
      </c>
      <c r="L376" s="4">
        <v>24</v>
      </c>
      <c r="M376" s="4">
        <v>3</v>
      </c>
      <c r="N376" s="4" t="s">
        <v>3</v>
      </c>
      <c r="O376" s="4">
        <v>2</v>
      </c>
      <c r="P376" s="4"/>
      <c r="Q376" s="4"/>
      <c r="R376" s="4"/>
      <c r="S376" s="4"/>
      <c r="T376" s="4"/>
      <c r="U376" s="4"/>
      <c r="V376" s="4"/>
      <c r="W376" s="4">
        <v>0</v>
      </c>
      <c r="X376" s="4">
        <v>1</v>
      </c>
      <c r="Y376" s="4">
        <v>0</v>
      </c>
      <c r="Z376" s="4"/>
      <c r="AA376" s="4"/>
      <c r="AB376" s="4"/>
    </row>
    <row r="377" spans="1:206" x14ac:dyDescent="0.2">
      <c r="A377" s="4">
        <v>50</v>
      </c>
      <c r="B377" s="4">
        <v>0</v>
      </c>
      <c r="C377" s="4">
        <v>0</v>
      </c>
      <c r="D377" s="4">
        <v>1</v>
      </c>
      <c r="E377" s="4">
        <v>210</v>
      </c>
      <c r="F377" s="4">
        <f>ROUND(Source!X351,O377)</f>
        <v>2485.65</v>
      </c>
      <c r="G377" s="4" t="s">
        <v>112</v>
      </c>
      <c r="H377" s="4" t="s">
        <v>113</v>
      </c>
      <c r="I377" s="4"/>
      <c r="J377" s="4"/>
      <c r="K377" s="4">
        <v>210</v>
      </c>
      <c r="L377" s="4">
        <v>25</v>
      </c>
      <c r="M377" s="4">
        <v>3</v>
      </c>
      <c r="N377" s="4" t="s">
        <v>3</v>
      </c>
      <c r="O377" s="4">
        <v>2</v>
      </c>
      <c r="P377" s="4"/>
      <c r="Q377" s="4"/>
      <c r="R377" s="4"/>
      <c r="S377" s="4"/>
      <c r="T377" s="4"/>
      <c r="U377" s="4"/>
      <c r="V377" s="4"/>
      <c r="W377" s="4">
        <v>2485.65</v>
      </c>
      <c r="X377" s="4">
        <v>1</v>
      </c>
      <c r="Y377" s="4">
        <v>2485.65</v>
      </c>
      <c r="Z377" s="4"/>
      <c r="AA377" s="4"/>
      <c r="AB377" s="4"/>
    </row>
    <row r="378" spans="1:206" x14ac:dyDescent="0.2">
      <c r="A378" s="4">
        <v>50</v>
      </c>
      <c r="B378" s="4">
        <v>0</v>
      </c>
      <c r="C378" s="4">
        <v>0</v>
      </c>
      <c r="D378" s="4">
        <v>1</v>
      </c>
      <c r="E378" s="4">
        <v>211</v>
      </c>
      <c r="F378" s="4">
        <f>ROUND(Source!Y351,O378)</f>
        <v>355.09</v>
      </c>
      <c r="G378" s="4" t="s">
        <v>114</v>
      </c>
      <c r="H378" s="4" t="s">
        <v>115</v>
      </c>
      <c r="I378" s="4"/>
      <c r="J378" s="4"/>
      <c r="K378" s="4">
        <v>211</v>
      </c>
      <c r="L378" s="4">
        <v>26</v>
      </c>
      <c r="M378" s="4">
        <v>3</v>
      </c>
      <c r="N378" s="4" t="s">
        <v>3</v>
      </c>
      <c r="O378" s="4">
        <v>2</v>
      </c>
      <c r="P378" s="4"/>
      <c r="Q378" s="4"/>
      <c r="R378" s="4"/>
      <c r="S378" s="4"/>
      <c r="T378" s="4"/>
      <c r="U378" s="4"/>
      <c r="V378" s="4"/>
      <c r="W378" s="4">
        <v>355.09</v>
      </c>
      <c r="X378" s="4">
        <v>1</v>
      </c>
      <c r="Y378" s="4">
        <v>355.09</v>
      </c>
      <c r="Z378" s="4"/>
      <c r="AA378" s="4"/>
      <c r="AB378" s="4"/>
    </row>
    <row r="379" spans="1:206" x14ac:dyDescent="0.2">
      <c r="A379" s="4">
        <v>50</v>
      </c>
      <c r="B379" s="4">
        <v>0</v>
      </c>
      <c r="C379" s="4">
        <v>0</v>
      </c>
      <c r="D379" s="4">
        <v>1</v>
      </c>
      <c r="E379" s="4">
        <v>224</v>
      </c>
      <c r="F379" s="4">
        <f>ROUND(Source!AR351,O379)</f>
        <v>55222.79</v>
      </c>
      <c r="G379" s="4" t="s">
        <v>116</v>
      </c>
      <c r="H379" s="4" t="s">
        <v>117</v>
      </c>
      <c r="I379" s="4"/>
      <c r="J379" s="4"/>
      <c r="K379" s="4">
        <v>224</v>
      </c>
      <c r="L379" s="4">
        <v>27</v>
      </c>
      <c r="M379" s="4">
        <v>3</v>
      </c>
      <c r="N379" s="4" t="s">
        <v>3</v>
      </c>
      <c r="O379" s="4">
        <v>2</v>
      </c>
      <c r="P379" s="4"/>
      <c r="Q379" s="4"/>
      <c r="R379" s="4"/>
      <c r="S379" s="4"/>
      <c r="T379" s="4"/>
      <c r="U379" s="4"/>
      <c r="V379" s="4"/>
      <c r="W379" s="4">
        <v>55222.79</v>
      </c>
      <c r="X379" s="4">
        <v>1</v>
      </c>
      <c r="Y379" s="4">
        <v>55222.79</v>
      </c>
      <c r="Z379" s="4"/>
      <c r="AA379" s="4"/>
      <c r="AB379" s="4"/>
    </row>
    <row r="381" spans="1:206" x14ac:dyDescent="0.2">
      <c r="A381" s="1">
        <v>5</v>
      </c>
      <c r="B381" s="1">
        <v>1</v>
      </c>
      <c r="C381" s="1"/>
      <c r="D381" s="1">
        <f>ROW(A394)</f>
        <v>394</v>
      </c>
      <c r="E381" s="1"/>
      <c r="F381" s="1" t="s">
        <v>15</v>
      </c>
      <c r="G381" s="1" t="s">
        <v>321</v>
      </c>
      <c r="H381" s="1" t="s">
        <v>3</v>
      </c>
      <c r="I381" s="1">
        <v>0</v>
      </c>
      <c r="J381" s="1"/>
      <c r="K381" s="1">
        <v>0</v>
      </c>
      <c r="L381" s="1"/>
      <c r="M381" s="1" t="s">
        <v>3</v>
      </c>
      <c r="N381" s="1"/>
      <c r="O381" s="1"/>
      <c r="P381" s="1"/>
      <c r="Q381" s="1"/>
      <c r="R381" s="1"/>
      <c r="S381" s="1">
        <v>0</v>
      </c>
      <c r="T381" s="1"/>
      <c r="U381" s="1" t="s">
        <v>3</v>
      </c>
      <c r="V381" s="1">
        <v>0</v>
      </c>
      <c r="W381" s="1"/>
      <c r="X381" s="1"/>
      <c r="Y381" s="1"/>
      <c r="Z381" s="1"/>
      <c r="AA381" s="1"/>
      <c r="AB381" s="1" t="s">
        <v>3</v>
      </c>
      <c r="AC381" s="1" t="s">
        <v>3</v>
      </c>
      <c r="AD381" s="1" t="s">
        <v>3</v>
      </c>
      <c r="AE381" s="1" t="s">
        <v>3</v>
      </c>
      <c r="AF381" s="1" t="s">
        <v>3</v>
      </c>
      <c r="AG381" s="1" t="s">
        <v>3</v>
      </c>
      <c r="AH381" s="1"/>
      <c r="AI381" s="1"/>
      <c r="AJ381" s="1"/>
      <c r="AK381" s="1"/>
      <c r="AL381" s="1"/>
      <c r="AM381" s="1"/>
      <c r="AN381" s="1"/>
      <c r="AO381" s="1"/>
      <c r="AP381" s="1" t="s">
        <v>3</v>
      </c>
      <c r="AQ381" s="1" t="s">
        <v>3</v>
      </c>
      <c r="AR381" s="1" t="s">
        <v>3</v>
      </c>
      <c r="AS381" s="1"/>
      <c r="AT381" s="1"/>
      <c r="AU381" s="1"/>
      <c r="AV381" s="1"/>
      <c r="AW381" s="1"/>
      <c r="AX381" s="1"/>
      <c r="AY381" s="1"/>
      <c r="AZ381" s="1" t="s">
        <v>3</v>
      </c>
      <c r="BA381" s="1"/>
      <c r="BB381" s="1" t="s">
        <v>3</v>
      </c>
      <c r="BC381" s="1" t="s">
        <v>3</v>
      </c>
      <c r="BD381" s="1" t="s">
        <v>3</v>
      </c>
      <c r="BE381" s="1" t="s">
        <v>3</v>
      </c>
      <c r="BF381" s="1" t="s">
        <v>3</v>
      </c>
      <c r="BG381" s="1" t="s">
        <v>3</v>
      </c>
      <c r="BH381" s="1" t="s">
        <v>3</v>
      </c>
      <c r="BI381" s="1" t="s">
        <v>3</v>
      </c>
      <c r="BJ381" s="1" t="s">
        <v>3</v>
      </c>
      <c r="BK381" s="1" t="s">
        <v>3</v>
      </c>
      <c r="BL381" s="1" t="s">
        <v>3</v>
      </c>
      <c r="BM381" s="1" t="s">
        <v>3</v>
      </c>
      <c r="BN381" s="1" t="s">
        <v>3</v>
      </c>
      <c r="BO381" s="1" t="s">
        <v>3</v>
      </c>
      <c r="BP381" s="1" t="s">
        <v>3</v>
      </c>
      <c r="BQ381" s="1"/>
      <c r="BR381" s="1"/>
      <c r="BS381" s="1"/>
      <c r="BT381" s="1"/>
      <c r="BU381" s="1"/>
      <c r="BV381" s="1"/>
      <c r="BW381" s="1"/>
      <c r="BX381" s="1">
        <v>0</v>
      </c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>
        <v>0</v>
      </c>
    </row>
    <row r="383" spans="1:206" x14ac:dyDescent="0.2">
      <c r="A383" s="2">
        <v>52</v>
      </c>
      <c r="B383" s="2">
        <f t="shared" ref="B383:G383" si="360">B394</f>
        <v>1</v>
      </c>
      <c r="C383" s="2">
        <f t="shared" si="360"/>
        <v>5</v>
      </c>
      <c r="D383" s="2">
        <f t="shared" si="360"/>
        <v>381</v>
      </c>
      <c r="E383" s="2">
        <f t="shared" si="360"/>
        <v>0</v>
      </c>
      <c r="F383" s="2" t="str">
        <f t="shared" si="360"/>
        <v>Новый подраздел</v>
      </c>
      <c r="G383" s="2" t="str">
        <f t="shared" si="360"/>
        <v>2.4 Электромонтажные работы</v>
      </c>
      <c r="H383" s="2"/>
      <c r="I383" s="2"/>
      <c r="J383" s="2"/>
      <c r="K383" s="2"/>
      <c r="L383" s="2"/>
      <c r="M383" s="2"/>
      <c r="N383" s="2"/>
      <c r="O383" s="2">
        <f t="shared" ref="O383:AT383" si="361">O394</f>
        <v>28438.68</v>
      </c>
      <c r="P383" s="2">
        <f t="shared" si="361"/>
        <v>23102.63</v>
      </c>
      <c r="Q383" s="2">
        <f t="shared" si="361"/>
        <v>4.5199999999999996</v>
      </c>
      <c r="R383" s="2">
        <f t="shared" si="361"/>
        <v>0.59</v>
      </c>
      <c r="S383" s="2">
        <f t="shared" si="361"/>
        <v>5331.53</v>
      </c>
      <c r="T383" s="2">
        <f t="shared" si="361"/>
        <v>0</v>
      </c>
      <c r="U383" s="2">
        <f t="shared" si="361"/>
        <v>15.8904</v>
      </c>
      <c r="V383" s="2">
        <f t="shared" si="361"/>
        <v>0</v>
      </c>
      <c r="W383" s="2">
        <f t="shared" si="361"/>
        <v>0</v>
      </c>
      <c r="X383" s="2">
        <f t="shared" si="361"/>
        <v>3732.07</v>
      </c>
      <c r="Y383" s="2">
        <f t="shared" si="361"/>
        <v>533.16</v>
      </c>
      <c r="Z383" s="2">
        <f t="shared" si="361"/>
        <v>0</v>
      </c>
      <c r="AA383" s="2">
        <f t="shared" si="361"/>
        <v>0</v>
      </c>
      <c r="AB383" s="2">
        <f t="shared" si="361"/>
        <v>28438.68</v>
      </c>
      <c r="AC383" s="2">
        <f t="shared" si="361"/>
        <v>23102.63</v>
      </c>
      <c r="AD383" s="2">
        <f t="shared" si="361"/>
        <v>4.5199999999999996</v>
      </c>
      <c r="AE383" s="2">
        <f t="shared" si="361"/>
        <v>0.59</v>
      </c>
      <c r="AF383" s="2">
        <f t="shared" si="361"/>
        <v>5331.53</v>
      </c>
      <c r="AG383" s="2">
        <f t="shared" si="361"/>
        <v>0</v>
      </c>
      <c r="AH383" s="2">
        <f t="shared" si="361"/>
        <v>15.8904</v>
      </c>
      <c r="AI383" s="2">
        <f t="shared" si="361"/>
        <v>0</v>
      </c>
      <c r="AJ383" s="2">
        <f t="shared" si="361"/>
        <v>0</v>
      </c>
      <c r="AK383" s="2">
        <f t="shared" si="361"/>
        <v>3732.07</v>
      </c>
      <c r="AL383" s="2">
        <f t="shared" si="361"/>
        <v>533.16</v>
      </c>
      <c r="AM383" s="2">
        <f t="shared" si="361"/>
        <v>0</v>
      </c>
      <c r="AN383" s="2">
        <f t="shared" si="361"/>
        <v>0</v>
      </c>
      <c r="AO383" s="2">
        <f t="shared" si="361"/>
        <v>0</v>
      </c>
      <c r="AP383" s="2">
        <f t="shared" si="361"/>
        <v>0</v>
      </c>
      <c r="AQ383" s="2">
        <f t="shared" si="361"/>
        <v>0</v>
      </c>
      <c r="AR383" s="2">
        <f t="shared" si="361"/>
        <v>32704.55</v>
      </c>
      <c r="AS383" s="2">
        <f t="shared" si="361"/>
        <v>0</v>
      </c>
      <c r="AT383" s="2">
        <f t="shared" si="361"/>
        <v>0</v>
      </c>
      <c r="AU383" s="2">
        <f t="shared" ref="AU383:BZ383" si="362">AU394</f>
        <v>32704.55</v>
      </c>
      <c r="AV383" s="2">
        <f t="shared" si="362"/>
        <v>23102.63</v>
      </c>
      <c r="AW383" s="2">
        <f t="shared" si="362"/>
        <v>23102.63</v>
      </c>
      <c r="AX383" s="2">
        <f t="shared" si="362"/>
        <v>0</v>
      </c>
      <c r="AY383" s="2">
        <f t="shared" si="362"/>
        <v>23102.63</v>
      </c>
      <c r="AZ383" s="2">
        <f t="shared" si="362"/>
        <v>0</v>
      </c>
      <c r="BA383" s="2">
        <f t="shared" si="362"/>
        <v>0</v>
      </c>
      <c r="BB383" s="2">
        <f t="shared" si="362"/>
        <v>0</v>
      </c>
      <c r="BC383" s="2">
        <f t="shared" si="362"/>
        <v>0</v>
      </c>
      <c r="BD383" s="2">
        <f t="shared" si="362"/>
        <v>0</v>
      </c>
      <c r="BE383" s="2">
        <f t="shared" si="362"/>
        <v>0</v>
      </c>
      <c r="BF383" s="2">
        <f t="shared" si="362"/>
        <v>0</v>
      </c>
      <c r="BG383" s="2">
        <f t="shared" si="362"/>
        <v>0</v>
      </c>
      <c r="BH383" s="2">
        <f t="shared" si="362"/>
        <v>0</v>
      </c>
      <c r="BI383" s="2">
        <f t="shared" si="362"/>
        <v>0</v>
      </c>
      <c r="BJ383" s="2">
        <f t="shared" si="362"/>
        <v>0</v>
      </c>
      <c r="BK383" s="2">
        <f t="shared" si="362"/>
        <v>0</v>
      </c>
      <c r="BL383" s="2">
        <f t="shared" si="362"/>
        <v>0</v>
      </c>
      <c r="BM383" s="2">
        <f t="shared" si="362"/>
        <v>0</v>
      </c>
      <c r="BN383" s="2">
        <f t="shared" si="362"/>
        <v>0</v>
      </c>
      <c r="BO383" s="2">
        <f t="shared" si="362"/>
        <v>0</v>
      </c>
      <c r="BP383" s="2">
        <f t="shared" si="362"/>
        <v>0</v>
      </c>
      <c r="BQ383" s="2">
        <f t="shared" si="362"/>
        <v>0</v>
      </c>
      <c r="BR383" s="2">
        <f t="shared" si="362"/>
        <v>0</v>
      </c>
      <c r="BS383" s="2">
        <f t="shared" si="362"/>
        <v>0</v>
      </c>
      <c r="BT383" s="2">
        <f t="shared" si="362"/>
        <v>0</v>
      </c>
      <c r="BU383" s="2">
        <f t="shared" si="362"/>
        <v>0</v>
      </c>
      <c r="BV383" s="2">
        <f t="shared" si="362"/>
        <v>0</v>
      </c>
      <c r="BW383" s="2">
        <f t="shared" si="362"/>
        <v>0</v>
      </c>
      <c r="BX383" s="2">
        <f t="shared" si="362"/>
        <v>0</v>
      </c>
      <c r="BY383" s="2">
        <f t="shared" si="362"/>
        <v>0</v>
      </c>
      <c r="BZ383" s="2">
        <f t="shared" si="362"/>
        <v>0</v>
      </c>
      <c r="CA383" s="2">
        <f t="shared" ref="CA383:DF383" si="363">CA394</f>
        <v>32704.55</v>
      </c>
      <c r="CB383" s="2">
        <f t="shared" si="363"/>
        <v>0</v>
      </c>
      <c r="CC383" s="2">
        <f t="shared" si="363"/>
        <v>0</v>
      </c>
      <c r="CD383" s="2">
        <f t="shared" si="363"/>
        <v>32704.55</v>
      </c>
      <c r="CE383" s="2">
        <f t="shared" si="363"/>
        <v>23102.63</v>
      </c>
      <c r="CF383" s="2">
        <f t="shared" si="363"/>
        <v>23102.63</v>
      </c>
      <c r="CG383" s="2">
        <f t="shared" si="363"/>
        <v>0</v>
      </c>
      <c r="CH383" s="2">
        <f t="shared" si="363"/>
        <v>23102.63</v>
      </c>
      <c r="CI383" s="2">
        <f t="shared" si="363"/>
        <v>0</v>
      </c>
      <c r="CJ383" s="2">
        <f t="shared" si="363"/>
        <v>0</v>
      </c>
      <c r="CK383" s="2">
        <f t="shared" si="363"/>
        <v>0</v>
      </c>
      <c r="CL383" s="2">
        <f t="shared" si="363"/>
        <v>0</v>
      </c>
      <c r="CM383" s="2">
        <f t="shared" si="363"/>
        <v>0</v>
      </c>
      <c r="CN383" s="2">
        <f t="shared" si="363"/>
        <v>0</v>
      </c>
      <c r="CO383" s="2">
        <f t="shared" si="363"/>
        <v>0</v>
      </c>
      <c r="CP383" s="2">
        <f t="shared" si="363"/>
        <v>0</v>
      </c>
      <c r="CQ383" s="2">
        <f t="shared" si="363"/>
        <v>0</v>
      </c>
      <c r="CR383" s="2">
        <f t="shared" si="363"/>
        <v>0</v>
      </c>
      <c r="CS383" s="2">
        <f t="shared" si="363"/>
        <v>0</v>
      </c>
      <c r="CT383" s="2">
        <f t="shared" si="363"/>
        <v>0</v>
      </c>
      <c r="CU383" s="2">
        <f t="shared" si="363"/>
        <v>0</v>
      </c>
      <c r="CV383" s="2">
        <f t="shared" si="363"/>
        <v>0</v>
      </c>
      <c r="CW383" s="2">
        <f t="shared" si="363"/>
        <v>0</v>
      </c>
      <c r="CX383" s="2">
        <f t="shared" si="363"/>
        <v>0</v>
      </c>
      <c r="CY383" s="2">
        <f t="shared" si="363"/>
        <v>0</v>
      </c>
      <c r="CZ383" s="2">
        <f t="shared" si="363"/>
        <v>0</v>
      </c>
      <c r="DA383" s="2">
        <f t="shared" si="363"/>
        <v>0</v>
      </c>
      <c r="DB383" s="2">
        <f t="shared" si="363"/>
        <v>0</v>
      </c>
      <c r="DC383" s="2">
        <f t="shared" si="363"/>
        <v>0</v>
      </c>
      <c r="DD383" s="2">
        <f t="shared" si="363"/>
        <v>0</v>
      </c>
      <c r="DE383" s="2">
        <f t="shared" si="363"/>
        <v>0</v>
      </c>
      <c r="DF383" s="2">
        <f t="shared" si="363"/>
        <v>0</v>
      </c>
      <c r="DG383" s="3">
        <f t="shared" ref="DG383:EL383" si="364">DG394</f>
        <v>0</v>
      </c>
      <c r="DH383" s="3">
        <f t="shared" si="364"/>
        <v>0</v>
      </c>
      <c r="DI383" s="3">
        <f t="shared" si="364"/>
        <v>0</v>
      </c>
      <c r="DJ383" s="3">
        <f t="shared" si="364"/>
        <v>0</v>
      </c>
      <c r="DK383" s="3">
        <f t="shared" si="364"/>
        <v>0</v>
      </c>
      <c r="DL383" s="3">
        <f t="shared" si="364"/>
        <v>0</v>
      </c>
      <c r="DM383" s="3">
        <f t="shared" si="364"/>
        <v>0</v>
      </c>
      <c r="DN383" s="3">
        <f t="shared" si="364"/>
        <v>0</v>
      </c>
      <c r="DO383" s="3">
        <f t="shared" si="364"/>
        <v>0</v>
      </c>
      <c r="DP383" s="3">
        <f t="shared" si="364"/>
        <v>0</v>
      </c>
      <c r="DQ383" s="3">
        <f t="shared" si="364"/>
        <v>0</v>
      </c>
      <c r="DR383" s="3">
        <f t="shared" si="364"/>
        <v>0</v>
      </c>
      <c r="DS383" s="3">
        <f t="shared" si="364"/>
        <v>0</v>
      </c>
      <c r="DT383" s="3">
        <f t="shared" si="364"/>
        <v>0</v>
      </c>
      <c r="DU383" s="3">
        <f t="shared" si="364"/>
        <v>0</v>
      </c>
      <c r="DV383" s="3">
        <f t="shared" si="364"/>
        <v>0</v>
      </c>
      <c r="DW383" s="3">
        <f t="shared" si="364"/>
        <v>0</v>
      </c>
      <c r="DX383" s="3">
        <f t="shared" si="364"/>
        <v>0</v>
      </c>
      <c r="DY383" s="3">
        <f t="shared" si="364"/>
        <v>0</v>
      </c>
      <c r="DZ383" s="3">
        <f t="shared" si="364"/>
        <v>0</v>
      </c>
      <c r="EA383" s="3">
        <f t="shared" si="364"/>
        <v>0</v>
      </c>
      <c r="EB383" s="3">
        <f t="shared" si="364"/>
        <v>0</v>
      </c>
      <c r="EC383" s="3">
        <f t="shared" si="364"/>
        <v>0</v>
      </c>
      <c r="ED383" s="3">
        <f t="shared" si="364"/>
        <v>0</v>
      </c>
      <c r="EE383" s="3">
        <f t="shared" si="364"/>
        <v>0</v>
      </c>
      <c r="EF383" s="3">
        <f t="shared" si="364"/>
        <v>0</v>
      </c>
      <c r="EG383" s="3">
        <f t="shared" si="364"/>
        <v>0</v>
      </c>
      <c r="EH383" s="3">
        <f t="shared" si="364"/>
        <v>0</v>
      </c>
      <c r="EI383" s="3">
        <f t="shared" si="364"/>
        <v>0</v>
      </c>
      <c r="EJ383" s="3">
        <f t="shared" si="364"/>
        <v>0</v>
      </c>
      <c r="EK383" s="3">
        <f t="shared" si="364"/>
        <v>0</v>
      </c>
      <c r="EL383" s="3">
        <f t="shared" si="364"/>
        <v>0</v>
      </c>
      <c r="EM383" s="3">
        <f t="shared" ref="EM383:FR383" si="365">EM394</f>
        <v>0</v>
      </c>
      <c r="EN383" s="3">
        <f t="shared" si="365"/>
        <v>0</v>
      </c>
      <c r="EO383" s="3">
        <f t="shared" si="365"/>
        <v>0</v>
      </c>
      <c r="EP383" s="3">
        <f t="shared" si="365"/>
        <v>0</v>
      </c>
      <c r="EQ383" s="3">
        <f t="shared" si="365"/>
        <v>0</v>
      </c>
      <c r="ER383" s="3">
        <f t="shared" si="365"/>
        <v>0</v>
      </c>
      <c r="ES383" s="3">
        <f t="shared" si="365"/>
        <v>0</v>
      </c>
      <c r="ET383" s="3">
        <f t="shared" si="365"/>
        <v>0</v>
      </c>
      <c r="EU383" s="3">
        <f t="shared" si="365"/>
        <v>0</v>
      </c>
      <c r="EV383" s="3">
        <f t="shared" si="365"/>
        <v>0</v>
      </c>
      <c r="EW383" s="3">
        <f t="shared" si="365"/>
        <v>0</v>
      </c>
      <c r="EX383" s="3">
        <f t="shared" si="365"/>
        <v>0</v>
      </c>
      <c r="EY383" s="3">
        <f t="shared" si="365"/>
        <v>0</v>
      </c>
      <c r="EZ383" s="3">
        <f t="shared" si="365"/>
        <v>0</v>
      </c>
      <c r="FA383" s="3">
        <f t="shared" si="365"/>
        <v>0</v>
      </c>
      <c r="FB383" s="3">
        <f t="shared" si="365"/>
        <v>0</v>
      </c>
      <c r="FC383" s="3">
        <f t="shared" si="365"/>
        <v>0</v>
      </c>
      <c r="FD383" s="3">
        <f t="shared" si="365"/>
        <v>0</v>
      </c>
      <c r="FE383" s="3">
        <f t="shared" si="365"/>
        <v>0</v>
      </c>
      <c r="FF383" s="3">
        <f t="shared" si="365"/>
        <v>0</v>
      </c>
      <c r="FG383" s="3">
        <f t="shared" si="365"/>
        <v>0</v>
      </c>
      <c r="FH383" s="3">
        <f t="shared" si="365"/>
        <v>0</v>
      </c>
      <c r="FI383" s="3">
        <f t="shared" si="365"/>
        <v>0</v>
      </c>
      <c r="FJ383" s="3">
        <f t="shared" si="365"/>
        <v>0</v>
      </c>
      <c r="FK383" s="3">
        <f t="shared" si="365"/>
        <v>0</v>
      </c>
      <c r="FL383" s="3">
        <f t="shared" si="365"/>
        <v>0</v>
      </c>
      <c r="FM383" s="3">
        <f t="shared" si="365"/>
        <v>0</v>
      </c>
      <c r="FN383" s="3">
        <f t="shared" si="365"/>
        <v>0</v>
      </c>
      <c r="FO383" s="3">
        <f t="shared" si="365"/>
        <v>0</v>
      </c>
      <c r="FP383" s="3">
        <f t="shared" si="365"/>
        <v>0</v>
      </c>
      <c r="FQ383" s="3">
        <f t="shared" si="365"/>
        <v>0</v>
      </c>
      <c r="FR383" s="3">
        <f t="shared" si="365"/>
        <v>0</v>
      </c>
      <c r="FS383" s="3">
        <f t="shared" ref="FS383:GX383" si="366">FS394</f>
        <v>0</v>
      </c>
      <c r="FT383" s="3">
        <f t="shared" si="366"/>
        <v>0</v>
      </c>
      <c r="FU383" s="3">
        <f t="shared" si="366"/>
        <v>0</v>
      </c>
      <c r="FV383" s="3">
        <f t="shared" si="366"/>
        <v>0</v>
      </c>
      <c r="FW383" s="3">
        <f t="shared" si="366"/>
        <v>0</v>
      </c>
      <c r="FX383" s="3">
        <f t="shared" si="366"/>
        <v>0</v>
      </c>
      <c r="FY383" s="3">
        <f t="shared" si="366"/>
        <v>0</v>
      </c>
      <c r="FZ383" s="3">
        <f t="shared" si="366"/>
        <v>0</v>
      </c>
      <c r="GA383" s="3">
        <f t="shared" si="366"/>
        <v>0</v>
      </c>
      <c r="GB383" s="3">
        <f t="shared" si="366"/>
        <v>0</v>
      </c>
      <c r="GC383" s="3">
        <f t="shared" si="366"/>
        <v>0</v>
      </c>
      <c r="GD383" s="3">
        <f t="shared" si="366"/>
        <v>0</v>
      </c>
      <c r="GE383" s="3">
        <f t="shared" si="366"/>
        <v>0</v>
      </c>
      <c r="GF383" s="3">
        <f t="shared" si="366"/>
        <v>0</v>
      </c>
      <c r="GG383" s="3">
        <f t="shared" si="366"/>
        <v>0</v>
      </c>
      <c r="GH383" s="3">
        <f t="shared" si="366"/>
        <v>0</v>
      </c>
      <c r="GI383" s="3">
        <f t="shared" si="366"/>
        <v>0</v>
      </c>
      <c r="GJ383" s="3">
        <f t="shared" si="366"/>
        <v>0</v>
      </c>
      <c r="GK383" s="3">
        <f t="shared" si="366"/>
        <v>0</v>
      </c>
      <c r="GL383" s="3">
        <f t="shared" si="366"/>
        <v>0</v>
      </c>
      <c r="GM383" s="3">
        <f t="shared" si="366"/>
        <v>0</v>
      </c>
      <c r="GN383" s="3">
        <f t="shared" si="366"/>
        <v>0</v>
      </c>
      <c r="GO383" s="3">
        <f t="shared" si="366"/>
        <v>0</v>
      </c>
      <c r="GP383" s="3">
        <f t="shared" si="366"/>
        <v>0</v>
      </c>
      <c r="GQ383" s="3">
        <f t="shared" si="366"/>
        <v>0</v>
      </c>
      <c r="GR383" s="3">
        <f t="shared" si="366"/>
        <v>0</v>
      </c>
      <c r="GS383" s="3">
        <f t="shared" si="366"/>
        <v>0</v>
      </c>
      <c r="GT383" s="3">
        <f t="shared" si="366"/>
        <v>0</v>
      </c>
      <c r="GU383" s="3">
        <f t="shared" si="366"/>
        <v>0</v>
      </c>
      <c r="GV383" s="3">
        <f t="shared" si="366"/>
        <v>0</v>
      </c>
      <c r="GW383" s="3">
        <f t="shared" si="366"/>
        <v>0</v>
      </c>
      <c r="GX383" s="3">
        <f t="shared" si="366"/>
        <v>0</v>
      </c>
    </row>
    <row r="385" spans="1:245" x14ac:dyDescent="0.2">
      <c r="A385">
        <v>17</v>
      </c>
      <c r="B385">
        <v>1</v>
      </c>
      <c r="D385">
        <f>ROW(EtalonRes!A238)</f>
        <v>238</v>
      </c>
      <c r="E385" t="s">
        <v>322</v>
      </c>
      <c r="F385" t="s">
        <v>223</v>
      </c>
      <c r="G385" t="s">
        <v>224</v>
      </c>
      <c r="H385" t="s">
        <v>33</v>
      </c>
      <c r="I385">
        <v>0.06</v>
      </c>
      <c r="J385">
        <v>0</v>
      </c>
      <c r="K385">
        <v>0.06</v>
      </c>
      <c r="O385">
        <f t="shared" ref="O385:O392" si="367">ROUND(CP385,2)</f>
        <v>275.60000000000002</v>
      </c>
      <c r="P385">
        <f t="shared" ref="P385:P392" si="368">ROUND(CQ385*I385,2)</f>
        <v>0</v>
      </c>
      <c r="Q385">
        <f t="shared" ref="Q385:Q392" si="369">ROUND(CR385*I385,2)</f>
        <v>0</v>
      </c>
      <c r="R385">
        <f t="shared" ref="R385:R392" si="370">ROUND(CS385*I385,2)</f>
        <v>0</v>
      </c>
      <c r="S385">
        <f t="shared" ref="S385:S392" si="371">ROUND(CT385*I385,2)</f>
        <v>275.60000000000002</v>
      </c>
      <c r="T385">
        <f t="shared" ref="T385:T392" si="372">ROUND(CU385*I385,2)</f>
        <v>0</v>
      </c>
      <c r="U385">
        <f t="shared" ref="U385:U392" si="373">CV385*I385</f>
        <v>1.0733999999999999</v>
      </c>
      <c r="V385">
        <f t="shared" ref="V385:V392" si="374">CW385*I385</f>
        <v>0</v>
      </c>
      <c r="W385">
        <f t="shared" ref="W385:W392" si="375">ROUND(CX385*I385,2)</f>
        <v>0</v>
      </c>
      <c r="X385">
        <f t="shared" ref="X385:Y392" si="376">ROUND(CY385,2)</f>
        <v>192.92</v>
      </c>
      <c r="Y385">
        <f t="shared" si="376"/>
        <v>27.56</v>
      </c>
      <c r="AA385">
        <v>72192302</v>
      </c>
      <c r="AB385">
        <f t="shared" ref="AB385:AB392" si="377">ROUND((AC385+AD385+AF385),6)</f>
        <v>4593.26</v>
      </c>
      <c r="AC385">
        <f t="shared" ref="AC385:AC392" si="378">ROUND((ES385),6)</f>
        <v>0</v>
      </c>
      <c r="AD385">
        <f t="shared" ref="AD385:AD392" si="379">ROUND((((ET385)-(EU385))+AE385),6)</f>
        <v>0</v>
      </c>
      <c r="AE385">
        <f t="shared" ref="AE385:AF392" si="380">ROUND((EU385),6)</f>
        <v>0</v>
      </c>
      <c r="AF385">
        <f t="shared" si="380"/>
        <v>4593.26</v>
      </c>
      <c r="AG385">
        <f t="shared" ref="AG385:AG392" si="381">ROUND((AP385),6)</f>
        <v>0</v>
      </c>
      <c r="AH385">
        <f t="shared" ref="AH385:AI392" si="382">(EW385)</f>
        <v>17.89</v>
      </c>
      <c r="AI385">
        <f t="shared" si="382"/>
        <v>0</v>
      </c>
      <c r="AJ385">
        <f t="shared" ref="AJ385:AJ392" si="383">(AS385)</f>
        <v>0</v>
      </c>
      <c r="AK385">
        <v>4593.26</v>
      </c>
      <c r="AL385">
        <v>0</v>
      </c>
      <c r="AM385">
        <v>0</v>
      </c>
      <c r="AN385">
        <v>0</v>
      </c>
      <c r="AO385">
        <v>4593.26</v>
      </c>
      <c r="AP385">
        <v>0</v>
      </c>
      <c r="AQ385">
        <v>17.89</v>
      </c>
      <c r="AR385">
        <v>0</v>
      </c>
      <c r="AS385">
        <v>0</v>
      </c>
      <c r="AT385">
        <v>70</v>
      </c>
      <c r="AU385">
        <v>10</v>
      </c>
      <c r="AV385">
        <v>1</v>
      </c>
      <c r="AW385">
        <v>1</v>
      </c>
      <c r="AZ385">
        <v>1</v>
      </c>
      <c r="BA385">
        <v>1</v>
      </c>
      <c r="BB385">
        <v>1</v>
      </c>
      <c r="BC385">
        <v>1</v>
      </c>
      <c r="BD385" t="s">
        <v>3</v>
      </c>
      <c r="BE385" t="s">
        <v>3</v>
      </c>
      <c r="BF385" t="s">
        <v>3</v>
      </c>
      <c r="BG385" t="s">
        <v>3</v>
      </c>
      <c r="BH385">
        <v>0</v>
      </c>
      <c r="BI385">
        <v>4</v>
      </c>
      <c r="BJ385" t="s">
        <v>225</v>
      </c>
      <c r="BM385">
        <v>0</v>
      </c>
      <c r="BN385">
        <v>0</v>
      </c>
      <c r="BO385" t="s">
        <v>3</v>
      </c>
      <c r="BP385">
        <v>0</v>
      </c>
      <c r="BQ385">
        <v>1</v>
      </c>
      <c r="BR385">
        <v>0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 t="s">
        <v>3</v>
      </c>
      <c r="BZ385">
        <v>70</v>
      </c>
      <c r="CA385">
        <v>10</v>
      </c>
      <c r="CB385" t="s">
        <v>3</v>
      </c>
      <c r="CE385">
        <v>0</v>
      </c>
      <c r="CF385">
        <v>0</v>
      </c>
      <c r="CG385">
        <v>0</v>
      </c>
      <c r="CM385">
        <v>0</v>
      </c>
      <c r="CN385" t="s">
        <v>3</v>
      </c>
      <c r="CO385">
        <v>0</v>
      </c>
      <c r="CP385">
        <f t="shared" ref="CP385:CP392" si="384">(P385+Q385+S385)</f>
        <v>275.60000000000002</v>
      </c>
      <c r="CQ385">
        <f t="shared" ref="CQ385:CQ392" si="385">(AC385*BC385*AW385)</f>
        <v>0</v>
      </c>
      <c r="CR385">
        <f t="shared" ref="CR385:CR392" si="386">((((ET385)*BB385-(EU385)*BS385)+AE385*BS385)*AV385)</f>
        <v>0</v>
      </c>
      <c r="CS385">
        <f t="shared" ref="CS385:CS392" si="387">(AE385*BS385*AV385)</f>
        <v>0</v>
      </c>
      <c r="CT385">
        <f t="shared" ref="CT385:CT392" si="388">(AF385*BA385*AV385)</f>
        <v>4593.26</v>
      </c>
      <c r="CU385">
        <f t="shared" ref="CU385:CU392" si="389">AG385</f>
        <v>0</v>
      </c>
      <c r="CV385">
        <f t="shared" ref="CV385:CV392" si="390">(AH385*AV385)</f>
        <v>17.89</v>
      </c>
      <c r="CW385">
        <f t="shared" ref="CW385:CX392" si="391">AI385</f>
        <v>0</v>
      </c>
      <c r="CX385">
        <f t="shared" si="391"/>
        <v>0</v>
      </c>
      <c r="CY385">
        <f t="shared" ref="CY385:CY392" si="392">((S385*BZ385)/100)</f>
        <v>192.92</v>
      </c>
      <c r="CZ385">
        <f t="shared" ref="CZ385:CZ392" si="393">((S385*CA385)/100)</f>
        <v>27.56</v>
      </c>
      <c r="DC385" t="s">
        <v>3</v>
      </c>
      <c r="DD385" t="s">
        <v>3</v>
      </c>
      <c r="DE385" t="s">
        <v>3</v>
      </c>
      <c r="DF385" t="s">
        <v>3</v>
      </c>
      <c r="DG385" t="s">
        <v>3</v>
      </c>
      <c r="DH385" t="s">
        <v>3</v>
      </c>
      <c r="DI385" t="s">
        <v>3</v>
      </c>
      <c r="DJ385" t="s">
        <v>3</v>
      </c>
      <c r="DK385" t="s">
        <v>3</v>
      </c>
      <c r="DL385" t="s">
        <v>3</v>
      </c>
      <c r="DM385" t="s">
        <v>3</v>
      </c>
      <c r="DN385">
        <v>0</v>
      </c>
      <c r="DO385">
        <v>0</v>
      </c>
      <c r="DP385">
        <v>1</v>
      </c>
      <c r="DQ385">
        <v>1</v>
      </c>
      <c r="DU385">
        <v>1010</v>
      </c>
      <c r="DV385" t="s">
        <v>33</v>
      </c>
      <c r="DW385" t="s">
        <v>33</v>
      </c>
      <c r="DX385">
        <v>100</v>
      </c>
      <c r="DZ385" t="s">
        <v>3</v>
      </c>
      <c r="EA385" t="s">
        <v>3</v>
      </c>
      <c r="EB385" t="s">
        <v>3</v>
      </c>
      <c r="EC385" t="s">
        <v>3</v>
      </c>
      <c r="EE385">
        <v>71753531</v>
      </c>
      <c r="EF385">
        <v>1</v>
      </c>
      <c r="EG385" t="s">
        <v>22</v>
      </c>
      <c r="EH385">
        <v>0</v>
      </c>
      <c r="EI385" t="s">
        <v>3</v>
      </c>
      <c r="EJ385">
        <v>4</v>
      </c>
      <c r="EK385">
        <v>0</v>
      </c>
      <c r="EL385" t="s">
        <v>23</v>
      </c>
      <c r="EM385" t="s">
        <v>24</v>
      </c>
      <c r="EO385" t="s">
        <v>3</v>
      </c>
      <c r="EQ385">
        <v>0</v>
      </c>
      <c r="ER385">
        <v>4593.26</v>
      </c>
      <c r="ES385">
        <v>0</v>
      </c>
      <c r="ET385">
        <v>0</v>
      </c>
      <c r="EU385">
        <v>0</v>
      </c>
      <c r="EV385">
        <v>4593.26</v>
      </c>
      <c r="EW385">
        <v>17.89</v>
      </c>
      <c r="EX385">
        <v>0</v>
      </c>
      <c r="EY385">
        <v>0</v>
      </c>
      <c r="FQ385">
        <v>0</v>
      </c>
      <c r="FR385">
        <f t="shared" ref="FR385:FR392" si="394">ROUND(IF(BI385=3,GM385,0),2)</f>
        <v>0</v>
      </c>
      <c r="FS385">
        <v>0</v>
      </c>
      <c r="FX385">
        <v>70</v>
      </c>
      <c r="FY385">
        <v>10</v>
      </c>
      <c r="GA385" t="s">
        <v>3</v>
      </c>
      <c r="GD385">
        <v>0</v>
      </c>
      <c r="GF385">
        <v>-65620762</v>
      </c>
      <c r="GG385">
        <v>2</v>
      </c>
      <c r="GH385">
        <v>1</v>
      </c>
      <c r="GI385">
        <v>-2</v>
      </c>
      <c r="GJ385">
        <v>0</v>
      </c>
      <c r="GK385">
        <f>ROUND(R385*(R12)/100,2)</f>
        <v>0</v>
      </c>
      <c r="GL385">
        <f t="shared" ref="GL385:GL392" si="395">ROUND(IF(AND(BH385=3,BI385=3,FS385&lt;&gt;0),P385,0),2)</f>
        <v>0</v>
      </c>
      <c r="GM385">
        <f t="shared" ref="GM385:GM392" si="396">ROUND(O385+X385+Y385+GK385,2)+GX385</f>
        <v>496.08</v>
      </c>
      <c r="GN385">
        <f t="shared" ref="GN385:GN392" si="397">IF(OR(BI385=0,BI385=1),GM385,0)</f>
        <v>0</v>
      </c>
      <c r="GO385">
        <f t="shared" ref="GO385:GO392" si="398">IF(BI385=2,GM385,0)</f>
        <v>0</v>
      </c>
      <c r="GP385">
        <f t="shared" ref="GP385:GP392" si="399">IF(BI385=4,GM385+GX385,0)</f>
        <v>496.08</v>
      </c>
      <c r="GR385">
        <v>0</v>
      </c>
      <c r="GS385">
        <v>3</v>
      </c>
      <c r="GT385">
        <v>0</v>
      </c>
      <c r="GU385" t="s">
        <v>3</v>
      </c>
      <c r="GV385">
        <f t="shared" ref="GV385:GV392" si="400">ROUND((GT385),6)</f>
        <v>0</v>
      </c>
      <c r="GW385">
        <v>1</v>
      </c>
      <c r="GX385">
        <f t="shared" ref="GX385:GX392" si="401">ROUND(HC385*I385,2)</f>
        <v>0</v>
      </c>
      <c r="HA385">
        <v>0</v>
      </c>
      <c r="HB385">
        <v>0</v>
      </c>
      <c r="HC385">
        <f t="shared" ref="HC385:HC392" si="402">GV385*GW385</f>
        <v>0</v>
      </c>
      <c r="HE385" t="s">
        <v>3</v>
      </c>
      <c r="HF385" t="s">
        <v>3</v>
      </c>
      <c r="HM385" t="s">
        <v>3</v>
      </c>
      <c r="HN385" t="s">
        <v>3</v>
      </c>
      <c r="HO385" t="s">
        <v>3</v>
      </c>
      <c r="HP385" t="s">
        <v>3</v>
      </c>
      <c r="HQ385" t="s">
        <v>3</v>
      </c>
      <c r="IK385">
        <v>0</v>
      </c>
    </row>
    <row r="386" spans="1:245" x14ac:dyDescent="0.2">
      <c r="A386">
        <v>17</v>
      </c>
      <c r="B386">
        <v>1</v>
      </c>
      <c r="D386">
        <f>ROW(EtalonRes!A239)</f>
        <v>239</v>
      </c>
      <c r="E386" t="s">
        <v>323</v>
      </c>
      <c r="F386" t="s">
        <v>248</v>
      </c>
      <c r="G386" t="s">
        <v>249</v>
      </c>
      <c r="H386" t="s">
        <v>33</v>
      </c>
      <c r="I386">
        <v>0.02</v>
      </c>
      <c r="J386">
        <v>0</v>
      </c>
      <c r="K386">
        <v>0.02</v>
      </c>
      <c r="O386">
        <f t="shared" si="367"/>
        <v>147.47</v>
      </c>
      <c r="P386">
        <f t="shared" si="368"/>
        <v>0</v>
      </c>
      <c r="Q386">
        <f t="shared" si="369"/>
        <v>0</v>
      </c>
      <c r="R386">
        <f t="shared" si="370"/>
        <v>0</v>
      </c>
      <c r="S386">
        <f t="shared" si="371"/>
        <v>147.47</v>
      </c>
      <c r="T386">
        <f t="shared" si="372"/>
        <v>0</v>
      </c>
      <c r="U386">
        <f t="shared" si="373"/>
        <v>0.5948</v>
      </c>
      <c r="V386">
        <f t="shared" si="374"/>
        <v>0</v>
      </c>
      <c r="W386">
        <f t="shared" si="375"/>
        <v>0</v>
      </c>
      <c r="X386">
        <f t="shared" si="376"/>
        <v>103.23</v>
      </c>
      <c r="Y386">
        <f t="shared" si="376"/>
        <v>14.75</v>
      </c>
      <c r="AA386">
        <v>72192302</v>
      </c>
      <c r="AB386">
        <f t="shared" si="377"/>
        <v>7373.44</v>
      </c>
      <c r="AC386">
        <f t="shared" si="378"/>
        <v>0</v>
      </c>
      <c r="AD386">
        <f t="shared" si="379"/>
        <v>0</v>
      </c>
      <c r="AE386">
        <f t="shared" si="380"/>
        <v>0</v>
      </c>
      <c r="AF386">
        <f t="shared" si="380"/>
        <v>7373.44</v>
      </c>
      <c r="AG386">
        <f t="shared" si="381"/>
        <v>0</v>
      </c>
      <c r="AH386">
        <f t="shared" si="382"/>
        <v>29.74</v>
      </c>
      <c r="AI386">
        <f t="shared" si="382"/>
        <v>0</v>
      </c>
      <c r="AJ386">
        <f t="shared" si="383"/>
        <v>0</v>
      </c>
      <c r="AK386">
        <v>7373.44</v>
      </c>
      <c r="AL386">
        <v>0</v>
      </c>
      <c r="AM386">
        <v>0</v>
      </c>
      <c r="AN386">
        <v>0</v>
      </c>
      <c r="AO386">
        <v>7373.44</v>
      </c>
      <c r="AP386">
        <v>0</v>
      </c>
      <c r="AQ386">
        <v>29.74</v>
      </c>
      <c r="AR386">
        <v>0</v>
      </c>
      <c r="AS386">
        <v>0</v>
      </c>
      <c r="AT386">
        <v>70</v>
      </c>
      <c r="AU386">
        <v>10</v>
      </c>
      <c r="AV386">
        <v>1</v>
      </c>
      <c r="AW386">
        <v>1</v>
      </c>
      <c r="AZ386">
        <v>1</v>
      </c>
      <c r="BA386">
        <v>1</v>
      </c>
      <c r="BB386">
        <v>1</v>
      </c>
      <c r="BC386">
        <v>1</v>
      </c>
      <c r="BD386" t="s">
        <v>3</v>
      </c>
      <c r="BE386" t="s">
        <v>3</v>
      </c>
      <c r="BF386" t="s">
        <v>3</v>
      </c>
      <c r="BG386" t="s">
        <v>3</v>
      </c>
      <c r="BH386">
        <v>0</v>
      </c>
      <c r="BI386">
        <v>4</v>
      </c>
      <c r="BJ386" t="s">
        <v>250</v>
      </c>
      <c r="BM386">
        <v>0</v>
      </c>
      <c r="BN386">
        <v>0</v>
      </c>
      <c r="BO386" t="s">
        <v>3</v>
      </c>
      <c r="BP386">
        <v>0</v>
      </c>
      <c r="BQ386">
        <v>1</v>
      </c>
      <c r="BR386">
        <v>0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 t="s">
        <v>3</v>
      </c>
      <c r="BZ386">
        <v>70</v>
      </c>
      <c r="CA386">
        <v>10</v>
      </c>
      <c r="CB386" t="s">
        <v>3</v>
      </c>
      <c r="CE386">
        <v>0</v>
      </c>
      <c r="CF386">
        <v>0</v>
      </c>
      <c r="CG386">
        <v>0</v>
      </c>
      <c r="CM386">
        <v>0</v>
      </c>
      <c r="CN386" t="s">
        <v>3</v>
      </c>
      <c r="CO386">
        <v>0</v>
      </c>
      <c r="CP386">
        <f t="shared" si="384"/>
        <v>147.47</v>
      </c>
      <c r="CQ386">
        <f t="shared" si="385"/>
        <v>0</v>
      </c>
      <c r="CR386">
        <f t="shared" si="386"/>
        <v>0</v>
      </c>
      <c r="CS386">
        <f t="shared" si="387"/>
        <v>0</v>
      </c>
      <c r="CT386">
        <f t="shared" si="388"/>
        <v>7373.44</v>
      </c>
      <c r="CU386">
        <f t="shared" si="389"/>
        <v>0</v>
      </c>
      <c r="CV386">
        <f t="shared" si="390"/>
        <v>29.74</v>
      </c>
      <c r="CW386">
        <f t="shared" si="391"/>
        <v>0</v>
      </c>
      <c r="CX386">
        <f t="shared" si="391"/>
        <v>0</v>
      </c>
      <c r="CY386">
        <f t="shared" si="392"/>
        <v>103.229</v>
      </c>
      <c r="CZ386">
        <f t="shared" si="393"/>
        <v>14.747</v>
      </c>
      <c r="DC386" t="s">
        <v>3</v>
      </c>
      <c r="DD386" t="s">
        <v>3</v>
      </c>
      <c r="DE386" t="s">
        <v>3</v>
      </c>
      <c r="DF386" t="s">
        <v>3</v>
      </c>
      <c r="DG386" t="s">
        <v>3</v>
      </c>
      <c r="DH386" t="s">
        <v>3</v>
      </c>
      <c r="DI386" t="s">
        <v>3</v>
      </c>
      <c r="DJ386" t="s">
        <v>3</v>
      </c>
      <c r="DK386" t="s">
        <v>3</v>
      </c>
      <c r="DL386" t="s">
        <v>3</v>
      </c>
      <c r="DM386" t="s">
        <v>3</v>
      </c>
      <c r="DN386">
        <v>0</v>
      </c>
      <c r="DO386">
        <v>0</v>
      </c>
      <c r="DP386">
        <v>1</v>
      </c>
      <c r="DQ386">
        <v>1</v>
      </c>
      <c r="DU386">
        <v>1010</v>
      </c>
      <c r="DV386" t="s">
        <v>33</v>
      </c>
      <c r="DW386" t="s">
        <v>33</v>
      </c>
      <c r="DX386">
        <v>100</v>
      </c>
      <c r="DZ386" t="s">
        <v>3</v>
      </c>
      <c r="EA386" t="s">
        <v>3</v>
      </c>
      <c r="EB386" t="s">
        <v>3</v>
      </c>
      <c r="EC386" t="s">
        <v>3</v>
      </c>
      <c r="EE386">
        <v>71753531</v>
      </c>
      <c r="EF386">
        <v>1</v>
      </c>
      <c r="EG386" t="s">
        <v>22</v>
      </c>
      <c r="EH386">
        <v>0</v>
      </c>
      <c r="EI386" t="s">
        <v>3</v>
      </c>
      <c r="EJ386">
        <v>4</v>
      </c>
      <c r="EK386">
        <v>0</v>
      </c>
      <c r="EL386" t="s">
        <v>23</v>
      </c>
      <c r="EM386" t="s">
        <v>24</v>
      </c>
      <c r="EO386" t="s">
        <v>3</v>
      </c>
      <c r="EQ386">
        <v>0</v>
      </c>
      <c r="ER386">
        <v>7373.44</v>
      </c>
      <c r="ES386">
        <v>0</v>
      </c>
      <c r="ET386">
        <v>0</v>
      </c>
      <c r="EU386">
        <v>0</v>
      </c>
      <c r="EV386">
        <v>7373.44</v>
      </c>
      <c r="EW386">
        <v>29.74</v>
      </c>
      <c r="EX386">
        <v>0</v>
      </c>
      <c r="EY386">
        <v>0</v>
      </c>
      <c r="FQ386">
        <v>0</v>
      </c>
      <c r="FR386">
        <f t="shared" si="394"/>
        <v>0</v>
      </c>
      <c r="FS386">
        <v>0</v>
      </c>
      <c r="FX386">
        <v>70</v>
      </c>
      <c r="FY386">
        <v>10</v>
      </c>
      <c r="GA386" t="s">
        <v>3</v>
      </c>
      <c r="GD386">
        <v>0</v>
      </c>
      <c r="GF386">
        <v>-1678721504</v>
      </c>
      <c r="GG386">
        <v>2</v>
      </c>
      <c r="GH386">
        <v>1</v>
      </c>
      <c r="GI386">
        <v>-2</v>
      </c>
      <c r="GJ386">
        <v>0</v>
      </c>
      <c r="GK386">
        <f>ROUND(R386*(R12)/100,2)</f>
        <v>0</v>
      </c>
      <c r="GL386">
        <f t="shared" si="395"/>
        <v>0</v>
      </c>
      <c r="GM386">
        <f t="shared" si="396"/>
        <v>265.45</v>
      </c>
      <c r="GN386">
        <f t="shared" si="397"/>
        <v>0</v>
      </c>
      <c r="GO386">
        <f t="shared" si="398"/>
        <v>0</v>
      </c>
      <c r="GP386">
        <f t="shared" si="399"/>
        <v>265.45</v>
      </c>
      <c r="GR386">
        <v>0</v>
      </c>
      <c r="GS386">
        <v>3</v>
      </c>
      <c r="GT386">
        <v>0</v>
      </c>
      <c r="GU386" t="s">
        <v>3</v>
      </c>
      <c r="GV386">
        <f t="shared" si="400"/>
        <v>0</v>
      </c>
      <c r="GW386">
        <v>1</v>
      </c>
      <c r="GX386">
        <f t="shared" si="401"/>
        <v>0</v>
      </c>
      <c r="HA386">
        <v>0</v>
      </c>
      <c r="HB386">
        <v>0</v>
      </c>
      <c r="HC386">
        <f t="shared" si="402"/>
        <v>0</v>
      </c>
      <c r="HE386" t="s">
        <v>3</v>
      </c>
      <c r="HF386" t="s">
        <v>3</v>
      </c>
      <c r="HM386" t="s">
        <v>3</v>
      </c>
      <c r="HN386" t="s">
        <v>3</v>
      </c>
      <c r="HO386" t="s">
        <v>3</v>
      </c>
      <c r="HP386" t="s">
        <v>3</v>
      </c>
      <c r="HQ386" t="s">
        <v>3</v>
      </c>
      <c r="IK386">
        <v>0</v>
      </c>
    </row>
    <row r="387" spans="1:245" x14ac:dyDescent="0.2">
      <c r="A387">
        <v>18</v>
      </c>
      <c r="B387">
        <v>1</v>
      </c>
      <c r="E387" t="s">
        <v>324</v>
      </c>
      <c r="F387" t="s">
        <v>256</v>
      </c>
      <c r="G387" t="s">
        <v>257</v>
      </c>
      <c r="H387" t="s">
        <v>51</v>
      </c>
      <c r="I387">
        <f>I386*J387</f>
        <v>2</v>
      </c>
      <c r="J387">
        <v>100</v>
      </c>
      <c r="K387">
        <v>100</v>
      </c>
      <c r="O387">
        <f t="shared" si="367"/>
        <v>205.26</v>
      </c>
      <c r="P387">
        <f t="shared" si="368"/>
        <v>205.26</v>
      </c>
      <c r="Q387">
        <f t="shared" si="369"/>
        <v>0</v>
      </c>
      <c r="R387">
        <f t="shared" si="370"/>
        <v>0</v>
      </c>
      <c r="S387">
        <f t="shared" si="371"/>
        <v>0</v>
      </c>
      <c r="T387">
        <f t="shared" si="372"/>
        <v>0</v>
      </c>
      <c r="U387">
        <f t="shared" si="373"/>
        <v>0</v>
      </c>
      <c r="V387">
        <f t="shared" si="374"/>
        <v>0</v>
      </c>
      <c r="W387">
        <f t="shared" si="375"/>
        <v>0</v>
      </c>
      <c r="X387">
        <f t="shared" si="376"/>
        <v>0</v>
      </c>
      <c r="Y387">
        <f t="shared" si="376"/>
        <v>0</v>
      </c>
      <c r="AA387">
        <v>72192302</v>
      </c>
      <c r="AB387">
        <f t="shared" si="377"/>
        <v>102.63</v>
      </c>
      <c r="AC387">
        <f t="shared" si="378"/>
        <v>102.63</v>
      </c>
      <c r="AD387">
        <f t="shared" si="379"/>
        <v>0</v>
      </c>
      <c r="AE387">
        <f t="shared" si="380"/>
        <v>0</v>
      </c>
      <c r="AF387">
        <f t="shared" si="380"/>
        <v>0</v>
      </c>
      <c r="AG387">
        <f t="shared" si="381"/>
        <v>0</v>
      </c>
      <c r="AH387">
        <f t="shared" si="382"/>
        <v>0</v>
      </c>
      <c r="AI387">
        <f t="shared" si="382"/>
        <v>0</v>
      </c>
      <c r="AJ387">
        <f t="shared" si="383"/>
        <v>0</v>
      </c>
      <c r="AK387">
        <v>102.63</v>
      </c>
      <c r="AL387">
        <v>102.63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70</v>
      </c>
      <c r="AU387">
        <v>10</v>
      </c>
      <c r="AV387">
        <v>1</v>
      </c>
      <c r="AW387">
        <v>1</v>
      </c>
      <c r="AZ387">
        <v>1</v>
      </c>
      <c r="BA387">
        <v>1</v>
      </c>
      <c r="BB387">
        <v>1</v>
      </c>
      <c r="BC387">
        <v>1</v>
      </c>
      <c r="BD387" t="s">
        <v>3</v>
      </c>
      <c r="BE387" t="s">
        <v>3</v>
      </c>
      <c r="BF387" t="s">
        <v>3</v>
      </c>
      <c r="BG387" t="s">
        <v>3</v>
      </c>
      <c r="BH387">
        <v>3</v>
      </c>
      <c r="BI387">
        <v>4</v>
      </c>
      <c r="BJ387" t="s">
        <v>258</v>
      </c>
      <c r="BM387">
        <v>0</v>
      </c>
      <c r="BN387">
        <v>0</v>
      </c>
      <c r="BO387" t="s">
        <v>3</v>
      </c>
      <c r="BP387">
        <v>0</v>
      </c>
      <c r="BQ387">
        <v>1</v>
      </c>
      <c r="BR387">
        <v>0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 t="s">
        <v>3</v>
      </c>
      <c r="BZ387">
        <v>70</v>
      </c>
      <c r="CA387">
        <v>10</v>
      </c>
      <c r="CB387" t="s">
        <v>3</v>
      </c>
      <c r="CE387">
        <v>0</v>
      </c>
      <c r="CF387">
        <v>0</v>
      </c>
      <c r="CG387">
        <v>0</v>
      </c>
      <c r="CM387">
        <v>0</v>
      </c>
      <c r="CN387" t="s">
        <v>3</v>
      </c>
      <c r="CO387">
        <v>0</v>
      </c>
      <c r="CP387">
        <f t="shared" si="384"/>
        <v>205.26</v>
      </c>
      <c r="CQ387">
        <f t="shared" si="385"/>
        <v>102.63</v>
      </c>
      <c r="CR387">
        <f t="shared" si="386"/>
        <v>0</v>
      </c>
      <c r="CS387">
        <f t="shared" si="387"/>
        <v>0</v>
      </c>
      <c r="CT387">
        <f t="shared" si="388"/>
        <v>0</v>
      </c>
      <c r="CU387">
        <f t="shared" si="389"/>
        <v>0</v>
      </c>
      <c r="CV387">
        <f t="shared" si="390"/>
        <v>0</v>
      </c>
      <c r="CW387">
        <f t="shared" si="391"/>
        <v>0</v>
      </c>
      <c r="CX387">
        <f t="shared" si="391"/>
        <v>0</v>
      </c>
      <c r="CY387">
        <f t="shared" si="392"/>
        <v>0</v>
      </c>
      <c r="CZ387">
        <f t="shared" si="393"/>
        <v>0</v>
      </c>
      <c r="DC387" t="s">
        <v>3</v>
      </c>
      <c r="DD387" t="s">
        <v>3</v>
      </c>
      <c r="DE387" t="s">
        <v>3</v>
      </c>
      <c r="DF387" t="s">
        <v>3</v>
      </c>
      <c r="DG387" t="s">
        <v>3</v>
      </c>
      <c r="DH387" t="s">
        <v>3</v>
      </c>
      <c r="DI387" t="s">
        <v>3</v>
      </c>
      <c r="DJ387" t="s">
        <v>3</v>
      </c>
      <c r="DK387" t="s">
        <v>3</v>
      </c>
      <c r="DL387" t="s">
        <v>3</v>
      </c>
      <c r="DM387" t="s">
        <v>3</v>
      </c>
      <c r="DN387">
        <v>0</v>
      </c>
      <c r="DO387">
        <v>0</v>
      </c>
      <c r="DP387">
        <v>1</v>
      </c>
      <c r="DQ387">
        <v>1</v>
      </c>
      <c r="DU387">
        <v>1010</v>
      </c>
      <c r="DV387" t="s">
        <v>51</v>
      </c>
      <c r="DW387" t="s">
        <v>51</v>
      </c>
      <c r="DX387">
        <v>1</v>
      </c>
      <c r="DZ387" t="s">
        <v>3</v>
      </c>
      <c r="EA387" t="s">
        <v>3</v>
      </c>
      <c r="EB387" t="s">
        <v>3</v>
      </c>
      <c r="EC387" t="s">
        <v>3</v>
      </c>
      <c r="EE387">
        <v>71753531</v>
      </c>
      <c r="EF387">
        <v>1</v>
      </c>
      <c r="EG387" t="s">
        <v>22</v>
      </c>
      <c r="EH387">
        <v>0</v>
      </c>
      <c r="EI387" t="s">
        <v>3</v>
      </c>
      <c r="EJ387">
        <v>4</v>
      </c>
      <c r="EK387">
        <v>0</v>
      </c>
      <c r="EL387" t="s">
        <v>23</v>
      </c>
      <c r="EM387" t="s">
        <v>24</v>
      </c>
      <c r="EO387" t="s">
        <v>3</v>
      </c>
      <c r="EQ387">
        <v>0</v>
      </c>
      <c r="ER387">
        <v>102.63</v>
      </c>
      <c r="ES387">
        <v>102.63</v>
      </c>
      <c r="ET387">
        <v>0</v>
      </c>
      <c r="EU387">
        <v>0</v>
      </c>
      <c r="EV387">
        <v>0</v>
      </c>
      <c r="EW387">
        <v>0</v>
      </c>
      <c r="EX387">
        <v>0</v>
      </c>
      <c r="FQ387">
        <v>0</v>
      </c>
      <c r="FR387">
        <f t="shared" si="394"/>
        <v>0</v>
      </c>
      <c r="FS387">
        <v>0</v>
      </c>
      <c r="FX387">
        <v>70</v>
      </c>
      <c r="FY387">
        <v>10</v>
      </c>
      <c r="GA387" t="s">
        <v>3</v>
      </c>
      <c r="GD387">
        <v>0</v>
      </c>
      <c r="GF387">
        <v>154001895</v>
      </c>
      <c r="GG387">
        <v>2</v>
      </c>
      <c r="GH387">
        <v>1</v>
      </c>
      <c r="GI387">
        <v>-2</v>
      </c>
      <c r="GJ387">
        <v>0</v>
      </c>
      <c r="GK387">
        <f>ROUND(R387*(R12)/100,2)</f>
        <v>0</v>
      </c>
      <c r="GL387">
        <f t="shared" si="395"/>
        <v>0</v>
      </c>
      <c r="GM387">
        <f t="shared" si="396"/>
        <v>205.26</v>
      </c>
      <c r="GN387">
        <f t="shared" si="397"/>
        <v>0</v>
      </c>
      <c r="GO387">
        <f t="shared" si="398"/>
        <v>0</v>
      </c>
      <c r="GP387">
        <f t="shared" si="399"/>
        <v>205.26</v>
      </c>
      <c r="GR387">
        <v>0</v>
      </c>
      <c r="GS387">
        <v>3</v>
      </c>
      <c r="GT387">
        <v>0</v>
      </c>
      <c r="GU387" t="s">
        <v>3</v>
      </c>
      <c r="GV387">
        <f t="shared" si="400"/>
        <v>0</v>
      </c>
      <c r="GW387">
        <v>1</v>
      </c>
      <c r="GX387">
        <f t="shared" si="401"/>
        <v>0</v>
      </c>
      <c r="HA387">
        <v>0</v>
      </c>
      <c r="HB387">
        <v>0</v>
      </c>
      <c r="HC387">
        <f t="shared" si="402"/>
        <v>0</v>
      </c>
      <c r="HE387" t="s">
        <v>3</v>
      </c>
      <c r="HF387" t="s">
        <v>3</v>
      </c>
      <c r="HM387" t="s">
        <v>3</v>
      </c>
      <c r="HN387" t="s">
        <v>3</v>
      </c>
      <c r="HO387" t="s">
        <v>3</v>
      </c>
      <c r="HP387" t="s">
        <v>3</v>
      </c>
      <c r="HQ387" t="s">
        <v>3</v>
      </c>
      <c r="IK387">
        <v>0</v>
      </c>
    </row>
    <row r="388" spans="1:245" x14ac:dyDescent="0.2">
      <c r="A388">
        <v>17</v>
      </c>
      <c r="B388">
        <v>1</v>
      </c>
      <c r="D388">
        <f>ROW(EtalonRes!A248)</f>
        <v>248</v>
      </c>
      <c r="E388" t="s">
        <v>325</v>
      </c>
      <c r="F388" t="s">
        <v>235</v>
      </c>
      <c r="G388" t="s">
        <v>236</v>
      </c>
      <c r="H388" t="s">
        <v>20</v>
      </c>
      <c r="I388">
        <v>0.1</v>
      </c>
      <c r="J388">
        <v>0</v>
      </c>
      <c r="K388">
        <v>0.1</v>
      </c>
      <c r="O388">
        <f t="shared" si="367"/>
        <v>1036.9000000000001</v>
      </c>
      <c r="P388">
        <f t="shared" si="368"/>
        <v>456.19</v>
      </c>
      <c r="Q388">
        <f t="shared" si="369"/>
        <v>4.5199999999999996</v>
      </c>
      <c r="R388">
        <f t="shared" si="370"/>
        <v>0.59</v>
      </c>
      <c r="S388">
        <f t="shared" si="371"/>
        <v>576.19000000000005</v>
      </c>
      <c r="T388">
        <f t="shared" si="372"/>
        <v>0</v>
      </c>
      <c r="U388">
        <f t="shared" si="373"/>
        <v>1.7260000000000002</v>
      </c>
      <c r="V388">
        <f t="shared" si="374"/>
        <v>0</v>
      </c>
      <c r="W388">
        <f t="shared" si="375"/>
        <v>0</v>
      </c>
      <c r="X388">
        <f t="shared" si="376"/>
        <v>403.33</v>
      </c>
      <c r="Y388">
        <f t="shared" si="376"/>
        <v>57.62</v>
      </c>
      <c r="AA388">
        <v>72192302</v>
      </c>
      <c r="AB388">
        <f t="shared" si="377"/>
        <v>10368.99</v>
      </c>
      <c r="AC388">
        <f t="shared" si="378"/>
        <v>4561.8999999999996</v>
      </c>
      <c r="AD388">
        <f t="shared" si="379"/>
        <v>45.21</v>
      </c>
      <c r="AE388">
        <f t="shared" si="380"/>
        <v>5.92</v>
      </c>
      <c r="AF388">
        <f t="shared" si="380"/>
        <v>5761.88</v>
      </c>
      <c r="AG388">
        <f t="shared" si="381"/>
        <v>0</v>
      </c>
      <c r="AH388">
        <f t="shared" si="382"/>
        <v>17.260000000000002</v>
      </c>
      <c r="AI388">
        <f t="shared" si="382"/>
        <v>0</v>
      </c>
      <c r="AJ388">
        <f t="shared" si="383"/>
        <v>0</v>
      </c>
      <c r="AK388">
        <v>10368.99</v>
      </c>
      <c r="AL388">
        <v>4561.8999999999996</v>
      </c>
      <c r="AM388">
        <v>45.21</v>
      </c>
      <c r="AN388">
        <v>5.92</v>
      </c>
      <c r="AO388">
        <v>5761.88</v>
      </c>
      <c r="AP388">
        <v>0</v>
      </c>
      <c r="AQ388">
        <v>17.260000000000002</v>
      </c>
      <c r="AR388">
        <v>0</v>
      </c>
      <c r="AS388">
        <v>0</v>
      </c>
      <c r="AT388">
        <v>70</v>
      </c>
      <c r="AU388">
        <v>10</v>
      </c>
      <c r="AV388">
        <v>1</v>
      </c>
      <c r="AW388">
        <v>1</v>
      </c>
      <c r="AZ388">
        <v>1</v>
      </c>
      <c r="BA388">
        <v>1</v>
      </c>
      <c r="BB388">
        <v>1</v>
      </c>
      <c r="BC388">
        <v>1</v>
      </c>
      <c r="BD388" t="s">
        <v>3</v>
      </c>
      <c r="BE388" t="s">
        <v>3</v>
      </c>
      <c r="BF388" t="s">
        <v>3</v>
      </c>
      <c r="BG388" t="s">
        <v>3</v>
      </c>
      <c r="BH388">
        <v>0</v>
      </c>
      <c r="BI388">
        <v>4</v>
      </c>
      <c r="BJ388" t="s">
        <v>237</v>
      </c>
      <c r="BM388">
        <v>0</v>
      </c>
      <c r="BN388">
        <v>0</v>
      </c>
      <c r="BO388" t="s">
        <v>3</v>
      </c>
      <c r="BP388">
        <v>0</v>
      </c>
      <c r="BQ388">
        <v>1</v>
      </c>
      <c r="BR388">
        <v>0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 t="s">
        <v>3</v>
      </c>
      <c r="BZ388">
        <v>70</v>
      </c>
      <c r="CA388">
        <v>10</v>
      </c>
      <c r="CB388" t="s">
        <v>3</v>
      </c>
      <c r="CE388">
        <v>0</v>
      </c>
      <c r="CF388">
        <v>0</v>
      </c>
      <c r="CG388">
        <v>0</v>
      </c>
      <c r="CM388">
        <v>0</v>
      </c>
      <c r="CN388" t="s">
        <v>3</v>
      </c>
      <c r="CO388">
        <v>0</v>
      </c>
      <c r="CP388">
        <f t="shared" si="384"/>
        <v>1036.9000000000001</v>
      </c>
      <c r="CQ388">
        <f t="shared" si="385"/>
        <v>4561.8999999999996</v>
      </c>
      <c r="CR388">
        <f t="shared" si="386"/>
        <v>45.21</v>
      </c>
      <c r="CS388">
        <f t="shared" si="387"/>
        <v>5.92</v>
      </c>
      <c r="CT388">
        <f t="shared" si="388"/>
        <v>5761.88</v>
      </c>
      <c r="CU388">
        <f t="shared" si="389"/>
        <v>0</v>
      </c>
      <c r="CV388">
        <f t="shared" si="390"/>
        <v>17.260000000000002</v>
      </c>
      <c r="CW388">
        <f t="shared" si="391"/>
        <v>0</v>
      </c>
      <c r="CX388">
        <f t="shared" si="391"/>
        <v>0</v>
      </c>
      <c r="CY388">
        <f t="shared" si="392"/>
        <v>403.33300000000003</v>
      </c>
      <c r="CZ388">
        <f t="shared" si="393"/>
        <v>57.619000000000007</v>
      </c>
      <c r="DC388" t="s">
        <v>3</v>
      </c>
      <c r="DD388" t="s">
        <v>3</v>
      </c>
      <c r="DE388" t="s">
        <v>3</v>
      </c>
      <c r="DF388" t="s">
        <v>3</v>
      </c>
      <c r="DG388" t="s">
        <v>3</v>
      </c>
      <c r="DH388" t="s">
        <v>3</v>
      </c>
      <c r="DI388" t="s">
        <v>3</v>
      </c>
      <c r="DJ388" t="s">
        <v>3</v>
      </c>
      <c r="DK388" t="s">
        <v>3</v>
      </c>
      <c r="DL388" t="s">
        <v>3</v>
      </c>
      <c r="DM388" t="s">
        <v>3</v>
      </c>
      <c r="DN388">
        <v>0</v>
      </c>
      <c r="DO388">
        <v>0</v>
      </c>
      <c r="DP388">
        <v>1</v>
      </c>
      <c r="DQ388">
        <v>1</v>
      </c>
      <c r="DU388">
        <v>1003</v>
      </c>
      <c r="DV388" t="s">
        <v>20</v>
      </c>
      <c r="DW388" t="s">
        <v>20</v>
      </c>
      <c r="DX388">
        <v>100</v>
      </c>
      <c r="DZ388" t="s">
        <v>3</v>
      </c>
      <c r="EA388" t="s">
        <v>3</v>
      </c>
      <c r="EB388" t="s">
        <v>3</v>
      </c>
      <c r="EC388" t="s">
        <v>3</v>
      </c>
      <c r="EE388">
        <v>71753531</v>
      </c>
      <c r="EF388">
        <v>1</v>
      </c>
      <c r="EG388" t="s">
        <v>22</v>
      </c>
      <c r="EH388">
        <v>0</v>
      </c>
      <c r="EI388" t="s">
        <v>3</v>
      </c>
      <c r="EJ388">
        <v>4</v>
      </c>
      <c r="EK388">
        <v>0</v>
      </c>
      <c r="EL388" t="s">
        <v>23</v>
      </c>
      <c r="EM388" t="s">
        <v>24</v>
      </c>
      <c r="EO388" t="s">
        <v>3</v>
      </c>
      <c r="EQ388">
        <v>0</v>
      </c>
      <c r="ER388">
        <v>10368.99</v>
      </c>
      <c r="ES388">
        <v>4561.8999999999996</v>
      </c>
      <c r="ET388">
        <v>45.21</v>
      </c>
      <c r="EU388">
        <v>5.92</v>
      </c>
      <c r="EV388">
        <v>5761.88</v>
      </c>
      <c r="EW388">
        <v>17.260000000000002</v>
      </c>
      <c r="EX388">
        <v>0</v>
      </c>
      <c r="EY388">
        <v>0</v>
      </c>
      <c r="FQ388">
        <v>0</v>
      </c>
      <c r="FR388">
        <f t="shared" si="394"/>
        <v>0</v>
      </c>
      <c r="FS388">
        <v>0</v>
      </c>
      <c r="FX388">
        <v>70</v>
      </c>
      <c r="FY388">
        <v>10</v>
      </c>
      <c r="GA388" t="s">
        <v>3</v>
      </c>
      <c r="GD388">
        <v>0</v>
      </c>
      <c r="GF388">
        <v>-241561097</v>
      </c>
      <c r="GG388">
        <v>2</v>
      </c>
      <c r="GH388">
        <v>1</v>
      </c>
      <c r="GI388">
        <v>-2</v>
      </c>
      <c r="GJ388">
        <v>0</v>
      </c>
      <c r="GK388">
        <f>ROUND(R388*(R12)/100,2)</f>
        <v>0.64</v>
      </c>
      <c r="GL388">
        <f t="shared" si="395"/>
        <v>0</v>
      </c>
      <c r="GM388">
        <f t="shared" si="396"/>
        <v>1498.49</v>
      </c>
      <c r="GN388">
        <f t="shared" si="397"/>
        <v>0</v>
      </c>
      <c r="GO388">
        <f t="shared" si="398"/>
        <v>0</v>
      </c>
      <c r="GP388">
        <f t="shared" si="399"/>
        <v>1498.49</v>
      </c>
      <c r="GR388">
        <v>0</v>
      </c>
      <c r="GS388">
        <v>3</v>
      </c>
      <c r="GT388">
        <v>0</v>
      </c>
      <c r="GU388" t="s">
        <v>3</v>
      </c>
      <c r="GV388">
        <f t="shared" si="400"/>
        <v>0</v>
      </c>
      <c r="GW388">
        <v>1</v>
      </c>
      <c r="GX388">
        <f t="shared" si="401"/>
        <v>0</v>
      </c>
      <c r="HA388">
        <v>0</v>
      </c>
      <c r="HB388">
        <v>0</v>
      </c>
      <c r="HC388">
        <f t="shared" si="402"/>
        <v>0</v>
      </c>
      <c r="HE388" t="s">
        <v>3</v>
      </c>
      <c r="HF388" t="s">
        <v>3</v>
      </c>
      <c r="HM388" t="s">
        <v>3</v>
      </c>
      <c r="HN388" t="s">
        <v>3</v>
      </c>
      <c r="HO388" t="s">
        <v>3</v>
      </c>
      <c r="HP388" t="s">
        <v>3</v>
      </c>
      <c r="HQ388" t="s">
        <v>3</v>
      </c>
      <c r="IK388">
        <v>0</v>
      </c>
    </row>
    <row r="389" spans="1:245" x14ac:dyDescent="0.2">
      <c r="A389">
        <v>17</v>
      </c>
      <c r="B389">
        <v>1</v>
      </c>
      <c r="D389">
        <f>ROW(EtalonRes!A249)</f>
        <v>249</v>
      </c>
      <c r="E389" t="s">
        <v>326</v>
      </c>
      <c r="F389" t="s">
        <v>239</v>
      </c>
      <c r="G389" t="s">
        <v>240</v>
      </c>
      <c r="H389" t="s">
        <v>20</v>
      </c>
      <c r="I389">
        <v>0.1</v>
      </c>
      <c r="J389">
        <v>0</v>
      </c>
      <c r="K389">
        <v>0.1</v>
      </c>
      <c r="O389">
        <f t="shared" si="367"/>
        <v>231.61</v>
      </c>
      <c r="P389">
        <f t="shared" si="368"/>
        <v>0</v>
      </c>
      <c r="Q389">
        <f t="shared" si="369"/>
        <v>0</v>
      </c>
      <c r="R389">
        <f t="shared" si="370"/>
        <v>0</v>
      </c>
      <c r="S389">
        <f t="shared" si="371"/>
        <v>231.61</v>
      </c>
      <c r="T389">
        <f t="shared" si="372"/>
        <v>0</v>
      </c>
      <c r="U389">
        <f t="shared" si="373"/>
        <v>0.71100000000000008</v>
      </c>
      <c r="V389">
        <f t="shared" si="374"/>
        <v>0</v>
      </c>
      <c r="W389">
        <f t="shared" si="375"/>
        <v>0</v>
      </c>
      <c r="X389">
        <f t="shared" si="376"/>
        <v>162.13</v>
      </c>
      <c r="Y389">
        <f t="shared" si="376"/>
        <v>23.16</v>
      </c>
      <c r="AA389">
        <v>72192302</v>
      </c>
      <c r="AB389">
        <f t="shared" si="377"/>
        <v>2316.08</v>
      </c>
      <c r="AC389">
        <f t="shared" si="378"/>
        <v>0</v>
      </c>
      <c r="AD389">
        <f t="shared" si="379"/>
        <v>0</v>
      </c>
      <c r="AE389">
        <f t="shared" si="380"/>
        <v>0</v>
      </c>
      <c r="AF389">
        <f t="shared" si="380"/>
        <v>2316.08</v>
      </c>
      <c r="AG389">
        <f t="shared" si="381"/>
        <v>0</v>
      </c>
      <c r="AH389">
        <f t="shared" si="382"/>
        <v>7.11</v>
      </c>
      <c r="AI389">
        <f t="shared" si="382"/>
        <v>0</v>
      </c>
      <c r="AJ389">
        <f t="shared" si="383"/>
        <v>0</v>
      </c>
      <c r="AK389">
        <v>2316.08</v>
      </c>
      <c r="AL389">
        <v>0</v>
      </c>
      <c r="AM389">
        <v>0</v>
      </c>
      <c r="AN389">
        <v>0</v>
      </c>
      <c r="AO389">
        <v>2316.08</v>
      </c>
      <c r="AP389">
        <v>0</v>
      </c>
      <c r="AQ389">
        <v>7.11</v>
      </c>
      <c r="AR389">
        <v>0</v>
      </c>
      <c r="AS389">
        <v>0</v>
      </c>
      <c r="AT389">
        <v>70</v>
      </c>
      <c r="AU389">
        <v>10</v>
      </c>
      <c r="AV389">
        <v>1</v>
      </c>
      <c r="AW389">
        <v>1</v>
      </c>
      <c r="AZ389">
        <v>1</v>
      </c>
      <c r="BA389">
        <v>1</v>
      </c>
      <c r="BB389">
        <v>1</v>
      </c>
      <c r="BC389">
        <v>1</v>
      </c>
      <c r="BD389" t="s">
        <v>3</v>
      </c>
      <c r="BE389" t="s">
        <v>3</v>
      </c>
      <c r="BF389" t="s">
        <v>3</v>
      </c>
      <c r="BG389" t="s">
        <v>3</v>
      </c>
      <c r="BH389">
        <v>0</v>
      </c>
      <c r="BI389">
        <v>4</v>
      </c>
      <c r="BJ389" t="s">
        <v>241</v>
      </c>
      <c r="BM389">
        <v>0</v>
      </c>
      <c r="BN389">
        <v>0</v>
      </c>
      <c r="BO389" t="s">
        <v>3</v>
      </c>
      <c r="BP389">
        <v>0</v>
      </c>
      <c r="BQ389">
        <v>1</v>
      </c>
      <c r="BR389">
        <v>0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 t="s">
        <v>3</v>
      </c>
      <c r="BZ389">
        <v>70</v>
      </c>
      <c r="CA389">
        <v>10</v>
      </c>
      <c r="CB389" t="s">
        <v>3</v>
      </c>
      <c r="CE389">
        <v>0</v>
      </c>
      <c r="CF389">
        <v>0</v>
      </c>
      <c r="CG389">
        <v>0</v>
      </c>
      <c r="CM389">
        <v>0</v>
      </c>
      <c r="CN389" t="s">
        <v>3</v>
      </c>
      <c r="CO389">
        <v>0</v>
      </c>
      <c r="CP389">
        <f t="shared" si="384"/>
        <v>231.61</v>
      </c>
      <c r="CQ389">
        <f t="shared" si="385"/>
        <v>0</v>
      </c>
      <c r="CR389">
        <f t="shared" si="386"/>
        <v>0</v>
      </c>
      <c r="CS389">
        <f t="shared" si="387"/>
        <v>0</v>
      </c>
      <c r="CT389">
        <f t="shared" si="388"/>
        <v>2316.08</v>
      </c>
      <c r="CU389">
        <f t="shared" si="389"/>
        <v>0</v>
      </c>
      <c r="CV389">
        <f t="shared" si="390"/>
        <v>7.11</v>
      </c>
      <c r="CW389">
        <f t="shared" si="391"/>
        <v>0</v>
      </c>
      <c r="CX389">
        <f t="shared" si="391"/>
        <v>0</v>
      </c>
      <c r="CY389">
        <f t="shared" si="392"/>
        <v>162.12700000000001</v>
      </c>
      <c r="CZ389">
        <f t="shared" si="393"/>
        <v>23.161000000000005</v>
      </c>
      <c r="DC389" t="s">
        <v>3</v>
      </c>
      <c r="DD389" t="s">
        <v>3</v>
      </c>
      <c r="DE389" t="s">
        <v>3</v>
      </c>
      <c r="DF389" t="s">
        <v>3</v>
      </c>
      <c r="DG389" t="s">
        <v>3</v>
      </c>
      <c r="DH389" t="s">
        <v>3</v>
      </c>
      <c r="DI389" t="s">
        <v>3</v>
      </c>
      <c r="DJ389" t="s">
        <v>3</v>
      </c>
      <c r="DK389" t="s">
        <v>3</v>
      </c>
      <c r="DL389" t="s">
        <v>3</v>
      </c>
      <c r="DM389" t="s">
        <v>3</v>
      </c>
      <c r="DN389">
        <v>0</v>
      </c>
      <c r="DO389">
        <v>0</v>
      </c>
      <c r="DP389">
        <v>1</v>
      </c>
      <c r="DQ389">
        <v>1</v>
      </c>
      <c r="DU389">
        <v>1003</v>
      </c>
      <c r="DV389" t="s">
        <v>20</v>
      </c>
      <c r="DW389" t="s">
        <v>20</v>
      </c>
      <c r="DX389">
        <v>100</v>
      </c>
      <c r="DZ389" t="s">
        <v>3</v>
      </c>
      <c r="EA389" t="s">
        <v>3</v>
      </c>
      <c r="EB389" t="s">
        <v>3</v>
      </c>
      <c r="EC389" t="s">
        <v>3</v>
      </c>
      <c r="EE389">
        <v>71753531</v>
      </c>
      <c r="EF389">
        <v>1</v>
      </c>
      <c r="EG389" t="s">
        <v>22</v>
      </c>
      <c r="EH389">
        <v>0</v>
      </c>
      <c r="EI389" t="s">
        <v>3</v>
      </c>
      <c r="EJ389">
        <v>4</v>
      </c>
      <c r="EK389">
        <v>0</v>
      </c>
      <c r="EL389" t="s">
        <v>23</v>
      </c>
      <c r="EM389" t="s">
        <v>24</v>
      </c>
      <c r="EO389" t="s">
        <v>3</v>
      </c>
      <c r="EQ389">
        <v>0</v>
      </c>
      <c r="ER389">
        <v>2316.08</v>
      </c>
      <c r="ES389">
        <v>0</v>
      </c>
      <c r="ET389">
        <v>0</v>
      </c>
      <c r="EU389">
        <v>0</v>
      </c>
      <c r="EV389">
        <v>2316.08</v>
      </c>
      <c r="EW389">
        <v>7.11</v>
      </c>
      <c r="EX389">
        <v>0</v>
      </c>
      <c r="EY389">
        <v>0</v>
      </c>
      <c r="FQ389">
        <v>0</v>
      </c>
      <c r="FR389">
        <f t="shared" si="394"/>
        <v>0</v>
      </c>
      <c r="FS389">
        <v>0</v>
      </c>
      <c r="FX389">
        <v>70</v>
      </c>
      <c r="FY389">
        <v>10</v>
      </c>
      <c r="GA389" t="s">
        <v>3</v>
      </c>
      <c r="GD389">
        <v>0</v>
      </c>
      <c r="GF389">
        <v>1642679896</v>
      </c>
      <c r="GG389">
        <v>2</v>
      </c>
      <c r="GH389">
        <v>1</v>
      </c>
      <c r="GI389">
        <v>-2</v>
      </c>
      <c r="GJ389">
        <v>0</v>
      </c>
      <c r="GK389">
        <f>ROUND(R389*(R12)/100,2)</f>
        <v>0</v>
      </c>
      <c r="GL389">
        <f t="shared" si="395"/>
        <v>0</v>
      </c>
      <c r="GM389">
        <f t="shared" si="396"/>
        <v>416.9</v>
      </c>
      <c r="GN389">
        <f t="shared" si="397"/>
        <v>0</v>
      </c>
      <c r="GO389">
        <f t="shared" si="398"/>
        <v>0</v>
      </c>
      <c r="GP389">
        <f t="shared" si="399"/>
        <v>416.9</v>
      </c>
      <c r="GR389">
        <v>0</v>
      </c>
      <c r="GS389">
        <v>3</v>
      </c>
      <c r="GT389">
        <v>0</v>
      </c>
      <c r="GU389" t="s">
        <v>3</v>
      </c>
      <c r="GV389">
        <f t="shared" si="400"/>
        <v>0</v>
      </c>
      <c r="GW389">
        <v>1</v>
      </c>
      <c r="GX389">
        <f t="shared" si="401"/>
        <v>0</v>
      </c>
      <c r="HA389">
        <v>0</v>
      </c>
      <c r="HB389">
        <v>0</v>
      </c>
      <c r="HC389">
        <f t="shared" si="402"/>
        <v>0</v>
      </c>
      <c r="HE389" t="s">
        <v>3</v>
      </c>
      <c r="HF389" t="s">
        <v>3</v>
      </c>
      <c r="HM389" t="s">
        <v>3</v>
      </c>
      <c r="HN389" t="s">
        <v>3</v>
      </c>
      <c r="HO389" t="s">
        <v>3</v>
      </c>
      <c r="HP389" t="s">
        <v>3</v>
      </c>
      <c r="HQ389" t="s">
        <v>3</v>
      </c>
      <c r="IK389">
        <v>0</v>
      </c>
    </row>
    <row r="390" spans="1:245" x14ac:dyDescent="0.2">
      <c r="A390">
        <v>18</v>
      </c>
      <c r="B390">
        <v>1</v>
      </c>
      <c r="E390" t="s">
        <v>327</v>
      </c>
      <c r="F390" t="s">
        <v>243</v>
      </c>
      <c r="G390" t="s">
        <v>244</v>
      </c>
      <c r="H390" t="s">
        <v>245</v>
      </c>
      <c r="I390">
        <f>I389*J390</f>
        <v>1.0200000000000001E-2</v>
      </c>
      <c r="J390">
        <v>0.10200000000000001</v>
      </c>
      <c r="K390">
        <v>0.10199999999999999</v>
      </c>
      <c r="O390">
        <f t="shared" si="367"/>
        <v>1021.18</v>
      </c>
      <c r="P390">
        <f t="shared" si="368"/>
        <v>1021.18</v>
      </c>
      <c r="Q390">
        <f t="shared" si="369"/>
        <v>0</v>
      </c>
      <c r="R390">
        <f t="shared" si="370"/>
        <v>0</v>
      </c>
      <c r="S390">
        <f t="shared" si="371"/>
        <v>0</v>
      </c>
      <c r="T390">
        <f t="shared" si="372"/>
        <v>0</v>
      </c>
      <c r="U390">
        <f t="shared" si="373"/>
        <v>0</v>
      </c>
      <c r="V390">
        <f t="shared" si="374"/>
        <v>0</v>
      </c>
      <c r="W390">
        <f t="shared" si="375"/>
        <v>0</v>
      </c>
      <c r="X390">
        <f t="shared" si="376"/>
        <v>0</v>
      </c>
      <c r="Y390">
        <f t="shared" si="376"/>
        <v>0</v>
      </c>
      <c r="AA390">
        <v>72192302</v>
      </c>
      <c r="AB390">
        <f t="shared" si="377"/>
        <v>100115.51</v>
      </c>
      <c r="AC390">
        <f t="shared" si="378"/>
        <v>100115.51</v>
      </c>
      <c r="AD390">
        <f t="shared" si="379"/>
        <v>0</v>
      </c>
      <c r="AE390">
        <f t="shared" si="380"/>
        <v>0</v>
      </c>
      <c r="AF390">
        <f t="shared" si="380"/>
        <v>0</v>
      </c>
      <c r="AG390">
        <f t="shared" si="381"/>
        <v>0</v>
      </c>
      <c r="AH390">
        <f t="shared" si="382"/>
        <v>0</v>
      </c>
      <c r="AI390">
        <f t="shared" si="382"/>
        <v>0</v>
      </c>
      <c r="AJ390">
        <f t="shared" si="383"/>
        <v>0</v>
      </c>
      <c r="AK390">
        <v>100115.51</v>
      </c>
      <c r="AL390">
        <v>100115.51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70</v>
      </c>
      <c r="AU390">
        <v>10</v>
      </c>
      <c r="AV390">
        <v>1</v>
      </c>
      <c r="AW390">
        <v>1</v>
      </c>
      <c r="AZ390">
        <v>1</v>
      </c>
      <c r="BA390">
        <v>1</v>
      </c>
      <c r="BB390">
        <v>1</v>
      </c>
      <c r="BC390">
        <v>1</v>
      </c>
      <c r="BD390" t="s">
        <v>3</v>
      </c>
      <c r="BE390" t="s">
        <v>3</v>
      </c>
      <c r="BF390" t="s">
        <v>3</v>
      </c>
      <c r="BG390" t="s">
        <v>3</v>
      </c>
      <c r="BH390">
        <v>3</v>
      </c>
      <c r="BI390">
        <v>4</v>
      </c>
      <c r="BJ390" t="s">
        <v>246</v>
      </c>
      <c r="BM390">
        <v>0</v>
      </c>
      <c r="BN390">
        <v>0</v>
      </c>
      <c r="BO390" t="s">
        <v>3</v>
      </c>
      <c r="BP390">
        <v>0</v>
      </c>
      <c r="BQ390">
        <v>1</v>
      </c>
      <c r="BR390">
        <v>0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 t="s">
        <v>3</v>
      </c>
      <c r="BZ390">
        <v>70</v>
      </c>
      <c r="CA390">
        <v>10</v>
      </c>
      <c r="CB390" t="s">
        <v>3</v>
      </c>
      <c r="CE390">
        <v>0</v>
      </c>
      <c r="CF390">
        <v>0</v>
      </c>
      <c r="CG390">
        <v>0</v>
      </c>
      <c r="CM390">
        <v>0</v>
      </c>
      <c r="CN390" t="s">
        <v>3</v>
      </c>
      <c r="CO390">
        <v>0</v>
      </c>
      <c r="CP390">
        <f t="shared" si="384"/>
        <v>1021.18</v>
      </c>
      <c r="CQ390">
        <f t="shared" si="385"/>
        <v>100115.51</v>
      </c>
      <c r="CR390">
        <f t="shared" si="386"/>
        <v>0</v>
      </c>
      <c r="CS390">
        <f t="shared" si="387"/>
        <v>0</v>
      </c>
      <c r="CT390">
        <f t="shared" si="388"/>
        <v>0</v>
      </c>
      <c r="CU390">
        <f t="shared" si="389"/>
        <v>0</v>
      </c>
      <c r="CV390">
        <f t="shared" si="390"/>
        <v>0</v>
      </c>
      <c r="CW390">
        <f t="shared" si="391"/>
        <v>0</v>
      </c>
      <c r="CX390">
        <f t="shared" si="391"/>
        <v>0</v>
      </c>
      <c r="CY390">
        <f t="shared" si="392"/>
        <v>0</v>
      </c>
      <c r="CZ390">
        <f t="shared" si="393"/>
        <v>0</v>
      </c>
      <c r="DC390" t="s">
        <v>3</v>
      </c>
      <c r="DD390" t="s">
        <v>3</v>
      </c>
      <c r="DE390" t="s">
        <v>3</v>
      </c>
      <c r="DF390" t="s">
        <v>3</v>
      </c>
      <c r="DG390" t="s">
        <v>3</v>
      </c>
      <c r="DH390" t="s">
        <v>3</v>
      </c>
      <c r="DI390" t="s">
        <v>3</v>
      </c>
      <c r="DJ390" t="s">
        <v>3</v>
      </c>
      <c r="DK390" t="s">
        <v>3</v>
      </c>
      <c r="DL390" t="s">
        <v>3</v>
      </c>
      <c r="DM390" t="s">
        <v>3</v>
      </c>
      <c r="DN390">
        <v>0</v>
      </c>
      <c r="DO390">
        <v>0</v>
      </c>
      <c r="DP390">
        <v>1</v>
      </c>
      <c r="DQ390">
        <v>1</v>
      </c>
      <c r="DU390">
        <v>1003</v>
      </c>
      <c r="DV390" t="s">
        <v>245</v>
      </c>
      <c r="DW390" t="s">
        <v>245</v>
      </c>
      <c r="DX390">
        <v>1000</v>
      </c>
      <c r="DZ390" t="s">
        <v>3</v>
      </c>
      <c r="EA390" t="s">
        <v>3</v>
      </c>
      <c r="EB390" t="s">
        <v>3</v>
      </c>
      <c r="EC390" t="s">
        <v>3</v>
      </c>
      <c r="EE390">
        <v>71753531</v>
      </c>
      <c r="EF390">
        <v>1</v>
      </c>
      <c r="EG390" t="s">
        <v>22</v>
      </c>
      <c r="EH390">
        <v>0</v>
      </c>
      <c r="EI390" t="s">
        <v>3</v>
      </c>
      <c r="EJ390">
        <v>4</v>
      </c>
      <c r="EK390">
        <v>0</v>
      </c>
      <c r="EL390" t="s">
        <v>23</v>
      </c>
      <c r="EM390" t="s">
        <v>24</v>
      </c>
      <c r="EO390" t="s">
        <v>3</v>
      </c>
      <c r="EQ390">
        <v>0</v>
      </c>
      <c r="ER390">
        <v>100115.51</v>
      </c>
      <c r="ES390">
        <v>100115.51</v>
      </c>
      <c r="ET390">
        <v>0</v>
      </c>
      <c r="EU390">
        <v>0</v>
      </c>
      <c r="EV390">
        <v>0</v>
      </c>
      <c r="EW390">
        <v>0</v>
      </c>
      <c r="EX390">
        <v>0</v>
      </c>
      <c r="FQ390">
        <v>0</v>
      </c>
      <c r="FR390">
        <f t="shared" si="394"/>
        <v>0</v>
      </c>
      <c r="FS390">
        <v>0</v>
      </c>
      <c r="FX390">
        <v>70</v>
      </c>
      <c r="FY390">
        <v>10</v>
      </c>
      <c r="GA390" t="s">
        <v>3</v>
      </c>
      <c r="GD390">
        <v>0</v>
      </c>
      <c r="GF390">
        <v>918109215</v>
      </c>
      <c r="GG390">
        <v>2</v>
      </c>
      <c r="GH390">
        <v>1</v>
      </c>
      <c r="GI390">
        <v>-2</v>
      </c>
      <c r="GJ390">
        <v>0</v>
      </c>
      <c r="GK390">
        <f>ROUND(R390*(R12)/100,2)</f>
        <v>0</v>
      </c>
      <c r="GL390">
        <f t="shared" si="395"/>
        <v>0</v>
      </c>
      <c r="GM390">
        <f t="shared" si="396"/>
        <v>1021.18</v>
      </c>
      <c r="GN390">
        <f t="shared" si="397"/>
        <v>0</v>
      </c>
      <c r="GO390">
        <f t="shared" si="398"/>
        <v>0</v>
      </c>
      <c r="GP390">
        <f t="shared" si="399"/>
        <v>1021.18</v>
      </c>
      <c r="GR390">
        <v>0</v>
      </c>
      <c r="GS390">
        <v>3</v>
      </c>
      <c r="GT390">
        <v>0</v>
      </c>
      <c r="GU390" t="s">
        <v>3</v>
      </c>
      <c r="GV390">
        <f t="shared" si="400"/>
        <v>0</v>
      </c>
      <c r="GW390">
        <v>1</v>
      </c>
      <c r="GX390">
        <f t="shared" si="401"/>
        <v>0</v>
      </c>
      <c r="HA390">
        <v>0</v>
      </c>
      <c r="HB390">
        <v>0</v>
      </c>
      <c r="HC390">
        <f t="shared" si="402"/>
        <v>0</v>
      </c>
      <c r="HE390" t="s">
        <v>3</v>
      </c>
      <c r="HF390" t="s">
        <v>3</v>
      </c>
      <c r="HM390" t="s">
        <v>3</v>
      </c>
      <c r="HN390" t="s">
        <v>3</v>
      </c>
      <c r="HO390" t="s">
        <v>3</v>
      </c>
      <c r="HP390" t="s">
        <v>3</v>
      </c>
      <c r="HQ390" t="s">
        <v>3</v>
      </c>
      <c r="IK390">
        <v>0</v>
      </c>
    </row>
    <row r="391" spans="1:245" x14ac:dyDescent="0.2">
      <c r="A391">
        <v>17</v>
      </c>
      <c r="B391">
        <v>1</v>
      </c>
      <c r="D391">
        <f>ROW(EtalonRes!A250)</f>
        <v>250</v>
      </c>
      <c r="E391" t="s">
        <v>328</v>
      </c>
      <c r="F391" t="s">
        <v>260</v>
      </c>
      <c r="G391" t="s">
        <v>261</v>
      </c>
      <c r="H391" t="s">
        <v>33</v>
      </c>
      <c r="I391">
        <v>0.06</v>
      </c>
      <c r="J391">
        <v>0</v>
      </c>
      <c r="K391">
        <v>0.06</v>
      </c>
      <c r="O391">
        <f t="shared" si="367"/>
        <v>4100.66</v>
      </c>
      <c r="P391">
        <f t="shared" si="368"/>
        <v>0</v>
      </c>
      <c r="Q391">
        <f t="shared" si="369"/>
        <v>0</v>
      </c>
      <c r="R391">
        <f t="shared" si="370"/>
        <v>0</v>
      </c>
      <c r="S391">
        <f t="shared" si="371"/>
        <v>4100.66</v>
      </c>
      <c r="T391">
        <f t="shared" si="372"/>
        <v>0</v>
      </c>
      <c r="U391">
        <f t="shared" si="373"/>
        <v>11.7852</v>
      </c>
      <c r="V391">
        <f t="shared" si="374"/>
        <v>0</v>
      </c>
      <c r="W391">
        <f t="shared" si="375"/>
        <v>0</v>
      </c>
      <c r="X391">
        <f t="shared" si="376"/>
        <v>2870.46</v>
      </c>
      <c r="Y391">
        <f t="shared" si="376"/>
        <v>410.07</v>
      </c>
      <c r="AA391">
        <v>72192302</v>
      </c>
      <c r="AB391">
        <f t="shared" si="377"/>
        <v>68344.34</v>
      </c>
      <c r="AC391">
        <f t="shared" si="378"/>
        <v>0</v>
      </c>
      <c r="AD391">
        <f t="shared" si="379"/>
        <v>0</v>
      </c>
      <c r="AE391">
        <f t="shared" si="380"/>
        <v>0</v>
      </c>
      <c r="AF391">
        <f t="shared" si="380"/>
        <v>68344.34</v>
      </c>
      <c r="AG391">
        <f t="shared" si="381"/>
        <v>0</v>
      </c>
      <c r="AH391">
        <f t="shared" si="382"/>
        <v>196.42</v>
      </c>
      <c r="AI391">
        <f t="shared" si="382"/>
        <v>0</v>
      </c>
      <c r="AJ391">
        <f t="shared" si="383"/>
        <v>0</v>
      </c>
      <c r="AK391">
        <v>68344.34</v>
      </c>
      <c r="AL391">
        <v>0</v>
      </c>
      <c r="AM391">
        <v>0</v>
      </c>
      <c r="AN391">
        <v>0</v>
      </c>
      <c r="AO391">
        <v>68344.34</v>
      </c>
      <c r="AP391">
        <v>0</v>
      </c>
      <c r="AQ391">
        <v>196.42</v>
      </c>
      <c r="AR391">
        <v>0</v>
      </c>
      <c r="AS391">
        <v>0</v>
      </c>
      <c r="AT391">
        <v>70</v>
      </c>
      <c r="AU391">
        <v>10</v>
      </c>
      <c r="AV391">
        <v>1</v>
      </c>
      <c r="AW391">
        <v>1</v>
      </c>
      <c r="AZ391">
        <v>1</v>
      </c>
      <c r="BA391">
        <v>1</v>
      </c>
      <c r="BB391">
        <v>1</v>
      </c>
      <c r="BC391">
        <v>1</v>
      </c>
      <c r="BD391" t="s">
        <v>3</v>
      </c>
      <c r="BE391" t="s">
        <v>3</v>
      </c>
      <c r="BF391" t="s">
        <v>3</v>
      </c>
      <c r="BG391" t="s">
        <v>3</v>
      </c>
      <c r="BH391">
        <v>0</v>
      </c>
      <c r="BI391">
        <v>4</v>
      </c>
      <c r="BJ391" t="s">
        <v>262</v>
      </c>
      <c r="BM391">
        <v>0</v>
      </c>
      <c r="BN391">
        <v>0</v>
      </c>
      <c r="BO391" t="s">
        <v>3</v>
      </c>
      <c r="BP391">
        <v>0</v>
      </c>
      <c r="BQ391">
        <v>1</v>
      </c>
      <c r="BR391">
        <v>0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 t="s">
        <v>3</v>
      </c>
      <c r="BZ391">
        <v>70</v>
      </c>
      <c r="CA391">
        <v>10</v>
      </c>
      <c r="CB391" t="s">
        <v>3</v>
      </c>
      <c r="CE391">
        <v>0</v>
      </c>
      <c r="CF391">
        <v>0</v>
      </c>
      <c r="CG391">
        <v>0</v>
      </c>
      <c r="CM391">
        <v>0</v>
      </c>
      <c r="CN391" t="s">
        <v>3</v>
      </c>
      <c r="CO391">
        <v>0</v>
      </c>
      <c r="CP391">
        <f t="shared" si="384"/>
        <v>4100.66</v>
      </c>
      <c r="CQ391">
        <f t="shared" si="385"/>
        <v>0</v>
      </c>
      <c r="CR391">
        <f t="shared" si="386"/>
        <v>0</v>
      </c>
      <c r="CS391">
        <f t="shared" si="387"/>
        <v>0</v>
      </c>
      <c r="CT391">
        <f t="shared" si="388"/>
        <v>68344.34</v>
      </c>
      <c r="CU391">
        <f t="shared" si="389"/>
        <v>0</v>
      </c>
      <c r="CV391">
        <f t="shared" si="390"/>
        <v>196.42</v>
      </c>
      <c r="CW391">
        <f t="shared" si="391"/>
        <v>0</v>
      </c>
      <c r="CX391">
        <f t="shared" si="391"/>
        <v>0</v>
      </c>
      <c r="CY391">
        <f t="shared" si="392"/>
        <v>2870.462</v>
      </c>
      <c r="CZ391">
        <f t="shared" si="393"/>
        <v>410.06599999999997</v>
      </c>
      <c r="DC391" t="s">
        <v>3</v>
      </c>
      <c r="DD391" t="s">
        <v>3</v>
      </c>
      <c r="DE391" t="s">
        <v>3</v>
      </c>
      <c r="DF391" t="s">
        <v>3</v>
      </c>
      <c r="DG391" t="s">
        <v>3</v>
      </c>
      <c r="DH391" t="s">
        <v>3</v>
      </c>
      <c r="DI391" t="s">
        <v>3</v>
      </c>
      <c r="DJ391" t="s">
        <v>3</v>
      </c>
      <c r="DK391" t="s">
        <v>3</v>
      </c>
      <c r="DL391" t="s">
        <v>3</v>
      </c>
      <c r="DM391" t="s">
        <v>3</v>
      </c>
      <c r="DN391">
        <v>0</v>
      </c>
      <c r="DO391">
        <v>0</v>
      </c>
      <c r="DP391">
        <v>1</v>
      </c>
      <c r="DQ391">
        <v>1</v>
      </c>
      <c r="DU391">
        <v>1010</v>
      </c>
      <c r="DV391" t="s">
        <v>33</v>
      </c>
      <c r="DW391" t="s">
        <v>33</v>
      </c>
      <c r="DX391">
        <v>100</v>
      </c>
      <c r="DZ391" t="s">
        <v>3</v>
      </c>
      <c r="EA391" t="s">
        <v>3</v>
      </c>
      <c r="EB391" t="s">
        <v>3</v>
      </c>
      <c r="EC391" t="s">
        <v>3</v>
      </c>
      <c r="EE391">
        <v>71753531</v>
      </c>
      <c r="EF391">
        <v>1</v>
      </c>
      <c r="EG391" t="s">
        <v>22</v>
      </c>
      <c r="EH391">
        <v>0</v>
      </c>
      <c r="EI391" t="s">
        <v>3</v>
      </c>
      <c r="EJ391">
        <v>4</v>
      </c>
      <c r="EK391">
        <v>0</v>
      </c>
      <c r="EL391" t="s">
        <v>23</v>
      </c>
      <c r="EM391" t="s">
        <v>24</v>
      </c>
      <c r="EO391" t="s">
        <v>3</v>
      </c>
      <c r="EQ391">
        <v>0</v>
      </c>
      <c r="ER391">
        <v>68344.34</v>
      </c>
      <c r="ES391">
        <v>0</v>
      </c>
      <c r="ET391">
        <v>0</v>
      </c>
      <c r="EU391">
        <v>0</v>
      </c>
      <c r="EV391">
        <v>68344.34</v>
      </c>
      <c r="EW391">
        <v>196.42</v>
      </c>
      <c r="EX391">
        <v>0</v>
      </c>
      <c r="EY391">
        <v>0</v>
      </c>
      <c r="FQ391">
        <v>0</v>
      </c>
      <c r="FR391">
        <f t="shared" si="394"/>
        <v>0</v>
      </c>
      <c r="FS391">
        <v>0</v>
      </c>
      <c r="FX391">
        <v>70</v>
      </c>
      <c r="FY391">
        <v>10</v>
      </c>
      <c r="GA391" t="s">
        <v>3</v>
      </c>
      <c r="GD391">
        <v>0</v>
      </c>
      <c r="GF391">
        <v>-169244332</v>
      </c>
      <c r="GG391">
        <v>2</v>
      </c>
      <c r="GH391">
        <v>1</v>
      </c>
      <c r="GI391">
        <v>-2</v>
      </c>
      <c r="GJ391">
        <v>0</v>
      </c>
      <c r="GK391">
        <f>ROUND(R391*(R12)/100,2)</f>
        <v>0</v>
      </c>
      <c r="GL391">
        <f t="shared" si="395"/>
        <v>0</v>
      </c>
      <c r="GM391">
        <f t="shared" si="396"/>
        <v>7381.19</v>
      </c>
      <c r="GN391">
        <f t="shared" si="397"/>
        <v>0</v>
      </c>
      <c r="GO391">
        <f t="shared" si="398"/>
        <v>0</v>
      </c>
      <c r="GP391">
        <f t="shared" si="399"/>
        <v>7381.19</v>
      </c>
      <c r="GR391">
        <v>0</v>
      </c>
      <c r="GS391">
        <v>3</v>
      </c>
      <c r="GT391">
        <v>0</v>
      </c>
      <c r="GU391" t="s">
        <v>3</v>
      </c>
      <c r="GV391">
        <f t="shared" si="400"/>
        <v>0</v>
      </c>
      <c r="GW391">
        <v>1</v>
      </c>
      <c r="GX391">
        <f t="shared" si="401"/>
        <v>0</v>
      </c>
      <c r="HA391">
        <v>0</v>
      </c>
      <c r="HB391">
        <v>0</v>
      </c>
      <c r="HC391">
        <f t="shared" si="402"/>
        <v>0</v>
      </c>
      <c r="HE391" t="s">
        <v>3</v>
      </c>
      <c r="HF391" t="s">
        <v>3</v>
      </c>
      <c r="HM391" t="s">
        <v>3</v>
      </c>
      <c r="HN391" t="s">
        <v>3</v>
      </c>
      <c r="HO391" t="s">
        <v>3</v>
      </c>
      <c r="HP391" t="s">
        <v>3</v>
      </c>
      <c r="HQ391" t="s">
        <v>3</v>
      </c>
      <c r="IK391">
        <v>0</v>
      </c>
    </row>
    <row r="392" spans="1:245" x14ac:dyDescent="0.2">
      <c r="A392">
        <v>18</v>
      </c>
      <c r="B392">
        <v>1</v>
      </c>
      <c r="E392" t="s">
        <v>329</v>
      </c>
      <c r="F392" t="s">
        <v>156</v>
      </c>
      <c r="G392" s="46" t="s">
        <v>782</v>
      </c>
      <c r="H392" t="s">
        <v>51</v>
      </c>
      <c r="I392">
        <f>I391*J392</f>
        <v>6</v>
      </c>
      <c r="J392">
        <v>100</v>
      </c>
      <c r="K392">
        <v>100</v>
      </c>
      <c r="O392">
        <f t="shared" si="367"/>
        <v>21420</v>
      </c>
      <c r="P392">
        <f t="shared" si="368"/>
        <v>21420</v>
      </c>
      <c r="Q392">
        <f t="shared" si="369"/>
        <v>0</v>
      </c>
      <c r="R392">
        <f t="shared" si="370"/>
        <v>0</v>
      </c>
      <c r="S392">
        <f t="shared" si="371"/>
        <v>0</v>
      </c>
      <c r="T392">
        <f t="shared" si="372"/>
        <v>0</v>
      </c>
      <c r="U392">
        <f t="shared" si="373"/>
        <v>0</v>
      </c>
      <c r="V392">
        <f t="shared" si="374"/>
        <v>0</v>
      </c>
      <c r="W392">
        <f t="shared" si="375"/>
        <v>0</v>
      </c>
      <c r="X392">
        <f t="shared" si="376"/>
        <v>0</v>
      </c>
      <c r="Y392">
        <f t="shared" si="376"/>
        <v>0</v>
      </c>
      <c r="AA392">
        <v>72192302</v>
      </c>
      <c r="AB392">
        <f t="shared" si="377"/>
        <v>3570</v>
      </c>
      <c r="AC392">
        <f t="shared" si="378"/>
        <v>3570</v>
      </c>
      <c r="AD392">
        <f t="shared" si="379"/>
        <v>0</v>
      </c>
      <c r="AE392">
        <f t="shared" si="380"/>
        <v>0</v>
      </c>
      <c r="AF392">
        <f t="shared" si="380"/>
        <v>0</v>
      </c>
      <c r="AG392">
        <f t="shared" si="381"/>
        <v>0</v>
      </c>
      <c r="AH392">
        <f t="shared" si="382"/>
        <v>0</v>
      </c>
      <c r="AI392">
        <f t="shared" si="382"/>
        <v>0</v>
      </c>
      <c r="AJ392">
        <f t="shared" si="383"/>
        <v>0</v>
      </c>
      <c r="AK392">
        <v>3570</v>
      </c>
      <c r="AL392">
        <v>3570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70</v>
      </c>
      <c r="AU392">
        <v>10</v>
      </c>
      <c r="AV392">
        <v>1</v>
      </c>
      <c r="AW392">
        <v>1</v>
      </c>
      <c r="AZ392">
        <v>1</v>
      </c>
      <c r="BA392">
        <v>1</v>
      </c>
      <c r="BB392">
        <v>1</v>
      </c>
      <c r="BC392">
        <v>1</v>
      </c>
      <c r="BD392" t="s">
        <v>3</v>
      </c>
      <c r="BE392" t="s">
        <v>3</v>
      </c>
      <c r="BF392" t="s">
        <v>3</v>
      </c>
      <c r="BG392" t="s">
        <v>3</v>
      </c>
      <c r="BH392">
        <v>3</v>
      </c>
      <c r="BI392">
        <v>4</v>
      </c>
      <c r="BJ392" t="s">
        <v>3</v>
      </c>
      <c r="BM392">
        <v>0</v>
      </c>
      <c r="BN392">
        <v>0</v>
      </c>
      <c r="BO392" t="s">
        <v>3</v>
      </c>
      <c r="BP392">
        <v>0</v>
      </c>
      <c r="BQ392">
        <v>1</v>
      </c>
      <c r="BR392">
        <v>0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 t="s">
        <v>3</v>
      </c>
      <c r="BZ392">
        <v>70</v>
      </c>
      <c r="CA392">
        <v>10</v>
      </c>
      <c r="CB392" t="s">
        <v>3</v>
      </c>
      <c r="CE392">
        <v>0</v>
      </c>
      <c r="CF392">
        <v>0</v>
      </c>
      <c r="CG392">
        <v>0</v>
      </c>
      <c r="CM392">
        <v>0</v>
      </c>
      <c r="CN392" t="s">
        <v>3</v>
      </c>
      <c r="CO392">
        <v>0</v>
      </c>
      <c r="CP392">
        <f t="shared" si="384"/>
        <v>21420</v>
      </c>
      <c r="CQ392">
        <f t="shared" si="385"/>
        <v>3570</v>
      </c>
      <c r="CR392">
        <f t="shared" si="386"/>
        <v>0</v>
      </c>
      <c r="CS392">
        <f t="shared" si="387"/>
        <v>0</v>
      </c>
      <c r="CT392">
        <f t="shared" si="388"/>
        <v>0</v>
      </c>
      <c r="CU392">
        <f t="shared" si="389"/>
        <v>0</v>
      </c>
      <c r="CV392">
        <f t="shared" si="390"/>
        <v>0</v>
      </c>
      <c r="CW392">
        <f t="shared" si="391"/>
        <v>0</v>
      </c>
      <c r="CX392">
        <f t="shared" si="391"/>
        <v>0</v>
      </c>
      <c r="CY392">
        <f t="shared" si="392"/>
        <v>0</v>
      </c>
      <c r="CZ392">
        <f t="shared" si="393"/>
        <v>0</v>
      </c>
      <c r="DC392" t="s">
        <v>3</v>
      </c>
      <c r="DD392" t="s">
        <v>3</v>
      </c>
      <c r="DE392" t="s">
        <v>3</v>
      </c>
      <c r="DF392" t="s">
        <v>3</v>
      </c>
      <c r="DG392" t="s">
        <v>3</v>
      </c>
      <c r="DH392" t="s">
        <v>3</v>
      </c>
      <c r="DI392" t="s">
        <v>3</v>
      </c>
      <c r="DJ392" t="s">
        <v>3</v>
      </c>
      <c r="DK392" t="s">
        <v>3</v>
      </c>
      <c r="DL392" t="s">
        <v>3</v>
      </c>
      <c r="DM392" t="s">
        <v>3</v>
      </c>
      <c r="DN392">
        <v>0</v>
      </c>
      <c r="DO392">
        <v>0</v>
      </c>
      <c r="DP392">
        <v>1</v>
      </c>
      <c r="DQ392">
        <v>1</v>
      </c>
      <c r="DU392">
        <v>1010</v>
      </c>
      <c r="DV392" t="s">
        <v>51</v>
      </c>
      <c r="DW392" t="s">
        <v>51</v>
      </c>
      <c r="DX392">
        <v>1</v>
      </c>
      <c r="DZ392" t="s">
        <v>3</v>
      </c>
      <c r="EA392" t="s">
        <v>3</v>
      </c>
      <c r="EB392" t="s">
        <v>3</v>
      </c>
      <c r="EC392" t="s">
        <v>3</v>
      </c>
      <c r="EE392">
        <v>71753531</v>
      </c>
      <c r="EF392">
        <v>1</v>
      </c>
      <c r="EG392" t="s">
        <v>22</v>
      </c>
      <c r="EH392">
        <v>0</v>
      </c>
      <c r="EI392" t="s">
        <v>3</v>
      </c>
      <c r="EJ392">
        <v>4</v>
      </c>
      <c r="EK392">
        <v>0</v>
      </c>
      <c r="EL392" t="s">
        <v>23</v>
      </c>
      <c r="EM392" t="s">
        <v>24</v>
      </c>
      <c r="EO392" t="s">
        <v>3</v>
      </c>
      <c r="EQ392">
        <v>0</v>
      </c>
      <c r="ER392">
        <v>3570</v>
      </c>
      <c r="ES392">
        <v>3570</v>
      </c>
      <c r="ET392">
        <v>0</v>
      </c>
      <c r="EU392">
        <v>0</v>
      </c>
      <c r="EV392">
        <v>0</v>
      </c>
      <c r="EW392">
        <v>0</v>
      </c>
      <c r="EX392">
        <v>0</v>
      </c>
      <c r="FQ392">
        <v>0</v>
      </c>
      <c r="FR392">
        <f t="shared" si="394"/>
        <v>0</v>
      </c>
      <c r="FS392">
        <v>0</v>
      </c>
      <c r="FX392">
        <v>70</v>
      </c>
      <c r="FY392">
        <v>10</v>
      </c>
      <c r="GA392" t="s">
        <v>3</v>
      </c>
      <c r="GD392">
        <v>0</v>
      </c>
      <c r="GF392">
        <v>515220028</v>
      </c>
      <c r="GG392">
        <v>2</v>
      </c>
      <c r="GH392">
        <v>0</v>
      </c>
      <c r="GI392">
        <v>-2</v>
      </c>
      <c r="GJ392">
        <v>0</v>
      </c>
      <c r="GK392">
        <f>ROUND(R392*(R12)/100,2)</f>
        <v>0</v>
      </c>
      <c r="GL392">
        <f t="shared" si="395"/>
        <v>0</v>
      </c>
      <c r="GM392">
        <f t="shared" si="396"/>
        <v>21420</v>
      </c>
      <c r="GN392">
        <f t="shared" si="397"/>
        <v>0</v>
      </c>
      <c r="GO392">
        <f t="shared" si="398"/>
        <v>0</v>
      </c>
      <c r="GP392">
        <f t="shared" si="399"/>
        <v>21420</v>
      </c>
      <c r="GR392">
        <v>0</v>
      </c>
      <c r="GS392">
        <v>0</v>
      </c>
      <c r="GT392">
        <v>0</v>
      </c>
      <c r="GU392" t="s">
        <v>3</v>
      </c>
      <c r="GV392">
        <f t="shared" si="400"/>
        <v>0</v>
      </c>
      <c r="GW392">
        <v>1</v>
      </c>
      <c r="GX392">
        <f t="shared" si="401"/>
        <v>0</v>
      </c>
      <c r="HA392">
        <v>0</v>
      </c>
      <c r="HB392">
        <v>0</v>
      </c>
      <c r="HC392">
        <f t="shared" si="402"/>
        <v>0</v>
      </c>
      <c r="HE392" t="s">
        <v>3</v>
      </c>
      <c r="HF392" t="s">
        <v>3</v>
      </c>
      <c r="HM392" t="s">
        <v>3</v>
      </c>
      <c r="HN392" t="s">
        <v>3</v>
      </c>
      <c r="HO392" t="s">
        <v>3</v>
      </c>
      <c r="HP392" t="s">
        <v>3</v>
      </c>
      <c r="HQ392" t="s">
        <v>3</v>
      </c>
      <c r="IK392">
        <v>0</v>
      </c>
    </row>
    <row r="394" spans="1:245" x14ac:dyDescent="0.2">
      <c r="A394" s="2">
        <v>51</v>
      </c>
      <c r="B394" s="2">
        <f>B381</f>
        <v>1</v>
      </c>
      <c r="C394" s="2">
        <f>A381</f>
        <v>5</v>
      </c>
      <c r="D394" s="2">
        <f>ROW(A381)</f>
        <v>381</v>
      </c>
      <c r="E394" s="2"/>
      <c r="F394" s="2" t="str">
        <f>IF(F381&lt;&gt;"",F381,"")</f>
        <v>Новый подраздел</v>
      </c>
      <c r="G394" s="2" t="str">
        <f>IF(G381&lt;&gt;"",G381,"")</f>
        <v>2.4 Электромонтажные работы</v>
      </c>
      <c r="H394" s="2">
        <v>0</v>
      </c>
      <c r="I394" s="2"/>
      <c r="J394" s="2"/>
      <c r="K394" s="2"/>
      <c r="L394" s="2"/>
      <c r="M394" s="2"/>
      <c r="N394" s="2"/>
      <c r="O394" s="2">
        <f t="shared" ref="O394:T394" si="403">ROUND(AB394,2)</f>
        <v>28438.68</v>
      </c>
      <c r="P394" s="2">
        <f t="shared" si="403"/>
        <v>23102.63</v>
      </c>
      <c r="Q394" s="2">
        <f t="shared" si="403"/>
        <v>4.5199999999999996</v>
      </c>
      <c r="R394" s="2">
        <f t="shared" si="403"/>
        <v>0.59</v>
      </c>
      <c r="S394" s="2">
        <f t="shared" si="403"/>
        <v>5331.53</v>
      </c>
      <c r="T394" s="2">
        <f t="shared" si="403"/>
        <v>0</v>
      </c>
      <c r="U394" s="2">
        <f>AH394</f>
        <v>15.8904</v>
      </c>
      <c r="V394" s="2">
        <f>AI394</f>
        <v>0</v>
      </c>
      <c r="W394" s="2">
        <f>ROUND(AJ394,2)</f>
        <v>0</v>
      </c>
      <c r="X394" s="2">
        <f>ROUND(AK394,2)</f>
        <v>3732.07</v>
      </c>
      <c r="Y394" s="2">
        <f>ROUND(AL394,2)</f>
        <v>533.16</v>
      </c>
      <c r="Z394" s="2"/>
      <c r="AA394" s="2"/>
      <c r="AB394" s="2">
        <f>ROUND(SUMIF(AA385:AA392,"=72192302",O385:O392),2)</f>
        <v>28438.68</v>
      </c>
      <c r="AC394" s="2">
        <f>ROUND(SUMIF(AA385:AA392,"=72192302",P385:P392),2)</f>
        <v>23102.63</v>
      </c>
      <c r="AD394" s="2">
        <f>ROUND(SUMIF(AA385:AA392,"=72192302",Q385:Q392),2)</f>
        <v>4.5199999999999996</v>
      </c>
      <c r="AE394" s="2">
        <f>ROUND(SUMIF(AA385:AA392,"=72192302",R385:R392),2)</f>
        <v>0.59</v>
      </c>
      <c r="AF394" s="2">
        <f>ROUND(SUMIF(AA385:AA392,"=72192302",S385:S392),2)</f>
        <v>5331.53</v>
      </c>
      <c r="AG394" s="2">
        <f>ROUND(SUMIF(AA385:AA392,"=72192302",T385:T392),2)</f>
        <v>0</v>
      </c>
      <c r="AH394" s="2">
        <f>SUMIF(AA385:AA392,"=72192302",U385:U392)</f>
        <v>15.8904</v>
      </c>
      <c r="AI394" s="2">
        <f>SUMIF(AA385:AA392,"=72192302",V385:V392)</f>
        <v>0</v>
      </c>
      <c r="AJ394" s="2">
        <f>ROUND(SUMIF(AA385:AA392,"=72192302",W385:W392),2)</f>
        <v>0</v>
      </c>
      <c r="AK394" s="2">
        <f>ROUND(SUMIF(AA385:AA392,"=72192302",X385:X392),2)</f>
        <v>3732.07</v>
      </c>
      <c r="AL394" s="2">
        <f>ROUND(SUMIF(AA385:AA392,"=72192302",Y385:Y392),2)</f>
        <v>533.16</v>
      </c>
      <c r="AM394" s="2"/>
      <c r="AN394" s="2"/>
      <c r="AO394" s="2">
        <f t="shared" ref="AO394:BD394" si="404">ROUND(BX394,2)</f>
        <v>0</v>
      </c>
      <c r="AP394" s="2">
        <f t="shared" si="404"/>
        <v>0</v>
      </c>
      <c r="AQ394" s="2">
        <f t="shared" si="404"/>
        <v>0</v>
      </c>
      <c r="AR394" s="2">
        <f t="shared" si="404"/>
        <v>32704.55</v>
      </c>
      <c r="AS394" s="2">
        <f t="shared" si="404"/>
        <v>0</v>
      </c>
      <c r="AT394" s="2">
        <f t="shared" si="404"/>
        <v>0</v>
      </c>
      <c r="AU394" s="2">
        <f t="shared" si="404"/>
        <v>32704.55</v>
      </c>
      <c r="AV394" s="2">
        <f t="shared" si="404"/>
        <v>23102.63</v>
      </c>
      <c r="AW394" s="2">
        <f t="shared" si="404"/>
        <v>23102.63</v>
      </c>
      <c r="AX394" s="2">
        <f t="shared" si="404"/>
        <v>0</v>
      </c>
      <c r="AY394" s="2">
        <f t="shared" si="404"/>
        <v>23102.63</v>
      </c>
      <c r="AZ394" s="2">
        <f t="shared" si="404"/>
        <v>0</v>
      </c>
      <c r="BA394" s="2">
        <f t="shared" si="404"/>
        <v>0</v>
      </c>
      <c r="BB394" s="2">
        <f t="shared" si="404"/>
        <v>0</v>
      </c>
      <c r="BC394" s="2">
        <f t="shared" si="404"/>
        <v>0</v>
      </c>
      <c r="BD394" s="2">
        <f t="shared" si="404"/>
        <v>0</v>
      </c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>
        <f>ROUND(SUMIF(AA385:AA392,"=72192302",FQ385:FQ392),2)</f>
        <v>0</v>
      </c>
      <c r="BY394" s="2">
        <f>ROUND(SUMIF(AA385:AA392,"=72192302",FR385:FR392),2)</f>
        <v>0</v>
      </c>
      <c r="BZ394" s="2">
        <f>ROUND(SUMIF(AA385:AA392,"=72192302",GL385:GL392),2)</f>
        <v>0</v>
      </c>
      <c r="CA394" s="2">
        <f>ROUND(SUMIF(AA385:AA392,"=72192302",GM385:GM392),2)</f>
        <v>32704.55</v>
      </c>
      <c r="CB394" s="2">
        <f>ROUND(SUMIF(AA385:AA392,"=72192302",GN385:GN392),2)</f>
        <v>0</v>
      </c>
      <c r="CC394" s="2">
        <f>ROUND(SUMIF(AA385:AA392,"=72192302",GO385:GO392),2)</f>
        <v>0</v>
      </c>
      <c r="CD394" s="2">
        <f>ROUND(SUMIF(AA385:AA392,"=72192302",GP385:GP392),2)</f>
        <v>32704.55</v>
      </c>
      <c r="CE394" s="2">
        <f>AC394-BX394</f>
        <v>23102.63</v>
      </c>
      <c r="CF394" s="2">
        <f>AC394-BY394</f>
        <v>23102.63</v>
      </c>
      <c r="CG394" s="2">
        <f>BX394-BZ394</f>
        <v>0</v>
      </c>
      <c r="CH394" s="2">
        <f>AC394-BX394-BY394+BZ394</f>
        <v>23102.63</v>
      </c>
      <c r="CI394" s="2">
        <f>BY394-BZ394</f>
        <v>0</v>
      </c>
      <c r="CJ394" s="2">
        <f>ROUND(SUMIF(AA385:AA392,"=72192302",GX385:GX392),2)</f>
        <v>0</v>
      </c>
      <c r="CK394" s="2">
        <f>ROUND(SUMIF(AA385:AA392,"=72192302",GY385:GY392),2)</f>
        <v>0</v>
      </c>
      <c r="CL394" s="2">
        <f>ROUND(SUMIF(AA385:AA392,"=72192302",GZ385:GZ392),2)</f>
        <v>0</v>
      </c>
      <c r="CM394" s="2">
        <f>ROUND(SUMIF(AA385:AA392,"=72192302",HD385:HD392),2)</f>
        <v>0</v>
      </c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>
        <v>0</v>
      </c>
    </row>
    <row r="396" spans="1:245" x14ac:dyDescent="0.2">
      <c r="A396" s="4">
        <v>50</v>
      </c>
      <c r="B396" s="4">
        <v>0</v>
      </c>
      <c r="C396" s="4">
        <v>0</v>
      </c>
      <c r="D396" s="4">
        <v>1</v>
      </c>
      <c r="E396" s="4">
        <v>201</v>
      </c>
      <c r="F396" s="4">
        <f>ROUND(Source!O394,O396)</f>
        <v>28438.68</v>
      </c>
      <c r="G396" s="4" t="s">
        <v>64</v>
      </c>
      <c r="H396" s="4" t="s">
        <v>65</v>
      </c>
      <c r="I396" s="4"/>
      <c r="J396" s="4"/>
      <c r="K396" s="4">
        <v>201</v>
      </c>
      <c r="L396" s="4">
        <v>1</v>
      </c>
      <c r="M396" s="4">
        <v>3</v>
      </c>
      <c r="N396" s="4" t="s">
        <v>3</v>
      </c>
      <c r="O396" s="4">
        <v>2</v>
      </c>
      <c r="P396" s="4"/>
      <c r="Q396" s="4"/>
      <c r="R396" s="4"/>
      <c r="S396" s="4"/>
      <c r="T396" s="4"/>
      <c r="U396" s="4"/>
      <c r="V396" s="4"/>
      <c r="W396" s="4">
        <v>28438.68</v>
      </c>
      <c r="X396" s="4">
        <v>1</v>
      </c>
      <c r="Y396" s="4">
        <v>28438.68</v>
      </c>
      <c r="Z396" s="4"/>
      <c r="AA396" s="4"/>
      <c r="AB396" s="4"/>
    </row>
    <row r="397" spans="1:245" x14ac:dyDescent="0.2">
      <c r="A397" s="4">
        <v>50</v>
      </c>
      <c r="B397" s="4">
        <v>0</v>
      </c>
      <c r="C397" s="4">
        <v>0</v>
      </c>
      <c r="D397" s="4">
        <v>1</v>
      </c>
      <c r="E397" s="4">
        <v>202</v>
      </c>
      <c r="F397" s="4">
        <f>ROUND(Source!P394,O397)</f>
        <v>23102.63</v>
      </c>
      <c r="G397" s="4" t="s">
        <v>66</v>
      </c>
      <c r="H397" s="4" t="s">
        <v>67</v>
      </c>
      <c r="I397" s="4"/>
      <c r="J397" s="4"/>
      <c r="K397" s="4">
        <v>202</v>
      </c>
      <c r="L397" s="4">
        <v>2</v>
      </c>
      <c r="M397" s="4">
        <v>3</v>
      </c>
      <c r="N397" s="4" t="s">
        <v>3</v>
      </c>
      <c r="O397" s="4">
        <v>2</v>
      </c>
      <c r="P397" s="4"/>
      <c r="Q397" s="4"/>
      <c r="R397" s="4"/>
      <c r="S397" s="4"/>
      <c r="T397" s="4"/>
      <c r="U397" s="4"/>
      <c r="V397" s="4"/>
      <c r="W397" s="4">
        <v>23102.63</v>
      </c>
      <c r="X397" s="4">
        <v>1</v>
      </c>
      <c r="Y397" s="4">
        <v>23102.63</v>
      </c>
      <c r="Z397" s="4"/>
      <c r="AA397" s="4"/>
      <c r="AB397" s="4"/>
    </row>
    <row r="398" spans="1:245" x14ac:dyDescent="0.2">
      <c r="A398" s="4">
        <v>50</v>
      </c>
      <c r="B398" s="4">
        <v>0</v>
      </c>
      <c r="C398" s="4">
        <v>0</v>
      </c>
      <c r="D398" s="4">
        <v>1</v>
      </c>
      <c r="E398" s="4">
        <v>222</v>
      </c>
      <c r="F398" s="4">
        <f>ROUND(Source!AO394,O398)</f>
        <v>0</v>
      </c>
      <c r="G398" s="4" t="s">
        <v>68</v>
      </c>
      <c r="H398" s="4" t="s">
        <v>69</v>
      </c>
      <c r="I398" s="4"/>
      <c r="J398" s="4"/>
      <c r="K398" s="4">
        <v>222</v>
      </c>
      <c r="L398" s="4">
        <v>3</v>
      </c>
      <c r="M398" s="4">
        <v>3</v>
      </c>
      <c r="N398" s="4" t="s">
        <v>3</v>
      </c>
      <c r="O398" s="4">
        <v>2</v>
      </c>
      <c r="P398" s="4"/>
      <c r="Q398" s="4"/>
      <c r="R398" s="4"/>
      <c r="S398" s="4"/>
      <c r="T398" s="4"/>
      <c r="U398" s="4"/>
      <c r="V398" s="4"/>
      <c r="W398" s="4">
        <v>0</v>
      </c>
      <c r="X398" s="4">
        <v>1</v>
      </c>
      <c r="Y398" s="4">
        <v>0</v>
      </c>
      <c r="Z398" s="4"/>
      <c r="AA398" s="4"/>
      <c r="AB398" s="4"/>
    </row>
    <row r="399" spans="1:245" x14ac:dyDescent="0.2">
      <c r="A399" s="4">
        <v>50</v>
      </c>
      <c r="B399" s="4">
        <v>0</v>
      </c>
      <c r="C399" s="4">
        <v>0</v>
      </c>
      <c r="D399" s="4">
        <v>1</v>
      </c>
      <c r="E399" s="4">
        <v>225</v>
      </c>
      <c r="F399" s="4">
        <f>ROUND(Source!AV394,O399)</f>
        <v>23102.63</v>
      </c>
      <c r="G399" s="4" t="s">
        <v>70</v>
      </c>
      <c r="H399" s="4" t="s">
        <v>71</v>
      </c>
      <c r="I399" s="4"/>
      <c r="J399" s="4"/>
      <c r="K399" s="4">
        <v>225</v>
      </c>
      <c r="L399" s="4">
        <v>4</v>
      </c>
      <c r="M399" s="4">
        <v>3</v>
      </c>
      <c r="N399" s="4" t="s">
        <v>3</v>
      </c>
      <c r="O399" s="4">
        <v>2</v>
      </c>
      <c r="P399" s="4"/>
      <c r="Q399" s="4"/>
      <c r="R399" s="4"/>
      <c r="S399" s="4"/>
      <c r="T399" s="4"/>
      <c r="U399" s="4"/>
      <c r="V399" s="4"/>
      <c r="W399" s="4">
        <v>23102.63</v>
      </c>
      <c r="X399" s="4">
        <v>1</v>
      </c>
      <c r="Y399" s="4">
        <v>23102.63</v>
      </c>
      <c r="Z399" s="4"/>
      <c r="AA399" s="4"/>
      <c r="AB399" s="4"/>
    </row>
    <row r="400" spans="1:245" x14ac:dyDescent="0.2">
      <c r="A400" s="4">
        <v>50</v>
      </c>
      <c r="B400" s="4">
        <v>0</v>
      </c>
      <c r="C400" s="4">
        <v>0</v>
      </c>
      <c r="D400" s="4">
        <v>1</v>
      </c>
      <c r="E400" s="4">
        <v>226</v>
      </c>
      <c r="F400" s="4">
        <f>ROUND(Source!AW394,O400)</f>
        <v>23102.63</v>
      </c>
      <c r="G400" s="4" t="s">
        <v>72</v>
      </c>
      <c r="H400" s="4" t="s">
        <v>73</v>
      </c>
      <c r="I400" s="4"/>
      <c r="J400" s="4"/>
      <c r="K400" s="4">
        <v>226</v>
      </c>
      <c r="L400" s="4">
        <v>5</v>
      </c>
      <c r="M400" s="4">
        <v>3</v>
      </c>
      <c r="N400" s="4" t="s">
        <v>3</v>
      </c>
      <c r="O400" s="4">
        <v>2</v>
      </c>
      <c r="P400" s="4"/>
      <c r="Q400" s="4"/>
      <c r="R400" s="4"/>
      <c r="S400" s="4"/>
      <c r="T400" s="4"/>
      <c r="U400" s="4"/>
      <c r="V400" s="4"/>
      <c r="W400" s="4">
        <v>23102.63</v>
      </c>
      <c r="X400" s="4">
        <v>1</v>
      </c>
      <c r="Y400" s="4">
        <v>23102.63</v>
      </c>
      <c r="Z400" s="4"/>
      <c r="AA400" s="4"/>
      <c r="AB400" s="4"/>
    </row>
    <row r="401" spans="1:28" x14ac:dyDescent="0.2">
      <c r="A401" s="4">
        <v>50</v>
      </c>
      <c r="B401" s="4">
        <v>0</v>
      </c>
      <c r="C401" s="4">
        <v>0</v>
      </c>
      <c r="D401" s="4">
        <v>1</v>
      </c>
      <c r="E401" s="4">
        <v>227</v>
      </c>
      <c r="F401" s="4">
        <f>ROUND(Source!AX394,O401)</f>
        <v>0</v>
      </c>
      <c r="G401" s="4" t="s">
        <v>74</v>
      </c>
      <c r="H401" s="4" t="s">
        <v>75</v>
      </c>
      <c r="I401" s="4"/>
      <c r="J401" s="4"/>
      <c r="K401" s="4">
        <v>227</v>
      </c>
      <c r="L401" s="4">
        <v>6</v>
      </c>
      <c r="M401" s="4">
        <v>3</v>
      </c>
      <c r="N401" s="4" t="s">
        <v>3</v>
      </c>
      <c r="O401" s="4">
        <v>2</v>
      </c>
      <c r="P401" s="4"/>
      <c r="Q401" s="4"/>
      <c r="R401" s="4"/>
      <c r="S401" s="4"/>
      <c r="T401" s="4"/>
      <c r="U401" s="4"/>
      <c r="V401" s="4"/>
      <c r="W401" s="4">
        <v>0</v>
      </c>
      <c r="X401" s="4">
        <v>1</v>
      </c>
      <c r="Y401" s="4">
        <v>0</v>
      </c>
      <c r="Z401" s="4"/>
      <c r="AA401" s="4"/>
      <c r="AB401" s="4"/>
    </row>
    <row r="402" spans="1:28" x14ac:dyDescent="0.2">
      <c r="A402" s="4">
        <v>50</v>
      </c>
      <c r="B402" s="4">
        <v>0</v>
      </c>
      <c r="C402" s="4">
        <v>0</v>
      </c>
      <c r="D402" s="4">
        <v>1</v>
      </c>
      <c r="E402" s="4">
        <v>228</v>
      </c>
      <c r="F402" s="4">
        <f>ROUND(Source!AY394,O402)</f>
        <v>23102.63</v>
      </c>
      <c r="G402" s="4" t="s">
        <v>76</v>
      </c>
      <c r="H402" s="4" t="s">
        <v>77</v>
      </c>
      <c r="I402" s="4"/>
      <c r="J402" s="4"/>
      <c r="K402" s="4">
        <v>228</v>
      </c>
      <c r="L402" s="4">
        <v>7</v>
      </c>
      <c r="M402" s="4">
        <v>3</v>
      </c>
      <c r="N402" s="4" t="s">
        <v>3</v>
      </c>
      <c r="O402" s="4">
        <v>2</v>
      </c>
      <c r="P402" s="4"/>
      <c r="Q402" s="4"/>
      <c r="R402" s="4"/>
      <c r="S402" s="4"/>
      <c r="T402" s="4"/>
      <c r="U402" s="4"/>
      <c r="V402" s="4"/>
      <c r="W402" s="4">
        <v>23102.63</v>
      </c>
      <c r="X402" s="4">
        <v>1</v>
      </c>
      <c r="Y402" s="4">
        <v>23102.63</v>
      </c>
      <c r="Z402" s="4"/>
      <c r="AA402" s="4"/>
      <c r="AB402" s="4"/>
    </row>
    <row r="403" spans="1:28" x14ac:dyDescent="0.2">
      <c r="A403" s="4">
        <v>50</v>
      </c>
      <c r="B403" s="4">
        <v>0</v>
      </c>
      <c r="C403" s="4">
        <v>0</v>
      </c>
      <c r="D403" s="4">
        <v>1</v>
      </c>
      <c r="E403" s="4">
        <v>216</v>
      </c>
      <c r="F403" s="4">
        <f>ROUND(Source!AP394,O403)</f>
        <v>0</v>
      </c>
      <c r="G403" s="4" t="s">
        <v>78</v>
      </c>
      <c r="H403" s="4" t="s">
        <v>79</v>
      </c>
      <c r="I403" s="4"/>
      <c r="J403" s="4"/>
      <c r="K403" s="4">
        <v>216</v>
      </c>
      <c r="L403" s="4">
        <v>8</v>
      </c>
      <c r="M403" s="4">
        <v>3</v>
      </c>
      <c r="N403" s="4" t="s">
        <v>3</v>
      </c>
      <c r="O403" s="4">
        <v>2</v>
      </c>
      <c r="P403" s="4"/>
      <c r="Q403" s="4"/>
      <c r="R403" s="4"/>
      <c r="S403" s="4"/>
      <c r="T403" s="4"/>
      <c r="U403" s="4"/>
      <c r="V403" s="4"/>
      <c r="W403" s="4">
        <v>0</v>
      </c>
      <c r="X403" s="4">
        <v>1</v>
      </c>
      <c r="Y403" s="4">
        <v>0</v>
      </c>
      <c r="Z403" s="4"/>
      <c r="AA403" s="4"/>
      <c r="AB403" s="4"/>
    </row>
    <row r="404" spans="1:28" x14ac:dyDescent="0.2">
      <c r="A404" s="4">
        <v>50</v>
      </c>
      <c r="B404" s="4">
        <v>0</v>
      </c>
      <c r="C404" s="4">
        <v>0</v>
      </c>
      <c r="D404" s="4">
        <v>1</v>
      </c>
      <c r="E404" s="4">
        <v>223</v>
      </c>
      <c r="F404" s="4">
        <f>ROUND(Source!AQ394,O404)</f>
        <v>0</v>
      </c>
      <c r="G404" s="4" t="s">
        <v>80</v>
      </c>
      <c r="H404" s="4" t="s">
        <v>81</v>
      </c>
      <c r="I404" s="4"/>
      <c r="J404" s="4"/>
      <c r="K404" s="4">
        <v>223</v>
      </c>
      <c r="L404" s="4">
        <v>9</v>
      </c>
      <c r="M404" s="4">
        <v>3</v>
      </c>
      <c r="N404" s="4" t="s">
        <v>3</v>
      </c>
      <c r="O404" s="4">
        <v>2</v>
      </c>
      <c r="P404" s="4"/>
      <c r="Q404" s="4"/>
      <c r="R404" s="4"/>
      <c r="S404" s="4"/>
      <c r="T404" s="4"/>
      <c r="U404" s="4"/>
      <c r="V404" s="4"/>
      <c r="W404" s="4">
        <v>0</v>
      </c>
      <c r="X404" s="4">
        <v>1</v>
      </c>
      <c r="Y404" s="4">
        <v>0</v>
      </c>
      <c r="Z404" s="4"/>
      <c r="AA404" s="4"/>
      <c r="AB404" s="4"/>
    </row>
    <row r="405" spans="1:28" x14ac:dyDescent="0.2">
      <c r="A405" s="4">
        <v>50</v>
      </c>
      <c r="B405" s="4">
        <v>0</v>
      </c>
      <c r="C405" s="4">
        <v>0</v>
      </c>
      <c r="D405" s="4">
        <v>1</v>
      </c>
      <c r="E405" s="4">
        <v>229</v>
      </c>
      <c r="F405" s="4">
        <f>ROUND(Source!AZ394,O405)</f>
        <v>0</v>
      </c>
      <c r="G405" s="4" t="s">
        <v>82</v>
      </c>
      <c r="H405" s="4" t="s">
        <v>83</v>
      </c>
      <c r="I405" s="4"/>
      <c r="J405" s="4"/>
      <c r="K405" s="4">
        <v>229</v>
      </c>
      <c r="L405" s="4">
        <v>10</v>
      </c>
      <c r="M405" s="4">
        <v>3</v>
      </c>
      <c r="N405" s="4" t="s">
        <v>3</v>
      </c>
      <c r="O405" s="4">
        <v>2</v>
      </c>
      <c r="P405" s="4"/>
      <c r="Q405" s="4"/>
      <c r="R405" s="4"/>
      <c r="S405" s="4"/>
      <c r="T405" s="4"/>
      <c r="U405" s="4"/>
      <c r="V405" s="4"/>
      <c r="W405" s="4">
        <v>0</v>
      </c>
      <c r="X405" s="4">
        <v>1</v>
      </c>
      <c r="Y405" s="4">
        <v>0</v>
      </c>
      <c r="Z405" s="4"/>
      <c r="AA405" s="4"/>
      <c r="AB405" s="4"/>
    </row>
    <row r="406" spans="1:28" x14ac:dyDescent="0.2">
      <c r="A406" s="4">
        <v>50</v>
      </c>
      <c r="B406" s="4">
        <v>0</v>
      </c>
      <c r="C406" s="4">
        <v>0</v>
      </c>
      <c r="D406" s="4">
        <v>1</v>
      </c>
      <c r="E406" s="4">
        <v>203</v>
      </c>
      <c r="F406" s="4">
        <f>ROUND(Source!Q394,O406)</f>
        <v>4.5199999999999996</v>
      </c>
      <c r="G406" s="4" t="s">
        <v>84</v>
      </c>
      <c r="H406" s="4" t="s">
        <v>85</v>
      </c>
      <c r="I406" s="4"/>
      <c r="J406" s="4"/>
      <c r="K406" s="4">
        <v>203</v>
      </c>
      <c r="L406" s="4">
        <v>11</v>
      </c>
      <c r="M406" s="4">
        <v>3</v>
      </c>
      <c r="N406" s="4" t="s">
        <v>3</v>
      </c>
      <c r="O406" s="4">
        <v>2</v>
      </c>
      <c r="P406" s="4"/>
      <c r="Q406" s="4"/>
      <c r="R406" s="4"/>
      <c r="S406" s="4"/>
      <c r="T406" s="4"/>
      <c r="U406" s="4"/>
      <c r="V406" s="4"/>
      <c r="W406" s="4">
        <v>4.5199999999999996</v>
      </c>
      <c r="X406" s="4">
        <v>1</v>
      </c>
      <c r="Y406" s="4">
        <v>4.5199999999999996</v>
      </c>
      <c r="Z406" s="4"/>
      <c r="AA406" s="4"/>
      <c r="AB406" s="4"/>
    </row>
    <row r="407" spans="1:28" x14ac:dyDescent="0.2">
      <c r="A407" s="4">
        <v>50</v>
      </c>
      <c r="B407" s="4">
        <v>0</v>
      </c>
      <c r="C407" s="4">
        <v>0</v>
      </c>
      <c r="D407" s="4">
        <v>1</v>
      </c>
      <c r="E407" s="4">
        <v>231</v>
      </c>
      <c r="F407" s="4">
        <f>ROUND(Source!BB394,O407)</f>
        <v>0</v>
      </c>
      <c r="G407" s="4" t="s">
        <v>86</v>
      </c>
      <c r="H407" s="4" t="s">
        <v>87</v>
      </c>
      <c r="I407" s="4"/>
      <c r="J407" s="4"/>
      <c r="K407" s="4">
        <v>231</v>
      </c>
      <c r="L407" s="4">
        <v>12</v>
      </c>
      <c r="M407" s="4">
        <v>3</v>
      </c>
      <c r="N407" s="4" t="s">
        <v>3</v>
      </c>
      <c r="O407" s="4">
        <v>2</v>
      </c>
      <c r="P407" s="4"/>
      <c r="Q407" s="4"/>
      <c r="R407" s="4"/>
      <c r="S407" s="4"/>
      <c r="T407" s="4"/>
      <c r="U407" s="4"/>
      <c r="V407" s="4"/>
      <c r="W407" s="4">
        <v>0</v>
      </c>
      <c r="X407" s="4">
        <v>1</v>
      </c>
      <c r="Y407" s="4">
        <v>0</v>
      </c>
      <c r="Z407" s="4"/>
      <c r="AA407" s="4"/>
      <c r="AB407" s="4"/>
    </row>
    <row r="408" spans="1:28" x14ac:dyDescent="0.2">
      <c r="A408" s="4">
        <v>50</v>
      </c>
      <c r="B408" s="4">
        <v>0</v>
      </c>
      <c r="C408" s="4">
        <v>0</v>
      </c>
      <c r="D408" s="4">
        <v>1</v>
      </c>
      <c r="E408" s="4">
        <v>204</v>
      </c>
      <c r="F408" s="4">
        <f>ROUND(Source!R394,O408)</f>
        <v>0.59</v>
      </c>
      <c r="G408" s="4" t="s">
        <v>88</v>
      </c>
      <c r="H408" s="4" t="s">
        <v>89</v>
      </c>
      <c r="I408" s="4"/>
      <c r="J408" s="4"/>
      <c r="K408" s="4">
        <v>204</v>
      </c>
      <c r="L408" s="4">
        <v>13</v>
      </c>
      <c r="M408" s="4">
        <v>3</v>
      </c>
      <c r="N408" s="4" t="s">
        <v>3</v>
      </c>
      <c r="O408" s="4">
        <v>2</v>
      </c>
      <c r="P408" s="4"/>
      <c r="Q408" s="4"/>
      <c r="R408" s="4"/>
      <c r="S408" s="4"/>
      <c r="T408" s="4"/>
      <c r="U408" s="4"/>
      <c r="V408" s="4"/>
      <c r="W408" s="4">
        <v>0.59</v>
      </c>
      <c r="X408" s="4">
        <v>1</v>
      </c>
      <c r="Y408" s="4">
        <v>0.59</v>
      </c>
      <c r="Z408" s="4"/>
      <c r="AA408" s="4"/>
      <c r="AB408" s="4"/>
    </row>
    <row r="409" spans="1:28" x14ac:dyDescent="0.2">
      <c r="A409" s="4">
        <v>50</v>
      </c>
      <c r="B409" s="4">
        <v>0</v>
      </c>
      <c r="C409" s="4">
        <v>0</v>
      </c>
      <c r="D409" s="4">
        <v>1</v>
      </c>
      <c r="E409" s="4">
        <v>205</v>
      </c>
      <c r="F409" s="4">
        <f>ROUND(Source!S394,O409)</f>
        <v>5331.53</v>
      </c>
      <c r="G409" s="4" t="s">
        <v>90</v>
      </c>
      <c r="H409" s="4" t="s">
        <v>91</v>
      </c>
      <c r="I409" s="4"/>
      <c r="J409" s="4"/>
      <c r="K409" s="4">
        <v>205</v>
      </c>
      <c r="L409" s="4">
        <v>14</v>
      </c>
      <c r="M409" s="4">
        <v>3</v>
      </c>
      <c r="N409" s="4" t="s">
        <v>3</v>
      </c>
      <c r="O409" s="4">
        <v>2</v>
      </c>
      <c r="P409" s="4"/>
      <c r="Q409" s="4"/>
      <c r="R409" s="4"/>
      <c r="S409" s="4"/>
      <c r="T409" s="4"/>
      <c r="U409" s="4"/>
      <c r="V409" s="4"/>
      <c r="W409" s="4">
        <v>5331.53</v>
      </c>
      <c r="X409" s="4">
        <v>1</v>
      </c>
      <c r="Y409" s="4">
        <v>5331.53</v>
      </c>
      <c r="Z409" s="4"/>
      <c r="AA409" s="4"/>
      <c r="AB409" s="4"/>
    </row>
    <row r="410" spans="1:28" x14ac:dyDescent="0.2">
      <c r="A410" s="4">
        <v>50</v>
      </c>
      <c r="B410" s="4">
        <v>0</v>
      </c>
      <c r="C410" s="4">
        <v>0</v>
      </c>
      <c r="D410" s="4">
        <v>1</v>
      </c>
      <c r="E410" s="4">
        <v>232</v>
      </c>
      <c r="F410" s="4">
        <f>ROUND(Source!BC394,O410)</f>
        <v>0</v>
      </c>
      <c r="G410" s="4" t="s">
        <v>92</v>
      </c>
      <c r="H410" s="4" t="s">
        <v>93</v>
      </c>
      <c r="I410" s="4"/>
      <c r="J410" s="4"/>
      <c r="K410" s="4">
        <v>232</v>
      </c>
      <c r="L410" s="4">
        <v>15</v>
      </c>
      <c r="M410" s="4">
        <v>3</v>
      </c>
      <c r="N410" s="4" t="s">
        <v>3</v>
      </c>
      <c r="O410" s="4">
        <v>2</v>
      </c>
      <c r="P410" s="4"/>
      <c r="Q410" s="4"/>
      <c r="R410" s="4"/>
      <c r="S410" s="4"/>
      <c r="T410" s="4"/>
      <c r="U410" s="4"/>
      <c r="V410" s="4"/>
      <c r="W410" s="4">
        <v>0</v>
      </c>
      <c r="X410" s="4">
        <v>1</v>
      </c>
      <c r="Y410" s="4">
        <v>0</v>
      </c>
      <c r="Z410" s="4"/>
      <c r="AA410" s="4"/>
      <c r="AB410" s="4"/>
    </row>
    <row r="411" spans="1:28" x14ac:dyDescent="0.2">
      <c r="A411" s="4">
        <v>50</v>
      </c>
      <c r="B411" s="4">
        <v>0</v>
      </c>
      <c r="C411" s="4">
        <v>0</v>
      </c>
      <c r="D411" s="4">
        <v>1</v>
      </c>
      <c r="E411" s="4">
        <v>214</v>
      </c>
      <c r="F411" s="4">
        <f>ROUND(Source!AS394,O411)</f>
        <v>0</v>
      </c>
      <c r="G411" s="4" t="s">
        <v>94</v>
      </c>
      <c r="H411" s="4" t="s">
        <v>95</v>
      </c>
      <c r="I411" s="4"/>
      <c r="J411" s="4"/>
      <c r="K411" s="4">
        <v>214</v>
      </c>
      <c r="L411" s="4">
        <v>16</v>
      </c>
      <c r="M411" s="4">
        <v>3</v>
      </c>
      <c r="N411" s="4" t="s">
        <v>3</v>
      </c>
      <c r="O411" s="4">
        <v>2</v>
      </c>
      <c r="P411" s="4"/>
      <c r="Q411" s="4"/>
      <c r="R411" s="4"/>
      <c r="S411" s="4"/>
      <c r="T411" s="4"/>
      <c r="U411" s="4"/>
      <c r="V411" s="4"/>
      <c r="W411" s="4">
        <v>0</v>
      </c>
      <c r="X411" s="4">
        <v>1</v>
      </c>
      <c r="Y411" s="4">
        <v>0</v>
      </c>
      <c r="Z411" s="4"/>
      <c r="AA411" s="4"/>
      <c r="AB411" s="4"/>
    </row>
    <row r="412" spans="1:28" x14ac:dyDescent="0.2">
      <c r="A412" s="4">
        <v>50</v>
      </c>
      <c r="B412" s="4">
        <v>0</v>
      </c>
      <c r="C412" s="4">
        <v>0</v>
      </c>
      <c r="D412" s="4">
        <v>1</v>
      </c>
      <c r="E412" s="4">
        <v>215</v>
      </c>
      <c r="F412" s="4">
        <f>ROUND(Source!AT394,O412)</f>
        <v>0</v>
      </c>
      <c r="G412" s="4" t="s">
        <v>96</v>
      </c>
      <c r="H412" s="4" t="s">
        <v>97</v>
      </c>
      <c r="I412" s="4"/>
      <c r="J412" s="4"/>
      <c r="K412" s="4">
        <v>215</v>
      </c>
      <c r="L412" s="4">
        <v>17</v>
      </c>
      <c r="M412" s="4">
        <v>3</v>
      </c>
      <c r="N412" s="4" t="s">
        <v>3</v>
      </c>
      <c r="O412" s="4">
        <v>2</v>
      </c>
      <c r="P412" s="4"/>
      <c r="Q412" s="4"/>
      <c r="R412" s="4"/>
      <c r="S412" s="4"/>
      <c r="T412" s="4"/>
      <c r="U412" s="4"/>
      <c r="V412" s="4"/>
      <c r="W412" s="4">
        <v>0</v>
      </c>
      <c r="X412" s="4">
        <v>1</v>
      </c>
      <c r="Y412" s="4">
        <v>0</v>
      </c>
      <c r="Z412" s="4"/>
      <c r="AA412" s="4"/>
      <c r="AB412" s="4"/>
    </row>
    <row r="413" spans="1:28" x14ac:dyDescent="0.2">
      <c r="A413" s="4">
        <v>50</v>
      </c>
      <c r="B413" s="4">
        <v>0</v>
      </c>
      <c r="C413" s="4">
        <v>0</v>
      </c>
      <c r="D413" s="4">
        <v>1</v>
      </c>
      <c r="E413" s="4">
        <v>217</v>
      </c>
      <c r="F413" s="4">
        <f>ROUND(Source!AU394,O413)</f>
        <v>32704.55</v>
      </c>
      <c r="G413" s="4" t="s">
        <v>98</v>
      </c>
      <c r="H413" s="4" t="s">
        <v>99</v>
      </c>
      <c r="I413" s="4"/>
      <c r="J413" s="4"/>
      <c r="K413" s="4">
        <v>217</v>
      </c>
      <c r="L413" s="4">
        <v>18</v>
      </c>
      <c r="M413" s="4">
        <v>3</v>
      </c>
      <c r="N413" s="4" t="s">
        <v>3</v>
      </c>
      <c r="O413" s="4">
        <v>2</v>
      </c>
      <c r="P413" s="4"/>
      <c r="Q413" s="4"/>
      <c r="R413" s="4"/>
      <c r="S413" s="4"/>
      <c r="T413" s="4"/>
      <c r="U413" s="4"/>
      <c r="V413" s="4"/>
      <c r="W413" s="4">
        <v>32704.55</v>
      </c>
      <c r="X413" s="4">
        <v>1</v>
      </c>
      <c r="Y413" s="4">
        <v>32704.55</v>
      </c>
      <c r="Z413" s="4"/>
      <c r="AA413" s="4"/>
      <c r="AB413" s="4"/>
    </row>
    <row r="414" spans="1:28" x14ac:dyDescent="0.2">
      <c r="A414" s="4">
        <v>50</v>
      </c>
      <c r="B414" s="4">
        <v>0</v>
      </c>
      <c r="C414" s="4">
        <v>0</v>
      </c>
      <c r="D414" s="4">
        <v>1</v>
      </c>
      <c r="E414" s="4">
        <v>230</v>
      </c>
      <c r="F414" s="4">
        <f>ROUND(Source!BA394,O414)</f>
        <v>0</v>
      </c>
      <c r="G414" s="4" t="s">
        <v>100</v>
      </c>
      <c r="H414" s="4" t="s">
        <v>101</v>
      </c>
      <c r="I414" s="4"/>
      <c r="J414" s="4"/>
      <c r="K414" s="4">
        <v>230</v>
      </c>
      <c r="L414" s="4">
        <v>19</v>
      </c>
      <c r="M414" s="4">
        <v>3</v>
      </c>
      <c r="N414" s="4" t="s">
        <v>3</v>
      </c>
      <c r="O414" s="4">
        <v>2</v>
      </c>
      <c r="P414" s="4"/>
      <c r="Q414" s="4"/>
      <c r="R414" s="4"/>
      <c r="S414" s="4"/>
      <c r="T414" s="4"/>
      <c r="U414" s="4"/>
      <c r="V414" s="4"/>
      <c r="W414" s="4">
        <v>0</v>
      </c>
      <c r="X414" s="4">
        <v>1</v>
      </c>
      <c r="Y414" s="4">
        <v>0</v>
      </c>
      <c r="Z414" s="4"/>
      <c r="AA414" s="4"/>
      <c r="AB414" s="4"/>
    </row>
    <row r="415" spans="1:28" x14ac:dyDescent="0.2">
      <c r="A415" s="4">
        <v>50</v>
      </c>
      <c r="B415" s="4">
        <v>0</v>
      </c>
      <c r="C415" s="4">
        <v>0</v>
      </c>
      <c r="D415" s="4">
        <v>1</v>
      </c>
      <c r="E415" s="4">
        <v>206</v>
      </c>
      <c r="F415" s="4">
        <f>ROUND(Source!T394,O415)</f>
        <v>0</v>
      </c>
      <c r="G415" s="4" t="s">
        <v>102</v>
      </c>
      <c r="H415" s="4" t="s">
        <v>103</v>
      </c>
      <c r="I415" s="4"/>
      <c r="J415" s="4"/>
      <c r="K415" s="4">
        <v>206</v>
      </c>
      <c r="L415" s="4">
        <v>20</v>
      </c>
      <c r="M415" s="4">
        <v>3</v>
      </c>
      <c r="N415" s="4" t="s">
        <v>3</v>
      </c>
      <c r="O415" s="4">
        <v>2</v>
      </c>
      <c r="P415" s="4"/>
      <c r="Q415" s="4"/>
      <c r="R415" s="4"/>
      <c r="S415" s="4"/>
      <c r="T415" s="4"/>
      <c r="U415" s="4"/>
      <c r="V415" s="4"/>
      <c r="W415" s="4">
        <v>0</v>
      </c>
      <c r="X415" s="4">
        <v>1</v>
      </c>
      <c r="Y415" s="4">
        <v>0</v>
      </c>
      <c r="Z415" s="4"/>
      <c r="AA415" s="4"/>
      <c r="AB415" s="4"/>
    </row>
    <row r="416" spans="1:28" x14ac:dyDescent="0.2">
      <c r="A416" s="4">
        <v>50</v>
      </c>
      <c r="B416" s="4">
        <v>0</v>
      </c>
      <c r="C416" s="4">
        <v>0</v>
      </c>
      <c r="D416" s="4">
        <v>1</v>
      </c>
      <c r="E416" s="4">
        <v>207</v>
      </c>
      <c r="F416" s="4">
        <f>Source!U394</f>
        <v>15.8904</v>
      </c>
      <c r="G416" s="4" t="s">
        <v>104</v>
      </c>
      <c r="H416" s="4" t="s">
        <v>105</v>
      </c>
      <c r="I416" s="4"/>
      <c r="J416" s="4"/>
      <c r="K416" s="4">
        <v>207</v>
      </c>
      <c r="L416" s="4">
        <v>21</v>
      </c>
      <c r="M416" s="4">
        <v>3</v>
      </c>
      <c r="N416" s="4" t="s">
        <v>3</v>
      </c>
      <c r="O416" s="4">
        <v>-1</v>
      </c>
      <c r="P416" s="4"/>
      <c r="Q416" s="4"/>
      <c r="R416" s="4"/>
      <c r="S416" s="4"/>
      <c r="T416" s="4"/>
      <c r="U416" s="4"/>
      <c r="V416" s="4"/>
      <c r="W416" s="4">
        <v>15.8904</v>
      </c>
      <c r="X416" s="4">
        <v>1</v>
      </c>
      <c r="Y416" s="4">
        <v>15.8904</v>
      </c>
      <c r="Z416" s="4"/>
      <c r="AA416" s="4"/>
      <c r="AB416" s="4"/>
    </row>
    <row r="417" spans="1:206" x14ac:dyDescent="0.2">
      <c r="A417" s="4">
        <v>50</v>
      </c>
      <c r="B417" s="4">
        <v>0</v>
      </c>
      <c r="C417" s="4">
        <v>0</v>
      </c>
      <c r="D417" s="4">
        <v>1</v>
      </c>
      <c r="E417" s="4">
        <v>208</v>
      </c>
      <c r="F417" s="4">
        <f>Source!V394</f>
        <v>0</v>
      </c>
      <c r="G417" s="4" t="s">
        <v>106</v>
      </c>
      <c r="H417" s="4" t="s">
        <v>107</v>
      </c>
      <c r="I417" s="4"/>
      <c r="J417" s="4"/>
      <c r="K417" s="4">
        <v>208</v>
      </c>
      <c r="L417" s="4">
        <v>22</v>
      </c>
      <c r="M417" s="4">
        <v>3</v>
      </c>
      <c r="N417" s="4" t="s">
        <v>3</v>
      </c>
      <c r="O417" s="4">
        <v>-1</v>
      </c>
      <c r="P417" s="4"/>
      <c r="Q417" s="4"/>
      <c r="R417" s="4"/>
      <c r="S417" s="4"/>
      <c r="T417" s="4"/>
      <c r="U417" s="4"/>
      <c r="V417" s="4"/>
      <c r="W417" s="4">
        <v>0</v>
      </c>
      <c r="X417" s="4">
        <v>1</v>
      </c>
      <c r="Y417" s="4">
        <v>0</v>
      </c>
      <c r="Z417" s="4"/>
      <c r="AA417" s="4"/>
      <c r="AB417" s="4"/>
    </row>
    <row r="418" spans="1:206" x14ac:dyDescent="0.2">
      <c r="A418" s="4">
        <v>50</v>
      </c>
      <c r="B418" s="4">
        <v>0</v>
      </c>
      <c r="C418" s="4">
        <v>0</v>
      </c>
      <c r="D418" s="4">
        <v>1</v>
      </c>
      <c r="E418" s="4">
        <v>209</v>
      </c>
      <c r="F418" s="4">
        <f>ROUND(Source!W394,O418)</f>
        <v>0</v>
      </c>
      <c r="G418" s="4" t="s">
        <v>108</v>
      </c>
      <c r="H418" s="4" t="s">
        <v>109</v>
      </c>
      <c r="I418" s="4"/>
      <c r="J418" s="4"/>
      <c r="K418" s="4">
        <v>209</v>
      </c>
      <c r="L418" s="4">
        <v>23</v>
      </c>
      <c r="M418" s="4">
        <v>3</v>
      </c>
      <c r="N418" s="4" t="s">
        <v>3</v>
      </c>
      <c r="O418" s="4">
        <v>2</v>
      </c>
      <c r="P418" s="4"/>
      <c r="Q418" s="4"/>
      <c r="R418" s="4"/>
      <c r="S418" s="4"/>
      <c r="T418" s="4"/>
      <c r="U418" s="4"/>
      <c r="V418" s="4"/>
      <c r="W418" s="4">
        <v>0</v>
      </c>
      <c r="X418" s="4">
        <v>1</v>
      </c>
      <c r="Y418" s="4">
        <v>0</v>
      </c>
      <c r="Z418" s="4"/>
      <c r="AA418" s="4"/>
      <c r="AB418" s="4"/>
    </row>
    <row r="419" spans="1:206" x14ac:dyDescent="0.2">
      <c r="A419" s="4">
        <v>50</v>
      </c>
      <c r="B419" s="4">
        <v>0</v>
      </c>
      <c r="C419" s="4">
        <v>0</v>
      </c>
      <c r="D419" s="4">
        <v>1</v>
      </c>
      <c r="E419" s="4">
        <v>233</v>
      </c>
      <c r="F419" s="4">
        <f>ROUND(Source!BD394,O419)</f>
        <v>0</v>
      </c>
      <c r="G419" s="4" t="s">
        <v>110</v>
      </c>
      <c r="H419" s="4" t="s">
        <v>111</v>
      </c>
      <c r="I419" s="4"/>
      <c r="J419" s="4"/>
      <c r="K419" s="4">
        <v>233</v>
      </c>
      <c r="L419" s="4">
        <v>24</v>
      </c>
      <c r="M419" s="4">
        <v>3</v>
      </c>
      <c r="N419" s="4" t="s">
        <v>3</v>
      </c>
      <c r="O419" s="4">
        <v>2</v>
      </c>
      <c r="P419" s="4"/>
      <c r="Q419" s="4"/>
      <c r="R419" s="4"/>
      <c r="S419" s="4"/>
      <c r="T419" s="4"/>
      <c r="U419" s="4"/>
      <c r="V419" s="4"/>
      <c r="W419" s="4">
        <v>0</v>
      </c>
      <c r="X419" s="4">
        <v>1</v>
      </c>
      <c r="Y419" s="4">
        <v>0</v>
      </c>
      <c r="Z419" s="4"/>
      <c r="AA419" s="4"/>
      <c r="AB419" s="4"/>
    </row>
    <row r="420" spans="1:206" x14ac:dyDescent="0.2">
      <c r="A420" s="4">
        <v>50</v>
      </c>
      <c r="B420" s="4">
        <v>0</v>
      </c>
      <c r="C420" s="4">
        <v>0</v>
      </c>
      <c r="D420" s="4">
        <v>1</v>
      </c>
      <c r="E420" s="4">
        <v>210</v>
      </c>
      <c r="F420" s="4">
        <f>ROUND(Source!X394,O420)</f>
        <v>3732.07</v>
      </c>
      <c r="G420" s="4" t="s">
        <v>112</v>
      </c>
      <c r="H420" s="4" t="s">
        <v>113</v>
      </c>
      <c r="I420" s="4"/>
      <c r="J420" s="4"/>
      <c r="K420" s="4">
        <v>210</v>
      </c>
      <c r="L420" s="4">
        <v>25</v>
      </c>
      <c r="M420" s="4">
        <v>3</v>
      </c>
      <c r="N420" s="4" t="s">
        <v>3</v>
      </c>
      <c r="O420" s="4">
        <v>2</v>
      </c>
      <c r="P420" s="4"/>
      <c r="Q420" s="4"/>
      <c r="R420" s="4"/>
      <c r="S420" s="4"/>
      <c r="T420" s="4"/>
      <c r="U420" s="4"/>
      <c r="V420" s="4"/>
      <c r="W420" s="4">
        <v>3732.07</v>
      </c>
      <c r="X420" s="4">
        <v>1</v>
      </c>
      <c r="Y420" s="4">
        <v>3732.07</v>
      </c>
      <c r="Z420" s="4"/>
      <c r="AA420" s="4"/>
      <c r="AB420" s="4"/>
    </row>
    <row r="421" spans="1:206" x14ac:dyDescent="0.2">
      <c r="A421" s="4">
        <v>50</v>
      </c>
      <c r="B421" s="4">
        <v>0</v>
      </c>
      <c r="C421" s="4">
        <v>0</v>
      </c>
      <c r="D421" s="4">
        <v>1</v>
      </c>
      <c r="E421" s="4">
        <v>211</v>
      </c>
      <c r="F421" s="4">
        <f>ROUND(Source!Y394,O421)</f>
        <v>533.16</v>
      </c>
      <c r="G421" s="4" t="s">
        <v>114</v>
      </c>
      <c r="H421" s="4" t="s">
        <v>115</v>
      </c>
      <c r="I421" s="4"/>
      <c r="J421" s="4"/>
      <c r="K421" s="4">
        <v>211</v>
      </c>
      <c r="L421" s="4">
        <v>26</v>
      </c>
      <c r="M421" s="4">
        <v>3</v>
      </c>
      <c r="N421" s="4" t="s">
        <v>3</v>
      </c>
      <c r="O421" s="4">
        <v>2</v>
      </c>
      <c r="P421" s="4"/>
      <c r="Q421" s="4"/>
      <c r="R421" s="4"/>
      <c r="S421" s="4"/>
      <c r="T421" s="4"/>
      <c r="U421" s="4"/>
      <c r="V421" s="4"/>
      <c r="W421" s="4">
        <v>533.16</v>
      </c>
      <c r="X421" s="4">
        <v>1</v>
      </c>
      <c r="Y421" s="4">
        <v>533.16</v>
      </c>
      <c r="Z421" s="4"/>
      <c r="AA421" s="4"/>
      <c r="AB421" s="4"/>
    </row>
    <row r="422" spans="1:206" x14ac:dyDescent="0.2">
      <c r="A422" s="4">
        <v>50</v>
      </c>
      <c r="B422" s="4">
        <v>0</v>
      </c>
      <c r="C422" s="4">
        <v>0</v>
      </c>
      <c r="D422" s="4">
        <v>1</v>
      </c>
      <c r="E422" s="4">
        <v>224</v>
      </c>
      <c r="F422" s="4">
        <f>ROUND(Source!AR394,O422)</f>
        <v>32704.55</v>
      </c>
      <c r="G422" s="4" t="s">
        <v>116</v>
      </c>
      <c r="H422" s="4" t="s">
        <v>117</v>
      </c>
      <c r="I422" s="4"/>
      <c r="J422" s="4"/>
      <c r="K422" s="4">
        <v>224</v>
      </c>
      <c r="L422" s="4">
        <v>27</v>
      </c>
      <c r="M422" s="4">
        <v>3</v>
      </c>
      <c r="N422" s="4" t="s">
        <v>3</v>
      </c>
      <c r="O422" s="4">
        <v>2</v>
      </c>
      <c r="P422" s="4"/>
      <c r="Q422" s="4"/>
      <c r="R422" s="4"/>
      <c r="S422" s="4"/>
      <c r="T422" s="4"/>
      <c r="U422" s="4"/>
      <c r="V422" s="4"/>
      <c r="W422" s="4">
        <v>32704.55</v>
      </c>
      <c r="X422" s="4">
        <v>1</v>
      </c>
      <c r="Y422" s="4">
        <v>32704.55</v>
      </c>
      <c r="Z422" s="4"/>
      <c r="AA422" s="4"/>
      <c r="AB422" s="4"/>
    </row>
    <row r="424" spans="1:206" x14ac:dyDescent="0.2">
      <c r="A424" s="2">
        <v>51</v>
      </c>
      <c r="B424" s="2">
        <f>B247</f>
        <v>1</v>
      </c>
      <c r="C424" s="2">
        <f>A247</f>
        <v>4</v>
      </c>
      <c r="D424" s="2">
        <f>ROW(A247)</f>
        <v>247</v>
      </c>
      <c r="E424" s="2"/>
      <c r="F424" s="2" t="str">
        <f>IF(F247&lt;&gt;"",F247,"")</f>
        <v>Новый раздел</v>
      </c>
      <c r="G424" s="2" t="str">
        <f>IF(G247&lt;&gt;"",G247,"")</f>
        <v>2. Тренерская</v>
      </c>
      <c r="H424" s="2">
        <v>0</v>
      </c>
      <c r="I424" s="2"/>
      <c r="J424" s="2"/>
      <c r="K424" s="2"/>
      <c r="L424" s="2"/>
      <c r="M424" s="2"/>
      <c r="N424" s="2"/>
      <c r="O424" s="2">
        <f t="shared" ref="O424:T424" si="405">ROUND(O264+O306+O351+O394+AB424,2)</f>
        <v>296763.56</v>
      </c>
      <c r="P424" s="2">
        <f t="shared" si="405"/>
        <v>188016.85</v>
      </c>
      <c r="Q424" s="2">
        <f t="shared" si="405"/>
        <v>288.57</v>
      </c>
      <c r="R424" s="2">
        <f t="shared" si="405"/>
        <v>91.01</v>
      </c>
      <c r="S424" s="2">
        <f t="shared" si="405"/>
        <v>108458.14</v>
      </c>
      <c r="T424" s="2">
        <f t="shared" si="405"/>
        <v>0</v>
      </c>
      <c r="U424" s="2">
        <f>U264+U306+U351+U394+AH424</f>
        <v>347.447024</v>
      </c>
      <c r="V424" s="2">
        <f>V264+V306+V351+V394+AI424</f>
        <v>0</v>
      </c>
      <c r="W424" s="2">
        <f>ROUND(W264+W306+W351+W394+AJ424,2)</f>
        <v>0</v>
      </c>
      <c r="X424" s="2">
        <f>ROUND(X264+X306+X351+X394+AK424,2)</f>
        <v>75920.7</v>
      </c>
      <c r="Y424" s="2">
        <f>ROUND(Y264+Y306+Y351+Y394+AL424,2)</f>
        <v>10845.82</v>
      </c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>
        <f t="shared" ref="AO424:BD424" si="406">ROUND(AO264+AO306+AO351+AO394+BX424,2)</f>
        <v>0</v>
      </c>
      <c r="AP424" s="2">
        <f t="shared" si="406"/>
        <v>0</v>
      </c>
      <c r="AQ424" s="2">
        <f t="shared" si="406"/>
        <v>0</v>
      </c>
      <c r="AR424" s="2">
        <f t="shared" si="406"/>
        <v>383628.37</v>
      </c>
      <c r="AS424" s="2">
        <f t="shared" si="406"/>
        <v>0</v>
      </c>
      <c r="AT424" s="2">
        <f t="shared" si="406"/>
        <v>0</v>
      </c>
      <c r="AU424" s="2">
        <f t="shared" si="406"/>
        <v>383628.37</v>
      </c>
      <c r="AV424" s="2">
        <f t="shared" si="406"/>
        <v>188016.85</v>
      </c>
      <c r="AW424" s="2">
        <f t="shared" si="406"/>
        <v>188016.85</v>
      </c>
      <c r="AX424" s="2">
        <f t="shared" si="406"/>
        <v>0</v>
      </c>
      <c r="AY424" s="2">
        <f t="shared" si="406"/>
        <v>188016.85</v>
      </c>
      <c r="AZ424" s="2">
        <f t="shared" si="406"/>
        <v>0</v>
      </c>
      <c r="BA424" s="2">
        <f t="shared" si="406"/>
        <v>0</v>
      </c>
      <c r="BB424" s="2">
        <f t="shared" si="406"/>
        <v>0</v>
      </c>
      <c r="BC424" s="2">
        <f t="shared" si="406"/>
        <v>0</v>
      </c>
      <c r="BD424" s="2">
        <f t="shared" si="406"/>
        <v>0</v>
      </c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>
        <v>0</v>
      </c>
    </row>
    <row r="426" spans="1:206" x14ac:dyDescent="0.2">
      <c r="A426" s="4">
        <v>50</v>
      </c>
      <c r="B426" s="4">
        <v>0</v>
      </c>
      <c r="C426" s="4">
        <v>0</v>
      </c>
      <c r="D426" s="4">
        <v>1</v>
      </c>
      <c r="E426" s="4">
        <v>201</v>
      </c>
      <c r="F426" s="4">
        <f>ROUND(Source!O424,O426)</f>
        <v>296763.56</v>
      </c>
      <c r="G426" s="4" t="s">
        <v>64</v>
      </c>
      <c r="H426" s="4" t="s">
        <v>65</v>
      </c>
      <c r="I426" s="4"/>
      <c r="J426" s="4"/>
      <c r="K426" s="4">
        <v>201</v>
      </c>
      <c r="L426" s="4">
        <v>1</v>
      </c>
      <c r="M426" s="4">
        <v>3</v>
      </c>
      <c r="N426" s="4" t="s">
        <v>3</v>
      </c>
      <c r="O426" s="4">
        <v>2</v>
      </c>
      <c r="P426" s="4"/>
      <c r="Q426" s="4"/>
      <c r="R426" s="4"/>
      <c r="S426" s="4"/>
      <c r="T426" s="4"/>
      <c r="U426" s="4"/>
      <c r="V426" s="4"/>
      <c r="W426" s="4">
        <v>296763.56</v>
      </c>
      <c r="X426" s="4">
        <v>1</v>
      </c>
      <c r="Y426" s="4">
        <v>296763.56</v>
      </c>
      <c r="Z426" s="4"/>
      <c r="AA426" s="4"/>
      <c r="AB426" s="4"/>
    </row>
    <row r="427" spans="1:206" x14ac:dyDescent="0.2">
      <c r="A427" s="4">
        <v>50</v>
      </c>
      <c r="B427" s="4">
        <v>0</v>
      </c>
      <c r="C427" s="4">
        <v>0</v>
      </c>
      <c r="D427" s="4">
        <v>1</v>
      </c>
      <c r="E427" s="4">
        <v>202</v>
      </c>
      <c r="F427" s="4">
        <f>ROUND(Source!P424,O427)</f>
        <v>188016.85</v>
      </c>
      <c r="G427" s="4" t="s">
        <v>66</v>
      </c>
      <c r="H427" s="4" t="s">
        <v>67</v>
      </c>
      <c r="I427" s="4"/>
      <c r="J427" s="4"/>
      <c r="K427" s="4">
        <v>202</v>
      </c>
      <c r="L427" s="4">
        <v>2</v>
      </c>
      <c r="M427" s="4">
        <v>3</v>
      </c>
      <c r="N427" s="4" t="s">
        <v>3</v>
      </c>
      <c r="O427" s="4">
        <v>2</v>
      </c>
      <c r="P427" s="4"/>
      <c r="Q427" s="4"/>
      <c r="R427" s="4"/>
      <c r="S427" s="4"/>
      <c r="T427" s="4"/>
      <c r="U427" s="4"/>
      <c r="V427" s="4"/>
      <c r="W427" s="4">
        <v>188016.85</v>
      </c>
      <c r="X427" s="4">
        <v>1</v>
      </c>
      <c r="Y427" s="4">
        <v>188016.85</v>
      </c>
      <c r="Z427" s="4"/>
      <c r="AA427" s="4"/>
      <c r="AB427" s="4"/>
    </row>
    <row r="428" spans="1:206" x14ac:dyDescent="0.2">
      <c r="A428" s="4">
        <v>50</v>
      </c>
      <c r="B428" s="4">
        <v>0</v>
      </c>
      <c r="C428" s="4">
        <v>0</v>
      </c>
      <c r="D428" s="4">
        <v>1</v>
      </c>
      <c r="E428" s="4">
        <v>222</v>
      </c>
      <c r="F428" s="4">
        <f>ROUND(Source!AO424,O428)</f>
        <v>0</v>
      </c>
      <c r="G428" s="4" t="s">
        <v>68</v>
      </c>
      <c r="H428" s="4" t="s">
        <v>69</v>
      </c>
      <c r="I428" s="4"/>
      <c r="J428" s="4"/>
      <c r="K428" s="4">
        <v>222</v>
      </c>
      <c r="L428" s="4">
        <v>3</v>
      </c>
      <c r="M428" s="4">
        <v>3</v>
      </c>
      <c r="N428" s="4" t="s">
        <v>3</v>
      </c>
      <c r="O428" s="4">
        <v>2</v>
      </c>
      <c r="P428" s="4"/>
      <c r="Q428" s="4"/>
      <c r="R428" s="4"/>
      <c r="S428" s="4"/>
      <c r="T428" s="4"/>
      <c r="U428" s="4"/>
      <c r="V428" s="4"/>
      <c r="W428" s="4">
        <v>0</v>
      </c>
      <c r="X428" s="4">
        <v>1</v>
      </c>
      <c r="Y428" s="4">
        <v>0</v>
      </c>
      <c r="Z428" s="4"/>
      <c r="AA428" s="4"/>
      <c r="AB428" s="4"/>
    </row>
    <row r="429" spans="1:206" x14ac:dyDescent="0.2">
      <c r="A429" s="4">
        <v>50</v>
      </c>
      <c r="B429" s="4">
        <v>0</v>
      </c>
      <c r="C429" s="4">
        <v>0</v>
      </c>
      <c r="D429" s="4">
        <v>1</v>
      </c>
      <c r="E429" s="4">
        <v>225</v>
      </c>
      <c r="F429" s="4">
        <f>ROUND(Source!AV424,O429)</f>
        <v>188016.85</v>
      </c>
      <c r="G429" s="4" t="s">
        <v>70</v>
      </c>
      <c r="H429" s="4" t="s">
        <v>71</v>
      </c>
      <c r="I429" s="4"/>
      <c r="J429" s="4"/>
      <c r="K429" s="4">
        <v>225</v>
      </c>
      <c r="L429" s="4">
        <v>4</v>
      </c>
      <c r="M429" s="4">
        <v>3</v>
      </c>
      <c r="N429" s="4" t="s">
        <v>3</v>
      </c>
      <c r="O429" s="4">
        <v>2</v>
      </c>
      <c r="P429" s="4"/>
      <c r="Q429" s="4"/>
      <c r="R429" s="4"/>
      <c r="S429" s="4"/>
      <c r="T429" s="4"/>
      <c r="U429" s="4"/>
      <c r="V429" s="4"/>
      <c r="W429" s="4">
        <v>188016.85</v>
      </c>
      <c r="X429" s="4">
        <v>1</v>
      </c>
      <c r="Y429" s="4">
        <v>188016.85</v>
      </c>
      <c r="Z429" s="4"/>
      <c r="AA429" s="4"/>
      <c r="AB429" s="4"/>
    </row>
    <row r="430" spans="1:206" x14ac:dyDescent="0.2">
      <c r="A430" s="4">
        <v>50</v>
      </c>
      <c r="B430" s="4">
        <v>0</v>
      </c>
      <c r="C430" s="4">
        <v>0</v>
      </c>
      <c r="D430" s="4">
        <v>1</v>
      </c>
      <c r="E430" s="4">
        <v>226</v>
      </c>
      <c r="F430" s="4">
        <f>ROUND(Source!AW424,O430)</f>
        <v>188016.85</v>
      </c>
      <c r="G430" s="4" t="s">
        <v>72</v>
      </c>
      <c r="H430" s="4" t="s">
        <v>73</v>
      </c>
      <c r="I430" s="4"/>
      <c r="J430" s="4"/>
      <c r="K430" s="4">
        <v>226</v>
      </c>
      <c r="L430" s="4">
        <v>5</v>
      </c>
      <c r="M430" s="4">
        <v>3</v>
      </c>
      <c r="N430" s="4" t="s">
        <v>3</v>
      </c>
      <c r="O430" s="4">
        <v>2</v>
      </c>
      <c r="P430" s="4"/>
      <c r="Q430" s="4"/>
      <c r="R430" s="4"/>
      <c r="S430" s="4"/>
      <c r="T430" s="4"/>
      <c r="U430" s="4"/>
      <c r="V430" s="4"/>
      <c r="W430" s="4">
        <v>188016.85</v>
      </c>
      <c r="X430" s="4">
        <v>1</v>
      </c>
      <c r="Y430" s="4">
        <v>188016.85</v>
      </c>
      <c r="Z430" s="4"/>
      <c r="AA430" s="4"/>
      <c r="AB430" s="4"/>
    </row>
    <row r="431" spans="1:206" x14ac:dyDescent="0.2">
      <c r="A431" s="4">
        <v>50</v>
      </c>
      <c r="B431" s="4">
        <v>0</v>
      </c>
      <c r="C431" s="4">
        <v>0</v>
      </c>
      <c r="D431" s="4">
        <v>1</v>
      </c>
      <c r="E431" s="4">
        <v>227</v>
      </c>
      <c r="F431" s="4">
        <f>ROUND(Source!AX424,O431)</f>
        <v>0</v>
      </c>
      <c r="G431" s="4" t="s">
        <v>74</v>
      </c>
      <c r="H431" s="4" t="s">
        <v>75</v>
      </c>
      <c r="I431" s="4"/>
      <c r="J431" s="4"/>
      <c r="K431" s="4">
        <v>227</v>
      </c>
      <c r="L431" s="4">
        <v>6</v>
      </c>
      <c r="M431" s="4">
        <v>3</v>
      </c>
      <c r="N431" s="4" t="s">
        <v>3</v>
      </c>
      <c r="O431" s="4">
        <v>2</v>
      </c>
      <c r="P431" s="4"/>
      <c r="Q431" s="4"/>
      <c r="R431" s="4"/>
      <c r="S431" s="4"/>
      <c r="T431" s="4"/>
      <c r="U431" s="4"/>
      <c r="V431" s="4"/>
      <c r="W431" s="4">
        <v>0</v>
      </c>
      <c r="X431" s="4">
        <v>1</v>
      </c>
      <c r="Y431" s="4">
        <v>0</v>
      </c>
      <c r="Z431" s="4"/>
      <c r="AA431" s="4"/>
      <c r="AB431" s="4"/>
    </row>
    <row r="432" spans="1:206" x14ac:dyDescent="0.2">
      <c r="A432" s="4">
        <v>50</v>
      </c>
      <c r="B432" s="4">
        <v>0</v>
      </c>
      <c r="C432" s="4">
        <v>0</v>
      </c>
      <c r="D432" s="4">
        <v>1</v>
      </c>
      <c r="E432" s="4">
        <v>228</v>
      </c>
      <c r="F432" s="4">
        <f>ROUND(Source!AY424,O432)</f>
        <v>188016.85</v>
      </c>
      <c r="G432" s="4" t="s">
        <v>76</v>
      </c>
      <c r="H432" s="4" t="s">
        <v>77</v>
      </c>
      <c r="I432" s="4"/>
      <c r="J432" s="4"/>
      <c r="K432" s="4">
        <v>228</v>
      </c>
      <c r="L432" s="4">
        <v>7</v>
      </c>
      <c r="M432" s="4">
        <v>3</v>
      </c>
      <c r="N432" s="4" t="s">
        <v>3</v>
      </c>
      <c r="O432" s="4">
        <v>2</v>
      </c>
      <c r="P432" s="4"/>
      <c r="Q432" s="4"/>
      <c r="R432" s="4"/>
      <c r="S432" s="4"/>
      <c r="T432" s="4"/>
      <c r="U432" s="4"/>
      <c r="V432" s="4"/>
      <c r="W432" s="4">
        <v>188016.85</v>
      </c>
      <c r="X432" s="4">
        <v>1</v>
      </c>
      <c r="Y432" s="4">
        <v>188016.85</v>
      </c>
      <c r="Z432" s="4"/>
      <c r="AA432" s="4"/>
      <c r="AB432" s="4"/>
    </row>
    <row r="433" spans="1:28" x14ac:dyDescent="0.2">
      <c r="A433" s="4">
        <v>50</v>
      </c>
      <c r="B433" s="4">
        <v>0</v>
      </c>
      <c r="C433" s="4">
        <v>0</v>
      </c>
      <c r="D433" s="4">
        <v>1</v>
      </c>
      <c r="E433" s="4">
        <v>216</v>
      </c>
      <c r="F433" s="4">
        <f>ROUND(Source!AP424,O433)</f>
        <v>0</v>
      </c>
      <c r="G433" s="4" t="s">
        <v>78</v>
      </c>
      <c r="H433" s="4" t="s">
        <v>79</v>
      </c>
      <c r="I433" s="4"/>
      <c r="J433" s="4"/>
      <c r="K433" s="4">
        <v>216</v>
      </c>
      <c r="L433" s="4">
        <v>8</v>
      </c>
      <c r="M433" s="4">
        <v>3</v>
      </c>
      <c r="N433" s="4" t="s">
        <v>3</v>
      </c>
      <c r="O433" s="4">
        <v>2</v>
      </c>
      <c r="P433" s="4"/>
      <c r="Q433" s="4"/>
      <c r="R433" s="4"/>
      <c r="S433" s="4"/>
      <c r="T433" s="4"/>
      <c r="U433" s="4"/>
      <c r="V433" s="4"/>
      <c r="W433" s="4">
        <v>0</v>
      </c>
      <c r="X433" s="4">
        <v>1</v>
      </c>
      <c r="Y433" s="4">
        <v>0</v>
      </c>
      <c r="Z433" s="4"/>
      <c r="AA433" s="4"/>
      <c r="AB433" s="4"/>
    </row>
    <row r="434" spans="1:28" x14ac:dyDescent="0.2">
      <c r="A434" s="4">
        <v>50</v>
      </c>
      <c r="B434" s="4">
        <v>0</v>
      </c>
      <c r="C434" s="4">
        <v>0</v>
      </c>
      <c r="D434" s="4">
        <v>1</v>
      </c>
      <c r="E434" s="4">
        <v>223</v>
      </c>
      <c r="F434" s="4">
        <f>ROUND(Source!AQ424,O434)</f>
        <v>0</v>
      </c>
      <c r="G434" s="4" t="s">
        <v>80</v>
      </c>
      <c r="H434" s="4" t="s">
        <v>81</v>
      </c>
      <c r="I434" s="4"/>
      <c r="J434" s="4"/>
      <c r="K434" s="4">
        <v>223</v>
      </c>
      <c r="L434" s="4">
        <v>9</v>
      </c>
      <c r="M434" s="4">
        <v>3</v>
      </c>
      <c r="N434" s="4" t="s">
        <v>3</v>
      </c>
      <c r="O434" s="4">
        <v>2</v>
      </c>
      <c r="P434" s="4"/>
      <c r="Q434" s="4"/>
      <c r="R434" s="4"/>
      <c r="S434" s="4"/>
      <c r="T434" s="4"/>
      <c r="U434" s="4"/>
      <c r="V434" s="4"/>
      <c r="W434" s="4">
        <v>0</v>
      </c>
      <c r="X434" s="4">
        <v>1</v>
      </c>
      <c r="Y434" s="4">
        <v>0</v>
      </c>
      <c r="Z434" s="4"/>
      <c r="AA434" s="4"/>
      <c r="AB434" s="4"/>
    </row>
    <row r="435" spans="1:28" x14ac:dyDescent="0.2">
      <c r="A435" s="4">
        <v>50</v>
      </c>
      <c r="B435" s="4">
        <v>0</v>
      </c>
      <c r="C435" s="4">
        <v>0</v>
      </c>
      <c r="D435" s="4">
        <v>1</v>
      </c>
      <c r="E435" s="4">
        <v>229</v>
      </c>
      <c r="F435" s="4">
        <f>ROUND(Source!AZ424,O435)</f>
        <v>0</v>
      </c>
      <c r="G435" s="4" t="s">
        <v>82</v>
      </c>
      <c r="H435" s="4" t="s">
        <v>83</v>
      </c>
      <c r="I435" s="4"/>
      <c r="J435" s="4"/>
      <c r="K435" s="4">
        <v>229</v>
      </c>
      <c r="L435" s="4">
        <v>10</v>
      </c>
      <c r="M435" s="4">
        <v>3</v>
      </c>
      <c r="N435" s="4" t="s">
        <v>3</v>
      </c>
      <c r="O435" s="4">
        <v>2</v>
      </c>
      <c r="P435" s="4"/>
      <c r="Q435" s="4"/>
      <c r="R435" s="4"/>
      <c r="S435" s="4"/>
      <c r="T435" s="4"/>
      <c r="U435" s="4"/>
      <c r="V435" s="4"/>
      <c r="W435" s="4">
        <v>0</v>
      </c>
      <c r="X435" s="4">
        <v>1</v>
      </c>
      <c r="Y435" s="4">
        <v>0</v>
      </c>
      <c r="Z435" s="4"/>
      <c r="AA435" s="4"/>
      <c r="AB435" s="4"/>
    </row>
    <row r="436" spans="1:28" x14ac:dyDescent="0.2">
      <c r="A436" s="4">
        <v>50</v>
      </c>
      <c r="B436" s="4">
        <v>0</v>
      </c>
      <c r="C436" s="4">
        <v>0</v>
      </c>
      <c r="D436" s="4">
        <v>1</v>
      </c>
      <c r="E436" s="4">
        <v>203</v>
      </c>
      <c r="F436" s="4">
        <f>ROUND(Source!Q424,O436)</f>
        <v>288.57</v>
      </c>
      <c r="G436" s="4" t="s">
        <v>84</v>
      </c>
      <c r="H436" s="4" t="s">
        <v>85</v>
      </c>
      <c r="I436" s="4"/>
      <c r="J436" s="4"/>
      <c r="K436" s="4">
        <v>203</v>
      </c>
      <c r="L436" s="4">
        <v>11</v>
      </c>
      <c r="M436" s="4">
        <v>3</v>
      </c>
      <c r="N436" s="4" t="s">
        <v>3</v>
      </c>
      <c r="O436" s="4">
        <v>2</v>
      </c>
      <c r="P436" s="4"/>
      <c r="Q436" s="4"/>
      <c r="R436" s="4"/>
      <c r="S436" s="4"/>
      <c r="T436" s="4"/>
      <c r="U436" s="4"/>
      <c r="V436" s="4"/>
      <c r="W436" s="4">
        <v>288.57</v>
      </c>
      <c r="X436" s="4">
        <v>1</v>
      </c>
      <c r="Y436" s="4">
        <v>288.57</v>
      </c>
      <c r="Z436" s="4"/>
      <c r="AA436" s="4"/>
      <c r="AB436" s="4"/>
    </row>
    <row r="437" spans="1:28" x14ac:dyDescent="0.2">
      <c r="A437" s="4">
        <v>50</v>
      </c>
      <c r="B437" s="4">
        <v>0</v>
      </c>
      <c r="C437" s="4">
        <v>0</v>
      </c>
      <c r="D437" s="4">
        <v>1</v>
      </c>
      <c r="E437" s="4">
        <v>231</v>
      </c>
      <c r="F437" s="4">
        <f>ROUND(Source!BB424,O437)</f>
        <v>0</v>
      </c>
      <c r="G437" s="4" t="s">
        <v>86</v>
      </c>
      <c r="H437" s="4" t="s">
        <v>87</v>
      </c>
      <c r="I437" s="4"/>
      <c r="J437" s="4"/>
      <c r="K437" s="4">
        <v>231</v>
      </c>
      <c r="L437" s="4">
        <v>12</v>
      </c>
      <c r="M437" s="4">
        <v>3</v>
      </c>
      <c r="N437" s="4" t="s">
        <v>3</v>
      </c>
      <c r="O437" s="4">
        <v>2</v>
      </c>
      <c r="P437" s="4"/>
      <c r="Q437" s="4"/>
      <c r="R437" s="4"/>
      <c r="S437" s="4"/>
      <c r="T437" s="4"/>
      <c r="U437" s="4"/>
      <c r="V437" s="4"/>
      <c r="W437" s="4">
        <v>0</v>
      </c>
      <c r="X437" s="4">
        <v>1</v>
      </c>
      <c r="Y437" s="4">
        <v>0</v>
      </c>
      <c r="Z437" s="4"/>
      <c r="AA437" s="4"/>
      <c r="AB437" s="4"/>
    </row>
    <row r="438" spans="1:28" x14ac:dyDescent="0.2">
      <c r="A438" s="4">
        <v>50</v>
      </c>
      <c r="B438" s="4">
        <v>0</v>
      </c>
      <c r="C438" s="4">
        <v>0</v>
      </c>
      <c r="D438" s="4">
        <v>1</v>
      </c>
      <c r="E438" s="4">
        <v>204</v>
      </c>
      <c r="F438" s="4">
        <f>ROUND(Source!R424,O438)</f>
        <v>91.01</v>
      </c>
      <c r="G438" s="4" t="s">
        <v>88</v>
      </c>
      <c r="H438" s="4" t="s">
        <v>89</v>
      </c>
      <c r="I438" s="4"/>
      <c r="J438" s="4"/>
      <c r="K438" s="4">
        <v>204</v>
      </c>
      <c r="L438" s="4">
        <v>13</v>
      </c>
      <c r="M438" s="4">
        <v>3</v>
      </c>
      <c r="N438" s="4" t="s">
        <v>3</v>
      </c>
      <c r="O438" s="4">
        <v>2</v>
      </c>
      <c r="P438" s="4"/>
      <c r="Q438" s="4"/>
      <c r="R438" s="4"/>
      <c r="S438" s="4"/>
      <c r="T438" s="4"/>
      <c r="U438" s="4"/>
      <c r="V438" s="4"/>
      <c r="W438" s="4">
        <v>91.01</v>
      </c>
      <c r="X438" s="4">
        <v>1</v>
      </c>
      <c r="Y438" s="4">
        <v>91.01</v>
      </c>
      <c r="Z438" s="4"/>
      <c r="AA438" s="4"/>
      <c r="AB438" s="4"/>
    </row>
    <row r="439" spans="1:28" x14ac:dyDescent="0.2">
      <c r="A439" s="4">
        <v>50</v>
      </c>
      <c r="B439" s="4">
        <v>0</v>
      </c>
      <c r="C439" s="4">
        <v>0</v>
      </c>
      <c r="D439" s="4">
        <v>1</v>
      </c>
      <c r="E439" s="4">
        <v>205</v>
      </c>
      <c r="F439" s="4">
        <f>ROUND(Source!S424,O439)</f>
        <v>108458.14</v>
      </c>
      <c r="G439" s="4" t="s">
        <v>90</v>
      </c>
      <c r="H439" s="4" t="s">
        <v>91</v>
      </c>
      <c r="I439" s="4"/>
      <c r="J439" s="4"/>
      <c r="K439" s="4">
        <v>205</v>
      </c>
      <c r="L439" s="4">
        <v>14</v>
      </c>
      <c r="M439" s="4">
        <v>3</v>
      </c>
      <c r="N439" s="4" t="s">
        <v>3</v>
      </c>
      <c r="O439" s="4">
        <v>2</v>
      </c>
      <c r="P439" s="4"/>
      <c r="Q439" s="4"/>
      <c r="R439" s="4"/>
      <c r="S439" s="4"/>
      <c r="T439" s="4"/>
      <c r="U439" s="4"/>
      <c r="V439" s="4"/>
      <c r="W439" s="4">
        <v>108458.14</v>
      </c>
      <c r="X439" s="4">
        <v>1</v>
      </c>
      <c r="Y439" s="4">
        <v>108458.14</v>
      </c>
      <c r="Z439" s="4"/>
      <c r="AA439" s="4"/>
      <c r="AB439" s="4"/>
    </row>
    <row r="440" spans="1:28" x14ac:dyDescent="0.2">
      <c r="A440" s="4">
        <v>50</v>
      </c>
      <c r="B440" s="4">
        <v>0</v>
      </c>
      <c r="C440" s="4">
        <v>0</v>
      </c>
      <c r="D440" s="4">
        <v>1</v>
      </c>
      <c r="E440" s="4">
        <v>232</v>
      </c>
      <c r="F440" s="4">
        <f>ROUND(Source!BC424,O440)</f>
        <v>0</v>
      </c>
      <c r="G440" s="4" t="s">
        <v>92</v>
      </c>
      <c r="H440" s="4" t="s">
        <v>93</v>
      </c>
      <c r="I440" s="4"/>
      <c r="J440" s="4"/>
      <c r="K440" s="4">
        <v>232</v>
      </c>
      <c r="L440" s="4">
        <v>15</v>
      </c>
      <c r="M440" s="4">
        <v>3</v>
      </c>
      <c r="N440" s="4" t="s">
        <v>3</v>
      </c>
      <c r="O440" s="4">
        <v>2</v>
      </c>
      <c r="P440" s="4"/>
      <c r="Q440" s="4"/>
      <c r="R440" s="4"/>
      <c r="S440" s="4"/>
      <c r="T440" s="4"/>
      <c r="U440" s="4"/>
      <c r="V440" s="4"/>
      <c r="W440" s="4">
        <v>0</v>
      </c>
      <c r="X440" s="4">
        <v>1</v>
      </c>
      <c r="Y440" s="4">
        <v>0</v>
      </c>
      <c r="Z440" s="4"/>
      <c r="AA440" s="4"/>
      <c r="AB440" s="4"/>
    </row>
    <row r="441" spans="1:28" x14ac:dyDescent="0.2">
      <c r="A441" s="4">
        <v>50</v>
      </c>
      <c r="B441" s="4">
        <v>0</v>
      </c>
      <c r="C441" s="4">
        <v>0</v>
      </c>
      <c r="D441" s="4">
        <v>1</v>
      </c>
      <c r="E441" s="4">
        <v>214</v>
      </c>
      <c r="F441" s="4">
        <f>ROUND(Source!AS424,O441)</f>
        <v>0</v>
      </c>
      <c r="G441" s="4" t="s">
        <v>94</v>
      </c>
      <c r="H441" s="4" t="s">
        <v>95</v>
      </c>
      <c r="I441" s="4"/>
      <c r="J441" s="4"/>
      <c r="K441" s="4">
        <v>214</v>
      </c>
      <c r="L441" s="4">
        <v>16</v>
      </c>
      <c r="M441" s="4">
        <v>3</v>
      </c>
      <c r="N441" s="4" t="s">
        <v>3</v>
      </c>
      <c r="O441" s="4">
        <v>2</v>
      </c>
      <c r="P441" s="4"/>
      <c r="Q441" s="4"/>
      <c r="R441" s="4"/>
      <c r="S441" s="4"/>
      <c r="T441" s="4"/>
      <c r="U441" s="4"/>
      <c r="V441" s="4"/>
      <c r="W441" s="4">
        <v>0</v>
      </c>
      <c r="X441" s="4">
        <v>1</v>
      </c>
      <c r="Y441" s="4">
        <v>0</v>
      </c>
      <c r="Z441" s="4"/>
      <c r="AA441" s="4"/>
      <c r="AB441" s="4"/>
    </row>
    <row r="442" spans="1:28" x14ac:dyDescent="0.2">
      <c r="A442" s="4">
        <v>50</v>
      </c>
      <c r="B442" s="4">
        <v>0</v>
      </c>
      <c r="C442" s="4">
        <v>0</v>
      </c>
      <c r="D442" s="4">
        <v>1</v>
      </c>
      <c r="E442" s="4">
        <v>215</v>
      </c>
      <c r="F442" s="4">
        <f>ROUND(Source!AT424,O442)</f>
        <v>0</v>
      </c>
      <c r="G442" s="4" t="s">
        <v>96</v>
      </c>
      <c r="H442" s="4" t="s">
        <v>97</v>
      </c>
      <c r="I442" s="4"/>
      <c r="J442" s="4"/>
      <c r="K442" s="4">
        <v>215</v>
      </c>
      <c r="L442" s="4">
        <v>17</v>
      </c>
      <c r="M442" s="4">
        <v>3</v>
      </c>
      <c r="N442" s="4" t="s">
        <v>3</v>
      </c>
      <c r="O442" s="4">
        <v>2</v>
      </c>
      <c r="P442" s="4"/>
      <c r="Q442" s="4"/>
      <c r="R442" s="4"/>
      <c r="S442" s="4"/>
      <c r="T442" s="4"/>
      <c r="U442" s="4"/>
      <c r="V442" s="4"/>
      <c r="W442" s="4">
        <v>0</v>
      </c>
      <c r="X442" s="4">
        <v>1</v>
      </c>
      <c r="Y442" s="4">
        <v>0</v>
      </c>
      <c r="Z442" s="4"/>
      <c r="AA442" s="4"/>
      <c r="AB442" s="4"/>
    </row>
    <row r="443" spans="1:28" x14ac:dyDescent="0.2">
      <c r="A443" s="4">
        <v>50</v>
      </c>
      <c r="B443" s="4">
        <v>0</v>
      </c>
      <c r="C443" s="4">
        <v>0</v>
      </c>
      <c r="D443" s="4">
        <v>1</v>
      </c>
      <c r="E443" s="4">
        <v>217</v>
      </c>
      <c r="F443" s="4">
        <f>ROUND(Source!AU424,O443)</f>
        <v>383628.37</v>
      </c>
      <c r="G443" s="4" t="s">
        <v>98</v>
      </c>
      <c r="H443" s="4" t="s">
        <v>99</v>
      </c>
      <c r="I443" s="4"/>
      <c r="J443" s="4"/>
      <c r="K443" s="4">
        <v>217</v>
      </c>
      <c r="L443" s="4">
        <v>18</v>
      </c>
      <c r="M443" s="4">
        <v>3</v>
      </c>
      <c r="N443" s="4" t="s">
        <v>3</v>
      </c>
      <c r="O443" s="4">
        <v>2</v>
      </c>
      <c r="P443" s="4"/>
      <c r="Q443" s="4"/>
      <c r="R443" s="4"/>
      <c r="S443" s="4"/>
      <c r="T443" s="4"/>
      <c r="U443" s="4"/>
      <c r="V443" s="4"/>
      <c r="W443" s="4">
        <v>383628.37</v>
      </c>
      <c r="X443" s="4">
        <v>1</v>
      </c>
      <c r="Y443" s="4">
        <v>383628.37</v>
      </c>
      <c r="Z443" s="4"/>
      <c r="AA443" s="4"/>
      <c r="AB443" s="4"/>
    </row>
    <row r="444" spans="1:28" x14ac:dyDescent="0.2">
      <c r="A444" s="4">
        <v>50</v>
      </c>
      <c r="B444" s="4">
        <v>0</v>
      </c>
      <c r="C444" s="4">
        <v>0</v>
      </c>
      <c r="D444" s="4">
        <v>1</v>
      </c>
      <c r="E444" s="4">
        <v>230</v>
      </c>
      <c r="F444" s="4">
        <f>ROUND(Source!BA424,O444)</f>
        <v>0</v>
      </c>
      <c r="G444" s="4" t="s">
        <v>100</v>
      </c>
      <c r="H444" s="4" t="s">
        <v>101</v>
      </c>
      <c r="I444" s="4"/>
      <c r="J444" s="4"/>
      <c r="K444" s="4">
        <v>230</v>
      </c>
      <c r="L444" s="4">
        <v>19</v>
      </c>
      <c r="M444" s="4">
        <v>3</v>
      </c>
      <c r="N444" s="4" t="s">
        <v>3</v>
      </c>
      <c r="O444" s="4">
        <v>2</v>
      </c>
      <c r="P444" s="4"/>
      <c r="Q444" s="4"/>
      <c r="R444" s="4"/>
      <c r="S444" s="4"/>
      <c r="T444" s="4"/>
      <c r="U444" s="4"/>
      <c r="V444" s="4"/>
      <c r="W444" s="4">
        <v>0</v>
      </c>
      <c r="X444" s="4">
        <v>1</v>
      </c>
      <c r="Y444" s="4">
        <v>0</v>
      </c>
      <c r="Z444" s="4"/>
      <c r="AA444" s="4"/>
      <c r="AB444" s="4"/>
    </row>
    <row r="445" spans="1:28" x14ac:dyDescent="0.2">
      <c r="A445" s="4">
        <v>50</v>
      </c>
      <c r="B445" s="4">
        <v>0</v>
      </c>
      <c r="C445" s="4">
        <v>0</v>
      </c>
      <c r="D445" s="4">
        <v>1</v>
      </c>
      <c r="E445" s="4">
        <v>206</v>
      </c>
      <c r="F445" s="4">
        <f>ROUND(Source!T424,O445)</f>
        <v>0</v>
      </c>
      <c r="G445" s="4" t="s">
        <v>102</v>
      </c>
      <c r="H445" s="4" t="s">
        <v>103</v>
      </c>
      <c r="I445" s="4"/>
      <c r="J445" s="4"/>
      <c r="K445" s="4">
        <v>206</v>
      </c>
      <c r="L445" s="4">
        <v>20</v>
      </c>
      <c r="M445" s="4">
        <v>3</v>
      </c>
      <c r="N445" s="4" t="s">
        <v>3</v>
      </c>
      <c r="O445" s="4">
        <v>2</v>
      </c>
      <c r="P445" s="4"/>
      <c r="Q445" s="4"/>
      <c r="R445" s="4"/>
      <c r="S445" s="4"/>
      <c r="T445" s="4"/>
      <c r="U445" s="4"/>
      <c r="V445" s="4"/>
      <c r="W445" s="4">
        <v>0</v>
      </c>
      <c r="X445" s="4">
        <v>1</v>
      </c>
      <c r="Y445" s="4">
        <v>0</v>
      </c>
      <c r="Z445" s="4"/>
      <c r="AA445" s="4"/>
      <c r="AB445" s="4"/>
    </row>
    <row r="446" spans="1:28" x14ac:dyDescent="0.2">
      <c r="A446" s="4">
        <v>50</v>
      </c>
      <c r="B446" s="4">
        <v>0</v>
      </c>
      <c r="C446" s="4">
        <v>0</v>
      </c>
      <c r="D446" s="4">
        <v>1</v>
      </c>
      <c r="E446" s="4">
        <v>207</v>
      </c>
      <c r="F446" s="4">
        <f>Source!U424</f>
        <v>347.447024</v>
      </c>
      <c r="G446" s="4" t="s">
        <v>104</v>
      </c>
      <c r="H446" s="4" t="s">
        <v>105</v>
      </c>
      <c r="I446" s="4"/>
      <c r="J446" s="4"/>
      <c r="K446" s="4">
        <v>207</v>
      </c>
      <c r="L446" s="4">
        <v>21</v>
      </c>
      <c r="M446" s="4">
        <v>3</v>
      </c>
      <c r="N446" s="4" t="s">
        <v>3</v>
      </c>
      <c r="O446" s="4">
        <v>-1</v>
      </c>
      <c r="P446" s="4"/>
      <c r="Q446" s="4"/>
      <c r="R446" s="4"/>
      <c r="S446" s="4"/>
      <c r="T446" s="4"/>
      <c r="U446" s="4"/>
      <c r="V446" s="4"/>
      <c r="W446" s="4">
        <v>347.44702400000011</v>
      </c>
      <c r="X446" s="4">
        <v>1</v>
      </c>
      <c r="Y446" s="4">
        <v>347.44702400000011</v>
      </c>
      <c r="Z446" s="4"/>
      <c r="AA446" s="4"/>
      <c r="AB446" s="4"/>
    </row>
    <row r="447" spans="1:28" x14ac:dyDescent="0.2">
      <c r="A447" s="4">
        <v>50</v>
      </c>
      <c r="B447" s="4">
        <v>0</v>
      </c>
      <c r="C447" s="4">
        <v>0</v>
      </c>
      <c r="D447" s="4">
        <v>1</v>
      </c>
      <c r="E447" s="4">
        <v>208</v>
      </c>
      <c r="F447" s="4">
        <f>Source!V424</f>
        <v>0</v>
      </c>
      <c r="G447" s="4" t="s">
        <v>106</v>
      </c>
      <c r="H447" s="4" t="s">
        <v>107</v>
      </c>
      <c r="I447" s="4"/>
      <c r="J447" s="4"/>
      <c r="K447" s="4">
        <v>208</v>
      </c>
      <c r="L447" s="4">
        <v>22</v>
      </c>
      <c r="M447" s="4">
        <v>3</v>
      </c>
      <c r="N447" s="4" t="s">
        <v>3</v>
      </c>
      <c r="O447" s="4">
        <v>-1</v>
      </c>
      <c r="P447" s="4"/>
      <c r="Q447" s="4"/>
      <c r="R447" s="4"/>
      <c r="S447" s="4"/>
      <c r="T447" s="4"/>
      <c r="U447" s="4"/>
      <c r="V447" s="4"/>
      <c r="W447" s="4">
        <v>0</v>
      </c>
      <c r="X447" s="4">
        <v>1</v>
      </c>
      <c r="Y447" s="4">
        <v>0</v>
      </c>
      <c r="Z447" s="4"/>
      <c r="AA447" s="4"/>
      <c r="AB447" s="4"/>
    </row>
    <row r="448" spans="1:28" x14ac:dyDescent="0.2">
      <c r="A448" s="4">
        <v>50</v>
      </c>
      <c r="B448" s="4">
        <v>0</v>
      </c>
      <c r="C448" s="4">
        <v>0</v>
      </c>
      <c r="D448" s="4">
        <v>1</v>
      </c>
      <c r="E448" s="4">
        <v>209</v>
      </c>
      <c r="F448" s="4">
        <f>ROUND(Source!W424,O448)</f>
        <v>0</v>
      </c>
      <c r="G448" s="4" t="s">
        <v>108</v>
      </c>
      <c r="H448" s="4" t="s">
        <v>109</v>
      </c>
      <c r="I448" s="4"/>
      <c r="J448" s="4"/>
      <c r="K448" s="4">
        <v>209</v>
      </c>
      <c r="L448" s="4">
        <v>23</v>
      </c>
      <c r="M448" s="4">
        <v>3</v>
      </c>
      <c r="N448" s="4" t="s">
        <v>3</v>
      </c>
      <c r="O448" s="4">
        <v>2</v>
      </c>
      <c r="P448" s="4"/>
      <c r="Q448" s="4"/>
      <c r="R448" s="4"/>
      <c r="S448" s="4"/>
      <c r="T448" s="4"/>
      <c r="U448" s="4"/>
      <c r="V448" s="4"/>
      <c r="W448" s="4">
        <v>0</v>
      </c>
      <c r="X448" s="4">
        <v>1</v>
      </c>
      <c r="Y448" s="4">
        <v>0</v>
      </c>
      <c r="Z448" s="4"/>
      <c r="AA448" s="4"/>
      <c r="AB448" s="4"/>
    </row>
    <row r="449" spans="1:245" x14ac:dyDescent="0.2">
      <c r="A449" s="4">
        <v>50</v>
      </c>
      <c r="B449" s="4">
        <v>0</v>
      </c>
      <c r="C449" s="4">
        <v>0</v>
      </c>
      <c r="D449" s="4">
        <v>1</v>
      </c>
      <c r="E449" s="4">
        <v>233</v>
      </c>
      <c r="F449" s="4">
        <f>ROUND(Source!BD424,O449)</f>
        <v>0</v>
      </c>
      <c r="G449" s="4" t="s">
        <v>110</v>
      </c>
      <c r="H449" s="4" t="s">
        <v>111</v>
      </c>
      <c r="I449" s="4"/>
      <c r="J449" s="4"/>
      <c r="K449" s="4">
        <v>233</v>
      </c>
      <c r="L449" s="4">
        <v>24</v>
      </c>
      <c r="M449" s="4">
        <v>3</v>
      </c>
      <c r="N449" s="4" t="s">
        <v>3</v>
      </c>
      <c r="O449" s="4">
        <v>2</v>
      </c>
      <c r="P449" s="4"/>
      <c r="Q449" s="4"/>
      <c r="R449" s="4"/>
      <c r="S449" s="4"/>
      <c r="T449" s="4"/>
      <c r="U449" s="4"/>
      <c r="V449" s="4"/>
      <c r="W449" s="4">
        <v>0</v>
      </c>
      <c r="X449" s="4">
        <v>1</v>
      </c>
      <c r="Y449" s="4">
        <v>0</v>
      </c>
      <c r="Z449" s="4"/>
      <c r="AA449" s="4"/>
      <c r="AB449" s="4"/>
    </row>
    <row r="450" spans="1:245" x14ac:dyDescent="0.2">
      <c r="A450" s="4">
        <v>50</v>
      </c>
      <c r="B450" s="4">
        <v>0</v>
      </c>
      <c r="C450" s="4">
        <v>0</v>
      </c>
      <c r="D450" s="4">
        <v>1</v>
      </c>
      <c r="E450" s="4">
        <v>210</v>
      </c>
      <c r="F450" s="4">
        <f>ROUND(Source!X424,O450)</f>
        <v>75920.7</v>
      </c>
      <c r="G450" s="4" t="s">
        <v>112</v>
      </c>
      <c r="H450" s="4" t="s">
        <v>113</v>
      </c>
      <c r="I450" s="4"/>
      <c r="J450" s="4"/>
      <c r="K450" s="4">
        <v>210</v>
      </c>
      <c r="L450" s="4">
        <v>25</v>
      </c>
      <c r="M450" s="4">
        <v>3</v>
      </c>
      <c r="N450" s="4" t="s">
        <v>3</v>
      </c>
      <c r="O450" s="4">
        <v>2</v>
      </c>
      <c r="P450" s="4"/>
      <c r="Q450" s="4"/>
      <c r="R450" s="4"/>
      <c r="S450" s="4"/>
      <c r="T450" s="4"/>
      <c r="U450" s="4"/>
      <c r="V450" s="4"/>
      <c r="W450" s="4">
        <v>75920.7</v>
      </c>
      <c r="X450" s="4">
        <v>1</v>
      </c>
      <c r="Y450" s="4">
        <v>75920.7</v>
      </c>
      <c r="Z450" s="4"/>
      <c r="AA450" s="4"/>
      <c r="AB450" s="4"/>
    </row>
    <row r="451" spans="1:245" x14ac:dyDescent="0.2">
      <c r="A451" s="4">
        <v>50</v>
      </c>
      <c r="B451" s="4">
        <v>0</v>
      </c>
      <c r="C451" s="4">
        <v>0</v>
      </c>
      <c r="D451" s="4">
        <v>1</v>
      </c>
      <c r="E451" s="4">
        <v>211</v>
      </c>
      <c r="F451" s="4">
        <f>ROUND(Source!Y424,O451)</f>
        <v>10845.82</v>
      </c>
      <c r="G451" s="4" t="s">
        <v>114</v>
      </c>
      <c r="H451" s="4" t="s">
        <v>115</v>
      </c>
      <c r="I451" s="4"/>
      <c r="J451" s="4"/>
      <c r="K451" s="4">
        <v>211</v>
      </c>
      <c r="L451" s="4">
        <v>26</v>
      </c>
      <c r="M451" s="4">
        <v>3</v>
      </c>
      <c r="N451" s="4" t="s">
        <v>3</v>
      </c>
      <c r="O451" s="4">
        <v>2</v>
      </c>
      <c r="P451" s="4"/>
      <c r="Q451" s="4"/>
      <c r="R451" s="4"/>
      <c r="S451" s="4"/>
      <c r="T451" s="4"/>
      <c r="U451" s="4"/>
      <c r="V451" s="4"/>
      <c r="W451" s="4">
        <v>10845.82</v>
      </c>
      <c r="X451" s="4">
        <v>1</v>
      </c>
      <c r="Y451" s="4">
        <v>10845.82</v>
      </c>
      <c r="Z451" s="4"/>
      <c r="AA451" s="4"/>
      <c r="AB451" s="4"/>
    </row>
    <row r="452" spans="1:245" x14ac:dyDescent="0.2">
      <c r="A452" s="4">
        <v>50</v>
      </c>
      <c r="B452" s="4">
        <v>0</v>
      </c>
      <c r="C452" s="4">
        <v>0</v>
      </c>
      <c r="D452" s="4">
        <v>1</v>
      </c>
      <c r="E452" s="4">
        <v>224</v>
      </c>
      <c r="F452" s="4">
        <f>ROUND(Source!AR424,O452)</f>
        <v>383628.37</v>
      </c>
      <c r="G452" s="4" t="s">
        <v>116</v>
      </c>
      <c r="H452" s="4" t="s">
        <v>117</v>
      </c>
      <c r="I452" s="4"/>
      <c r="J452" s="4"/>
      <c r="K452" s="4">
        <v>224</v>
      </c>
      <c r="L452" s="4">
        <v>27</v>
      </c>
      <c r="M452" s="4">
        <v>3</v>
      </c>
      <c r="N452" s="4" t="s">
        <v>3</v>
      </c>
      <c r="O452" s="4">
        <v>2</v>
      </c>
      <c r="P452" s="4"/>
      <c r="Q452" s="4"/>
      <c r="R452" s="4"/>
      <c r="S452" s="4"/>
      <c r="T452" s="4"/>
      <c r="U452" s="4"/>
      <c r="V452" s="4"/>
      <c r="W452" s="4">
        <v>383628.37</v>
      </c>
      <c r="X452" s="4">
        <v>1</v>
      </c>
      <c r="Y452" s="4">
        <v>383628.37</v>
      </c>
      <c r="Z452" s="4"/>
      <c r="AA452" s="4"/>
      <c r="AB452" s="4"/>
    </row>
    <row r="454" spans="1:245" x14ac:dyDescent="0.2">
      <c r="A454" s="1">
        <v>4</v>
      </c>
      <c r="B454" s="1">
        <v>1</v>
      </c>
      <c r="C454" s="1"/>
      <c r="D454" s="1">
        <f>ROW(A462)</f>
        <v>462</v>
      </c>
      <c r="E454" s="1"/>
      <c r="F454" s="1" t="s">
        <v>13</v>
      </c>
      <c r="G454" s="1" t="s">
        <v>331</v>
      </c>
      <c r="H454" s="1" t="s">
        <v>3</v>
      </c>
      <c r="I454" s="1">
        <v>0</v>
      </c>
      <c r="J454" s="1"/>
      <c r="K454" s="1">
        <v>0</v>
      </c>
      <c r="L454" s="1"/>
      <c r="M454" s="1" t="s">
        <v>3</v>
      </c>
      <c r="N454" s="1"/>
      <c r="O454" s="1"/>
      <c r="P454" s="1"/>
      <c r="Q454" s="1"/>
      <c r="R454" s="1"/>
      <c r="S454" s="1">
        <v>0</v>
      </c>
      <c r="T454" s="1"/>
      <c r="U454" s="1" t="s">
        <v>3</v>
      </c>
      <c r="V454" s="1">
        <v>0</v>
      </c>
      <c r="W454" s="1"/>
      <c r="X454" s="1"/>
      <c r="Y454" s="1"/>
      <c r="Z454" s="1"/>
      <c r="AA454" s="1"/>
      <c r="AB454" s="1" t="s">
        <v>3</v>
      </c>
      <c r="AC454" s="1" t="s">
        <v>3</v>
      </c>
      <c r="AD454" s="1" t="s">
        <v>3</v>
      </c>
      <c r="AE454" s="1" t="s">
        <v>3</v>
      </c>
      <c r="AF454" s="1" t="s">
        <v>3</v>
      </c>
      <c r="AG454" s="1" t="s">
        <v>3</v>
      </c>
      <c r="AH454" s="1"/>
      <c r="AI454" s="1"/>
      <c r="AJ454" s="1"/>
      <c r="AK454" s="1"/>
      <c r="AL454" s="1"/>
      <c r="AM454" s="1"/>
      <c r="AN454" s="1"/>
      <c r="AO454" s="1"/>
      <c r="AP454" s="1" t="s">
        <v>3</v>
      </c>
      <c r="AQ454" s="1" t="s">
        <v>3</v>
      </c>
      <c r="AR454" s="1" t="s">
        <v>3</v>
      </c>
      <c r="AS454" s="1"/>
      <c r="AT454" s="1"/>
      <c r="AU454" s="1"/>
      <c r="AV454" s="1"/>
      <c r="AW454" s="1"/>
      <c r="AX454" s="1"/>
      <c r="AY454" s="1"/>
      <c r="AZ454" s="1" t="s">
        <v>3</v>
      </c>
      <c r="BA454" s="1"/>
      <c r="BB454" s="1" t="s">
        <v>3</v>
      </c>
      <c r="BC454" s="1" t="s">
        <v>3</v>
      </c>
      <c r="BD454" s="1" t="s">
        <v>3</v>
      </c>
      <c r="BE454" s="1" t="s">
        <v>3</v>
      </c>
      <c r="BF454" s="1" t="s">
        <v>3</v>
      </c>
      <c r="BG454" s="1" t="s">
        <v>3</v>
      </c>
      <c r="BH454" s="1" t="s">
        <v>3</v>
      </c>
      <c r="BI454" s="1" t="s">
        <v>3</v>
      </c>
      <c r="BJ454" s="1" t="s">
        <v>3</v>
      </c>
      <c r="BK454" s="1" t="s">
        <v>3</v>
      </c>
      <c r="BL454" s="1" t="s">
        <v>3</v>
      </c>
      <c r="BM454" s="1" t="s">
        <v>3</v>
      </c>
      <c r="BN454" s="1" t="s">
        <v>3</v>
      </c>
      <c r="BO454" s="1" t="s">
        <v>3</v>
      </c>
      <c r="BP454" s="1" t="s">
        <v>3</v>
      </c>
      <c r="BQ454" s="1"/>
      <c r="BR454" s="1"/>
      <c r="BS454" s="1"/>
      <c r="BT454" s="1"/>
      <c r="BU454" s="1"/>
      <c r="BV454" s="1"/>
      <c r="BW454" s="1"/>
      <c r="BX454" s="1">
        <v>0</v>
      </c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>
        <v>0</v>
      </c>
    </row>
    <row r="456" spans="1:245" x14ac:dyDescent="0.2">
      <c r="A456" s="2">
        <v>52</v>
      </c>
      <c r="B456" s="2">
        <f t="shared" ref="B456:G456" si="407">B462</f>
        <v>1</v>
      </c>
      <c r="C456" s="2">
        <f t="shared" si="407"/>
        <v>4</v>
      </c>
      <c r="D456" s="2">
        <f t="shared" si="407"/>
        <v>454</v>
      </c>
      <c r="E456" s="2">
        <f t="shared" si="407"/>
        <v>0</v>
      </c>
      <c r="F456" s="2" t="str">
        <f t="shared" si="407"/>
        <v>Новый раздел</v>
      </c>
      <c r="G456" s="2" t="str">
        <f t="shared" si="407"/>
        <v>3. Вывоз мусора</v>
      </c>
      <c r="H456" s="2"/>
      <c r="I456" s="2"/>
      <c r="J456" s="2"/>
      <c r="K456" s="2"/>
      <c r="L456" s="2"/>
      <c r="M456" s="2"/>
      <c r="N456" s="2"/>
      <c r="O456" s="2">
        <f t="shared" ref="O456:AT456" si="408">O462</f>
        <v>4860.6099999999997</v>
      </c>
      <c r="P456" s="2">
        <f t="shared" si="408"/>
        <v>0</v>
      </c>
      <c r="Q456" s="2">
        <f t="shared" si="408"/>
        <v>4860.6099999999997</v>
      </c>
      <c r="R456" s="2">
        <f t="shared" si="408"/>
        <v>2600.34</v>
      </c>
      <c r="S456" s="2">
        <f t="shared" si="408"/>
        <v>0</v>
      </c>
      <c r="T456" s="2">
        <f t="shared" si="408"/>
        <v>0</v>
      </c>
      <c r="U456" s="2">
        <f t="shared" si="408"/>
        <v>0</v>
      </c>
      <c r="V456" s="2">
        <f t="shared" si="408"/>
        <v>0</v>
      </c>
      <c r="W456" s="2">
        <f t="shared" si="408"/>
        <v>0</v>
      </c>
      <c r="X456" s="2">
        <f t="shared" si="408"/>
        <v>0</v>
      </c>
      <c r="Y456" s="2">
        <f t="shared" si="408"/>
        <v>0</v>
      </c>
      <c r="Z456" s="2">
        <f t="shared" si="408"/>
        <v>0</v>
      </c>
      <c r="AA456" s="2">
        <f t="shared" si="408"/>
        <v>0</v>
      </c>
      <c r="AB456" s="2">
        <f t="shared" si="408"/>
        <v>4860.6099999999997</v>
      </c>
      <c r="AC456" s="2">
        <f t="shared" si="408"/>
        <v>0</v>
      </c>
      <c r="AD456" s="2">
        <f t="shared" si="408"/>
        <v>4860.6099999999997</v>
      </c>
      <c r="AE456" s="2">
        <f t="shared" si="408"/>
        <v>2600.34</v>
      </c>
      <c r="AF456" s="2">
        <f t="shared" si="408"/>
        <v>0</v>
      </c>
      <c r="AG456" s="2">
        <f t="shared" si="408"/>
        <v>0</v>
      </c>
      <c r="AH456" s="2">
        <f t="shared" si="408"/>
        <v>0</v>
      </c>
      <c r="AI456" s="2">
        <f t="shared" si="408"/>
        <v>0</v>
      </c>
      <c r="AJ456" s="2">
        <f t="shared" si="408"/>
        <v>0</v>
      </c>
      <c r="AK456" s="2">
        <f t="shared" si="408"/>
        <v>0</v>
      </c>
      <c r="AL456" s="2">
        <f t="shared" si="408"/>
        <v>0</v>
      </c>
      <c r="AM456" s="2">
        <f t="shared" si="408"/>
        <v>0</v>
      </c>
      <c r="AN456" s="2">
        <f t="shared" si="408"/>
        <v>0</v>
      </c>
      <c r="AO456" s="2">
        <f t="shared" si="408"/>
        <v>0</v>
      </c>
      <c r="AP456" s="2">
        <f t="shared" si="408"/>
        <v>0</v>
      </c>
      <c r="AQ456" s="2">
        <f t="shared" si="408"/>
        <v>0</v>
      </c>
      <c r="AR456" s="2">
        <f t="shared" si="408"/>
        <v>4966.88</v>
      </c>
      <c r="AS456" s="2">
        <f t="shared" si="408"/>
        <v>0</v>
      </c>
      <c r="AT456" s="2">
        <f t="shared" si="408"/>
        <v>0</v>
      </c>
      <c r="AU456" s="2">
        <f t="shared" ref="AU456:BZ456" si="409">AU462</f>
        <v>4966.88</v>
      </c>
      <c r="AV456" s="2">
        <f t="shared" si="409"/>
        <v>0</v>
      </c>
      <c r="AW456" s="2">
        <f t="shared" si="409"/>
        <v>0</v>
      </c>
      <c r="AX456" s="2">
        <f t="shared" si="409"/>
        <v>0</v>
      </c>
      <c r="AY456" s="2">
        <f t="shared" si="409"/>
        <v>0</v>
      </c>
      <c r="AZ456" s="2">
        <f t="shared" si="409"/>
        <v>0</v>
      </c>
      <c r="BA456" s="2">
        <f t="shared" si="409"/>
        <v>0</v>
      </c>
      <c r="BB456" s="2">
        <f t="shared" si="409"/>
        <v>0</v>
      </c>
      <c r="BC456" s="2">
        <f t="shared" si="409"/>
        <v>0</v>
      </c>
      <c r="BD456" s="2">
        <f t="shared" si="409"/>
        <v>0</v>
      </c>
      <c r="BE456" s="2">
        <f t="shared" si="409"/>
        <v>0</v>
      </c>
      <c r="BF456" s="2">
        <f t="shared" si="409"/>
        <v>0</v>
      </c>
      <c r="BG456" s="2">
        <f t="shared" si="409"/>
        <v>0</v>
      </c>
      <c r="BH456" s="2">
        <f t="shared" si="409"/>
        <v>0</v>
      </c>
      <c r="BI456" s="2">
        <f t="shared" si="409"/>
        <v>0</v>
      </c>
      <c r="BJ456" s="2">
        <f t="shared" si="409"/>
        <v>0</v>
      </c>
      <c r="BK456" s="2">
        <f t="shared" si="409"/>
        <v>0</v>
      </c>
      <c r="BL456" s="2">
        <f t="shared" si="409"/>
        <v>0</v>
      </c>
      <c r="BM456" s="2">
        <f t="shared" si="409"/>
        <v>0</v>
      </c>
      <c r="BN456" s="2">
        <f t="shared" si="409"/>
        <v>0</v>
      </c>
      <c r="BO456" s="2">
        <f t="shared" si="409"/>
        <v>0</v>
      </c>
      <c r="BP456" s="2">
        <f t="shared" si="409"/>
        <v>0</v>
      </c>
      <c r="BQ456" s="2">
        <f t="shared" si="409"/>
        <v>0</v>
      </c>
      <c r="BR456" s="2">
        <f t="shared" si="409"/>
        <v>0</v>
      </c>
      <c r="BS456" s="2">
        <f t="shared" si="409"/>
        <v>0</v>
      </c>
      <c r="BT456" s="2">
        <f t="shared" si="409"/>
        <v>0</v>
      </c>
      <c r="BU456" s="2">
        <f t="shared" si="409"/>
        <v>0</v>
      </c>
      <c r="BV456" s="2">
        <f t="shared" si="409"/>
        <v>0</v>
      </c>
      <c r="BW456" s="2">
        <f t="shared" si="409"/>
        <v>0</v>
      </c>
      <c r="BX456" s="2">
        <f t="shared" si="409"/>
        <v>0</v>
      </c>
      <c r="BY456" s="2">
        <f t="shared" si="409"/>
        <v>0</v>
      </c>
      <c r="BZ456" s="2">
        <f t="shared" si="409"/>
        <v>0</v>
      </c>
      <c r="CA456" s="2">
        <f t="shared" ref="CA456:DF456" si="410">CA462</f>
        <v>4966.88</v>
      </c>
      <c r="CB456" s="2">
        <f t="shared" si="410"/>
        <v>0</v>
      </c>
      <c r="CC456" s="2">
        <f t="shared" si="410"/>
        <v>0</v>
      </c>
      <c r="CD456" s="2">
        <f t="shared" si="410"/>
        <v>4966.88</v>
      </c>
      <c r="CE456" s="2">
        <f t="shared" si="410"/>
        <v>0</v>
      </c>
      <c r="CF456" s="2">
        <f t="shared" si="410"/>
        <v>0</v>
      </c>
      <c r="CG456" s="2">
        <f t="shared" si="410"/>
        <v>0</v>
      </c>
      <c r="CH456" s="2">
        <f t="shared" si="410"/>
        <v>0</v>
      </c>
      <c r="CI456" s="2">
        <f t="shared" si="410"/>
        <v>0</v>
      </c>
      <c r="CJ456" s="2">
        <f t="shared" si="410"/>
        <v>0</v>
      </c>
      <c r="CK456" s="2">
        <f t="shared" si="410"/>
        <v>0</v>
      </c>
      <c r="CL456" s="2">
        <f t="shared" si="410"/>
        <v>0</v>
      </c>
      <c r="CM456" s="2">
        <f t="shared" si="410"/>
        <v>0</v>
      </c>
      <c r="CN456" s="2">
        <f t="shared" si="410"/>
        <v>0</v>
      </c>
      <c r="CO456" s="2">
        <f t="shared" si="410"/>
        <v>0</v>
      </c>
      <c r="CP456" s="2">
        <f t="shared" si="410"/>
        <v>0</v>
      </c>
      <c r="CQ456" s="2">
        <f t="shared" si="410"/>
        <v>0</v>
      </c>
      <c r="CR456" s="2">
        <f t="shared" si="410"/>
        <v>0</v>
      </c>
      <c r="CS456" s="2">
        <f t="shared" si="410"/>
        <v>0</v>
      </c>
      <c r="CT456" s="2">
        <f t="shared" si="410"/>
        <v>0</v>
      </c>
      <c r="CU456" s="2">
        <f t="shared" si="410"/>
        <v>0</v>
      </c>
      <c r="CV456" s="2">
        <f t="shared" si="410"/>
        <v>0</v>
      </c>
      <c r="CW456" s="2">
        <f t="shared" si="410"/>
        <v>0</v>
      </c>
      <c r="CX456" s="2">
        <f t="shared" si="410"/>
        <v>0</v>
      </c>
      <c r="CY456" s="2">
        <f t="shared" si="410"/>
        <v>0</v>
      </c>
      <c r="CZ456" s="2">
        <f t="shared" si="410"/>
        <v>0</v>
      </c>
      <c r="DA456" s="2">
        <f t="shared" si="410"/>
        <v>0</v>
      </c>
      <c r="DB456" s="2">
        <f t="shared" si="410"/>
        <v>0</v>
      </c>
      <c r="DC456" s="2">
        <f t="shared" si="410"/>
        <v>0</v>
      </c>
      <c r="DD456" s="2">
        <f t="shared" si="410"/>
        <v>0</v>
      </c>
      <c r="DE456" s="2">
        <f t="shared" si="410"/>
        <v>0</v>
      </c>
      <c r="DF456" s="2">
        <f t="shared" si="410"/>
        <v>0</v>
      </c>
      <c r="DG456" s="3">
        <f t="shared" ref="DG456:EL456" si="411">DG462</f>
        <v>0</v>
      </c>
      <c r="DH456" s="3">
        <f t="shared" si="411"/>
        <v>0</v>
      </c>
      <c r="DI456" s="3">
        <f t="shared" si="411"/>
        <v>0</v>
      </c>
      <c r="DJ456" s="3">
        <f t="shared" si="411"/>
        <v>0</v>
      </c>
      <c r="DK456" s="3">
        <f t="shared" si="411"/>
        <v>0</v>
      </c>
      <c r="DL456" s="3">
        <f t="shared" si="411"/>
        <v>0</v>
      </c>
      <c r="DM456" s="3">
        <f t="shared" si="411"/>
        <v>0</v>
      </c>
      <c r="DN456" s="3">
        <f t="shared" si="411"/>
        <v>0</v>
      </c>
      <c r="DO456" s="3">
        <f t="shared" si="411"/>
        <v>0</v>
      </c>
      <c r="DP456" s="3">
        <f t="shared" si="411"/>
        <v>0</v>
      </c>
      <c r="DQ456" s="3">
        <f t="shared" si="411"/>
        <v>0</v>
      </c>
      <c r="DR456" s="3">
        <f t="shared" si="411"/>
        <v>0</v>
      </c>
      <c r="DS456" s="3">
        <f t="shared" si="411"/>
        <v>0</v>
      </c>
      <c r="DT456" s="3">
        <f t="shared" si="411"/>
        <v>0</v>
      </c>
      <c r="DU456" s="3">
        <f t="shared" si="411"/>
        <v>0</v>
      </c>
      <c r="DV456" s="3">
        <f t="shared" si="411"/>
        <v>0</v>
      </c>
      <c r="DW456" s="3">
        <f t="shared" si="411"/>
        <v>0</v>
      </c>
      <c r="DX456" s="3">
        <f t="shared" si="411"/>
        <v>0</v>
      </c>
      <c r="DY456" s="3">
        <f t="shared" si="411"/>
        <v>0</v>
      </c>
      <c r="DZ456" s="3">
        <f t="shared" si="411"/>
        <v>0</v>
      </c>
      <c r="EA456" s="3">
        <f t="shared" si="411"/>
        <v>0</v>
      </c>
      <c r="EB456" s="3">
        <f t="shared" si="411"/>
        <v>0</v>
      </c>
      <c r="EC456" s="3">
        <f t="shared" si="411"/>
        <v>0</v>
      </c>
      <c r="ED456" s="3">
        <f t="shared" si="411"/>
        <v>0</v>
      </c>
      <c r="EE456" s="3">
        <f t="shared" si="411"/>
        <v>0</v>
      </c>
      <c r="EF456" s="3">
        <f t="shared" si="411"/>
        <v>0</v>
      </c>
      <c r="EG456" s="3">
        <f t="shared" si="411"/>
        <v>0</v>
      </c>
      <c r="EH456" s="3">
        <f t="shared" si="411"/>
        <v>0</v>
      </c>
      <c r="EI456" s="3">
        <f t="shared" si="411"/>
        <v>0</v>
      </c>
      <c r="EJ456" s="3">
        <f t="shared" si="411"/>
        <v>0</v>
      </c>
      <c r="EK456" s="3">
        <f t="shared" si="411"/>
        <v>0</v>
      </c>
      <c r="EL456" s="3">
        <f t="shared" si="411"/>
        <v>0</v>
      </c>
      <c r="EM456" s="3">
        <f t="shared" ref="EM456:FR456" si="412">EM462</f>
        <v>0</v>
      </c>
      <c r="EN456" s="3">
        <f t="shared" si="412"/>
        <v>0</v>
      </c>
      <c r="EO456" s="3">
        <f t="shared" si="412"/>
        <v>0</v>
      </c>
      <c r="EP456" s="3">
        <f t="shared" si="412"/>
        <v>0</v>
      </c>
      <c r="EQ456" s="3">
        <f t="shared" si="412"/>
        <v>0</v>
      </c>
      <c r="ER456" s="3">
        <f t="shared" si="412"/>
        <v>0</v>
      </c>
      <c r="ES456" s="3">
        <f t="shared" si="412"/>
        <v>0</v>
      </c>
      <c r="ET456" s="3">
        <f t="shared" si="412"/>
        <v>0</v>
      </c>
      <c r="EU456" s="3">
        <f t="shared" si="412"/>
        <v>0</v>
      </c>
      <c r="EV456" s="3">
        <f t="shared" si="412"/>
        <v>0</v>
      </c>
      <c r="EW456" s="3">
        <f t="shared" si="412"/>
        <v>0</v>
      </c>
      <c r="EX456" s="3">
        <f t="shared" si="412"/>
        <v>0</v>
      </c>
      <c r="EY456" s="3">
        <f t="shared" si="412"/>
        <v>0</v>
      </c>
      <c r="EZ456" s="3">
        <f t="shared" si="412"/>
        <v>0</v>
      </c>
      <c r="FA456" s="3">
        <f t="shared" si="412"/>
        <v>0</v>
      </c>
      <c r="FB456" s="3">
        <f t="shared" si="412"/>
        <v>0</v>
      </c>
      <c r="FC456" s="3">
        <f t="shared" si="412"/>
        <v>0</v>
      </c>
      <c r="FD456" s="3">
        <f t="shared" si="412"/>
        <v>0</v>
      </c>
      <c r="FE456" s="3">
        <f t="shared" si="412"/>
        <v>0</v>
      </c>
      <c r="FF456" s="3">
        <f t="shared" si="412"/>
        <v>0</v>
      </c>
      <c r="FG456" s="3">
        <f t="shared" si="412"/>
        <v>0</v>
      </c>
      <c r="FH456" s="3">
        <f t="shared" si="412"/>
        <v>0</v>
      </c>
      <c r="FI456" s="3">
        <f t="shared" si="412"/>
        <v>0</v>
      </c>
      <c r="FJ456" s="3">
        <f t="shared" si="412"/>
        <v>0</v>
      </c>
      <c r="FK456" s="3">
        <f t="shared" si="412"/>
        <v>0</v>
      </c>
      <c r="FL456" s="3">
        <f t="shared" si="412"/>
        <v>0</v>
      </c>
      <c r="FM456" s="3">
        <f t="shared" si="412"/>
        <v>0</v>
      </c>
      <c r="FN456" s="3">
        <f t="shared" si="412"/>
        <v>0</v>
      </c>
      <c r="FO456" s="3">
        <f t="shared" si="412"/>
        <v>0</v>
      </c>
      <c r="FP456" s="3">
        <f t="shared" si="412"/>
        <v>0</v>
      </c>
      <c r="FQ456" s="3">
        <f t="shared" si="412"/>
        <v>0</v>
      </c>
      <c r="FR456" s="3">
        <f t="shared" si="412"/>
        <v>0</v>
      </c>
      <c r="FS456" s="3">
        <f t="shared" ref="FS456:GX456" si="413">FS462</f>
        <v>0</v>
      </c>
      <c r="FT456" s="3">
        <f t="shared" si="413"/>
        <v>0</v>
      </c>
      <c r="FU456" s="3">
        <f t="shared" si="413"/>
        <v>0</v>
      </c>
      <c r="FV456" s="3">
        <f t="shared" si="413"/>
        <v>0</v>
      </c>
      <c r="FW456" s="3">
        <f t="shared" si="413"/>
        <v>0</v>
      </c>
      <c r="FX456" s="3">
        <f t="shared" si="413"/>
        <v>0</v>
      </c>
      <c r="FY456" s="3">
        <f t="shared" si="413"/>
        <v>0</v>
      </c>
      <c r="FZ456" s="3">
        <f t="shared" si="413"/>
        <v>0</v>
      </c>
      <c r="GA456" s="3">
        <f t="shared" si="413"/>
        <v>0</v>
      </c>
      <c r="GB456" s="3">
        <f t="shared" si="413"/>
        <v>0</v>
      </c>
      <c r="GC456" s="3">
        <f t="shared" si="413"/>
        <v>0</v>
      </c>
      <c r="GD456" s="3">
        <f t="shared" si="413"/>
        <v>0</v>
      </c>
      <c r="GE456" s="3">
        <f t="shared" si="413"/>
        <v>0</v>
      </c>
      <c r="GF456" s="3">
        <f t="shared" si="413"/>
        <v>0</v>
      </c>
      <c r="GG456" s="3">
        <f t="shared" si="413"/>
        <v>0</v>
      </c>
      <c r="GH456" s="3">
        <f t="shared" si="413"/>
        <v>0</v>
      </c>
      <c r="GI456" s="3">
        <f t="shared" si="413"/>
        <v>0</v>
      </c>
      <c r="GJ456" s="3">
        <f t="shared" si="413"/>
        <v>0</v>
      </c>
      <c r="GK456" s="3">
        <f t="shared" si="413"/>
        <v>0</v>
      </c>
      <c r="GL456" s="3">
        <f t="shared" si="413"/>
        <v>0</v>
      </c>
      <c r="GM456" s="3">
        <f t="shared" si="413"/>
        <v>0</v>
      </c>
      <c r="GN456" s="3">
        <f t="shared" si="413"/>
        <v>0</v>
      </c>
      <c r="GO456" s="3">
        <f t="shared" si="413"/>
        <v>0</v>
      </c>
      <c r="GP456" s="3">
        <f t="shared" si="413"/>
        <v>0</v>
      </c>
      <c r="GQ456" s="3">
        <f t="shared" si="413"/>
        <v>0</v>
      </c>
      <c r="GR456" s="3">
        <f t="shared" si="413"/>
        <v>0</v>
      </c>
      <c r="GS456" s="3">
        <f t="shared" si="413"/>
        <v>0</v>
      </c>
      <c r="GT456" s="3">
        <f t="shared" si="413"/>
        <v>0</v>
      </c>
      <c r="GU456" s="3">
        <f t="shared" si="413"/>
        <v>0</v>
      </c>
      <c r="GV456" s="3">
        <f t="shared" si="413"/>
        <v>0</v>
      </c>
      <c r="GW456" s="3">
        <f t="shared" si="413"/>
        <v>0</v>
      </c>
      <c r="GX456" s="3">
        <f t="shared" si="413"/>
        <v>0</v>
      </c>
    </row>
    <row r="458" spans="1:245" x14ac:dyDescent="0.2">
      <c r="A458">
        <v>17</v>
      </c>
      <c r="B458">
        <v>1</v>
      </c>
      <c r="D458">
        <f>ROW(EtalonRes!A251)</f>
        <v>251</v>
      </c>
      <c r="E458" t="s">
        <v>332</v>
      </c>
      <c r="F458" t="s">
        <v>333</v>
      </c>
      <c r="G458" t="s">
        <v>334</v>
      </c>
      <c r="H458" t="s">
        <v>38</v>
      </c>
      <c r="I458">
        <v>3.056</v>
      </c>
      <c r="J458">
        <v>0</v>
      </c>
      <c r="K458">
        <v>3.056</v>
      </c>
      <c r="O458">
        <f>ROUND(CP458,2)</f>
        <v>293.44</v>
      </c>
      <c r="P458">
        <f>ROUND(CQ458*I458,2)</f>
        <v>0</v>
      </c>
      <c r="Q458">
        <f>ROUND(CR458*I458,2)</f>
        <v>293.44</v>
      </c>
      <c r="R458">
        <f>ROUND(CS458*I458,2)</f>
        <v>98.4</v>
      </c>
      <c r="S458">
        <f>ROUND(CT458*I458,2)</f>
        <v>0</v>
      </c>
      <c r="T458">
        <f>ROUND(CU458*I458,2)</f>
        <v>0</v>
      </c>
      <c r="U458">
        <f>CV458*I458</f>
        <v>0</v>
      </c>
      <c r="V458">
        <f>CW458*I458</f>
        <v>0</v>
      </c>
      <c r="W458">
        <f>ROUND(CX458*I458,2)</f>
        <v>0</v>
      </c>
      <c r="X458">
        <f t="shared" ref="X458:Y460" si="414">ROUND(CY458,2)</f>
        <v>0</v>
      </c>
      <c r="Y458">
        <f t="shared" si="414"/>
        <v>0</v>
      </c>
      <c r="AA458">
        <v>72192302</v>
      </c>
      <c r="AB458">
        <f>ROUND((AC458+AD458+AF458),6)</f>
        <v>96.02</v>
      </c>
      <c r="AC458">
        <f>ROUND((ES458),6)</f>
        <v>0</v>
      </c>
      <c r="AD458">
        <f>ROUND((((ET458)-(EU458))+AE458),6)</f>
        <v>96.02</v>
      </c>
      <c r="AE458">
        <f>ROUND((EU458),6)</f>
        <v>32.200000000000003</v>
      </c>
      <c r="AF458">
        <f>ROUND((EV458),6)</f>
        <v>0</v>
      </c>
      <c r="AG458">
        <f>ROUND((AP458),6)</f>
        <v>0</v>
      </c>
      <c r="AH458">
        <f>(EW458)</f>
        <v>0</v>
      </c>
      <c r="AI458">
        <f>(EX458)</f>
        <v>0</v>
      </c>
      <c r="AJ458">
        <f>(AS458)</f>
        <v>0</v>
      </c>
      <c r="AK458">
        <v>96.02</v>
      </c>
      <c r="AL458">
        <v>0</v>
      </c>
      <c r="AM458">
        <v>96.02</v>
      </c>
      <c r="AN458">
        <v>32.200000000000003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70</v>
      </c>
      <c r="AU458">
        <v>10</v>
      </c>
      <c r="AV458">
        <v>1</v>
      </c>
      <c r="AW458">
        <v>1</v>
      </c>
      <c r="AZ458">
        <v>1</v>
      </c>
      <c r="BA458">
        <v>1</v>
      </c>
      <c r="BB458">
        <v>1</v>
      </c>
      <c r="BC458">
        <v>1</v>
      </c>
      <c r="BD458" t="s">
        <v>3</v>
      </c>
      <c r="BE458" t="s">
        <v>3</v>
      </c>
      <c r="BF458" t="s">
        <v>3</v>
      </c>
      <c r="BG458" t="s">
        <v>3</v>
      </c>
      <c r="BH458">
        <v>0</v>
      </c>
      <c r="BI458">
        <v>4</v>
      </c>
      <c r="BJ458" t="s">
        <v>335</v>
      </c>
      <c r="BM458">
        <v>0</v>
      </c>
      <c r="BN458">
        <v>0</v>
      </c>
      <c r="BO458" t="s">
        <v>3</v>
      </c>
      <c r="BP458">
        <v>0</v>
      </c>
      <c r="BQ458">
        <v>1</v>
      </c>
      <c r="BR458">
        <v>0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 t="s">
        <v>3</v>
      </c>
      <c r="BZ458">
        <v>70</v>
      </c>
      <c r="CA458">
        <v>10</v>
      </c>
      <c r="CB458" t="s">
        <v>3</v>
      </c>
      <c r="CE458">
        <v>0</v>
      </c>
      <c r="CF458">
        <v>0</v>
      </c>
      <c r="CG458">
        <v>0</v>
      </c>
      <c r="CM458">
        <v>0</v>
      </c>
      <c r="CN458" t="s">
        <v>3</v>
      </c>
      <c r="CO458">
        <v>0</v>
      </c>
      <c r="CP458">
        <f>(P458+Q458+S458)</f>
        <v>293.44</v>
      </c>
      <c r="CQ458">
        <f>(AC458*BC458*AW458)</f>
        <v>0</v>
      </c>
      <c r="CR458">
        <f>((((ET458)*BB458-(EU458)*BS458)+AE458*BS458)*AV458)</f>
        <v>96.02</v>
      </c>
      <c r="CS458">
        <f>(AE458*BS458*AV458)</f>
        <v>32.200000000000003</v>
      </c>
      <c r="CT458">
        <f>(AF458*BA458*AV458)</f>
        <v>0</v>
      </c>
      <c r="CU458">
        <f>AG458</f>
        <v>0</v>
      </c>
      <c r="CV458">
        <f>(AH458*AV458)</f>
        <v>0</v>
      </c>
      <c r="CW458">
        <f t="shared" ref="CW458:CX460" si="415">AI458</f>
        <v>0</v>
      </c>
      <c r="CX458">
        <f t="shared" si="415"/>
        <v>0</v>
      </c>
      <c r="CY458">
        <f>((S458*BZ458)/100)</f>
        <v>0</v>
      </c>
      <c r="CZ458">
        <f>((S458*CA458)/100)</f>
        <v>0</v>
      </c>
      <c r="DC458" t="s">
        <v>3</v>
      </c>
      <c r="DD458" t="s">
        <v>3</v>
      </c>
      <c r="DE458" t="s">
        <v>3</v>
      </c>
      <c r="DF458" t="s">
        <v>3</v>
      </c>
      <c r="DG458" t="s">
        <v>3</v>
      </c>
      <c r="DH458" t="s">
        <v>3</v>
      </c>
      <c r="DI458" t="s">
        <v>3</v>
      </c>
      <c r="DJ458" t="s">
        <v>3</v>
      </c>
      <c r="DK458" t="s">
        <v>3</v>
      </c>
      <c r="DL458" t="s">
        <v>3</v>
      </c>
      <c r="DM458" t="s">
        <v>3</v>
      </c>
      <c r="DN458">
        <v>0</v>
      </c>
      <c r="DO458">
        <v>0</v>
      </c>
      <c r="DP458">
        <v>1</v>
      </c>
      <c r="DQ458">
        <v>1</v>
      </c>
      <c r="DU458">
        <v>1009</v>
      </c>
      <c r="DV458" t="s">
        <v>38</v>
      </c>
      <c r="DW458" t="s">
        <v>38</v>
      </c>
      <c r="DX458">
        <v>1000</v>
      </c>
      <c r="DZ458" t="s">
        <v>3</v>
      </c>
      <c r="EA458" t="s">
        <v>3</v>
      </c>
      <c r="EB458" t="s">
        <v>3</v>
      </c>
      <c r="EC458" t="s">
        <v>3</v>
      </c>
      <c r="EE458">
        <v>71753531</v>
      </c>
      <c r="EF458">
        <v>1</v>
      </c>
      <c r="EG458" t="s">
        <v>22</v>
      </c>
      <c r="EH458">
        <v>0</v>
      </c>
      <c r="EI458" t="s">
        <v>3</v>
      </c>
      <c r="EJ458">
        <v>4</v>
      </c>
      <c r="EK458">
        <v>0</v>
      </c>
      <c r="EL458" t="s">
        <v>23</v>
      </c>
      <c r="EM458" t="s">
        <v>24</v>
      </c>
      <c r="EO458" t="s">
        <v>3</v>
      </c>
      <c r="EQ458">
        <v>0</v>
      </c>
      <c r="ER458">
        <v>96.02</v>
      </c>
      <c r="ES458">
        <v>0</v>
      </c>
      <c r="ET458">
        <v>96.02</v>
      </c>
      <c r="EU458">
        <v>32.200000000000003</v>
      </c>
      <c r="EV458">
        <v>0</v>
      </c>
      <c r="EW458">
        <v>0</v>
      </c>
      <c r="EX458">
        <v>0</v>
      </c>
      <c r="EY458">
        <v>0</v>
      </c>
      <c r="FQ458">
        <v>0</v>
      </c>
      <c r="FR458">
        <f>ROUND(IF(BI458=3,GM458,0),2)</f>
        <v>0</v>
      </c>
      <c r="FS458">
        <v>0</v>
      </c>
      <c r="FX458">
        <v>70</v>
      </c>
      <c r="FY458">
        <v>10</v>
      </c>
      <c r="GA458" t="s">
        <v>3</v>
      </c>
      <c r="GD458">
        <v>0</v>
      </c>
      <c r="GF458">
        <v>-1559386725</v>
      </c>
      <c r="GG458">
        <v>2</v>
      </c>
      <c r="GH458">
        <v>1</v>
      </c>
      <c r="GI458">
        <v>-2</v>
      </c>
      <c r="GJ458">
        <v>0</v>
      </c>
      <c r="GK458">
        <f>ROUND(R458*(R12)/100,2)</f>
        <v>106.27</v>
      </c>
      <c r="GL458">
        <f>ROUND(IF(AND(BH458=3,BI458=3,FS458&lt;&gt;0),P458,0),2)</f>
        <v>0</v>
      </c>
      <c r="GM458">
        <f>ROUND(O458+X458+Y458+GK458,2)+GX458</f>
        <v>399.71</v>
      </c>
      <c r="GN458">
        <f>IF(OR(BI458=0,BI458=1),GM458,0)</f>
        <v>0</v>
      </c>
      <c r="GO458">
        <f>IF(BI458=2,GM458,0)</f>
        <v>0</v>
      </c>
      <c r="GP458">
        <f>IF(BI458=4,GM458+GX458,0)</f>
        <v>399.71</v>
      </c>
      <c r="GR458">
        <v>0</v>
      </c>
      <c r="GS458">
        <v>3</v>
      </c>
      <c r="GT458">
        <v>0</v>
      </c>
      <c r="GU458" t="s">
        <v>3</v>
      </c>
      <c r="GV458">
        <f>ROUND((GT458),6)</f>
        <v>0</v>
      </c>
      <c r="GW458">
        <v>1</v>
      </c>
      <c r="GX458">
        <f>ROUND(HC458*I458,2)</f>
        <v>0</v>
      </c>
      <c r="HA458">
        <v>0</v>
      </c>
      <c r="HB458">
        <v>0</v>
      </c>
      <c r="HC458">
        <f>GV458*GW458</f>
        <v>0</v>
      </c>
      <c r="HE458" t="s">
        <v>3</v>
      </c>
      <c r="HF458" t="s">
        <v>3</v>
      </c>
      <c r="HM458" t="s">
        <v>3</v>
      </c>
      <c r="HN458" t="s">
        <v>3</v>
      </c>
      <c r="HO458" t="s">
        <v>3</v>
      </c>
      <c r="HP458" t="s">
        <v>3</v>
      </c>
      <c r="HQ458" t="s">
        <v>3</v>
      </c>
      <c r="IK458">
        <v>0</v>
      </c>
    </row>
    <row r="459" spans="1:245" x14ac:dyDescent="0.2">
      <c r="A459">
        <v>17</v>
      </c>
      <c r="B459">
        <v>1</v>
      </c>
      <c r="D459">
        <f>ROW(EtalonRes!A253)</f>
        <v>253</v>
      </c>
      <c r="E459" t="s">
        <v>336</v>
      </c>
      <c r="F459" t="s">
        <v>337</v>
      </c>
      <c r="G459" t="s">
        <v>338</v>
      </c>
      <c r="H459" t="s">
        <v>38</v>
      </c>
      <c r="I459">
        <v>3.056</v>
      </c>
      <c r="J459">
        <v>0</v>
      </c>
      <c r="K459">
        <v>3.056</v>
      </c>
      <c r="O459">
        <f>ROUND(CP459,2)</f>
        <v>218.6</v>
      </c>
      <c r="P459">
        <f>ROUND(CQ459*I459,2)</f>
        <v>0</v>
      </c>
      <c r="Q459">
        <f>ROUND(CR459*I459,2)</f>
        <v>218.6</v>
      </c>
      <c r="R459">
        <f>ROUND(CS459*I459,2)</f>
        <v>119.73</v>
      </c>
      <c r="S459">
        <f>ROUND(CT459*I459,2)</f>
        <v>0</v>
      </c>
      <c r="T459">
        <f>ROUND(CU459*I459,2)</f>
        <v>0</v>
      </c>
      <c r="U459">
        <f>CV459*I459</f>
        <v>0</v>
      </c>
      <c r="V459">
        <f>CW459*I459</f>
        <v>0</v>
      </c>
      <c r="W459">
        <f>ROUND(CX459*I459,2)</f>
        <v>0</v>
      </c>
      <c r="X459">
        <f t="shared" si="414"/>
        <v>0</v>
      </c>
      <c r="Y459">
        <f t="shared" si="414"/>
        <v>0</v>
      </c>
      <c r="AA459">
        <v>72192302</v>
      </c>
      <c r="AB459">
        <f>ROUND((AC459+AD459+AF459),6)</f>
        <v>71.53</v>
      </c>
      <c r="AC459">
        <f>ROUND((ES459),6)</f>
        <v>0</v>
      </c>
      <c r="AD459">
        <f>ROUND((((ET459)-(EU459))+AE459),6)</f>
        <v>71.53</v>
      </c>
      <c r="AE459">
        <f>ROUND((EU459),6)</f>
        <v>39.18</v>
      </c>
      <c r="AF459">
        <f>ROUND((EV459),6)</f>
        <v>0</v>
      </c>
      <c r="AG459">
        <f>ROUND((AP459),6)</f>
        <v>0</v>
      </c>
      <c r="AH459">
        <f>(EW459)</f>
        <v>0</v>
      </c>
      <c r="AI459">
        <f>(EX459)</f>
        <v>0</v>
      </c>
      <c r="AJ459">
        <f>(AS459)</f>
        <v>0</v>
      </c>
      <c r="AK459">
        <v>71.53</v>
      </c>
      <c r="AL459">
        <v>0</v>
      </c>
      <c r="AM459">
        <v>71.53</v>
      </c>
      <c r="AN459">
        <v>39.18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1</v>
      </c>
      <c r="AW459">
        <v>1</v>
      </c>
      <c r="AZ459">
        <v>1</v>
      </c>
      <c r="BA459">
        <v>1</v>
      </c>
      <c r="BB459">
        <v>1</v>
      </c>
      <c r="BC459">
        <v>1</v>
      </c>
      <c r="BD459" t="s">
        <v>3</v>
      </c>
      <c r="BE459" t="s">
        <v>3</v>
      </c>
      <c r="BF459" t="s">
        <v>3</v>
      </c>
      <c r="BG459" t="s">
        <v>3</v>
      </c>
      <c r="BH459">
        <v>0</v>
      </c>
      <c r="BI459">
        <v>4</v>
      </c>
      <c r="BJ459" t="s">
        <v>339</v>
      </c>
      <c r="BM459">
        <v>1</v>
      </c>
      <c r="BN459">
        <v>0</v>
      </c>
      <c r="BO459" t="s">
        <v>3</v>
      </c>
      <c r="BP459">
        <v>0</v>
      </c>
      <c r="BQ459">
        <v>1</v>
      </c>
      <c r="BR459">
        <v>0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 t="s">
        <v>3</v>
      </c>
      <c r="BZ459">
        <v>0</v>
      </c>
      <c r="CA459">
        <v>0</v>
      </c>
      <c r="CB459" t="s">
        <v>3</v>
      </c>
      <c r="CE459">
        <v>0</v>
      </c>
      <c r="CF459">
        <v>0</v>
      </c>
      <c r="CG459">
        <v>0</v>
      </c>
      <c r="CM459">
        <v>0</v>
      </c>
      <c r="CN459" t="s">
        <v>3</v>
      </c>
      <c r="CO459">
        <v>0</v>
      </c>
      <c r="CP459">
        <f>(P459+Q459+S459)</f>
        <v>218.6</v>
      </c>
      <c r="CQ459">
        <f>(AC459*BC459*AW459)</f>
        <v>0</v>
      </c>
      <c r="CR459">
        <f>((((ET459)*BB459-(EU459)*BS459)+AE459*BS459)*AV459)</f>
        <v>71.53</v>
      </c>
      <c r="CS459">
        <f>(AE459*BS459*AV459)</f>
        <v>39.18</v>
      </c>
      <c r="CT459">
        <f>(AF459*BA459*AV459)</f>
        <v>0</v>
      </c>
      <c r="CU459">
        <f>AG459</f>
        <v>0</v>
      </c>
      <c r="CV459">
        <f>(AH459*AV459)</f>
        <v>0</v>
      </c>
      <c r="CW459">
        <f t="shared" si="415"/>
        <v>0</v>
      </c>
      <c r="CX459">
        <f t="shared" si="415"/>
        <v>0</v>
      </c>
      <c r="CY459">
        <f>((S459*BZ459)/100)</f>
        <v>0</v>
      </c>
      <c r="CZ459">
        <f>((S459*CA459)/100)</f>
        <v>0</v>
      </c>
      <c r="DC459" t="s">
        <v>3</v>
      </c>
      <c r="DD459" t="s">
        <v>3</v>
      </c>
      <c r="DE459" t="s">
        <v>3</v>
      </c>
      <c r="DF459" t="s">
        <v>3</v>
      </c>
      <c r="DG459" t="s">
        <v>3</v>
      </c>
      <c r="DH459" t="s">
        <v>3</v>
      </c>
      <c r="DI459" t="s">
        <v>3</v>
      </c>
      <c r="DJ459" t="s">
        <v>3</v>
      </c>
      <c r="DK459" t="s">
        <v>3</v>
      </c>
      <c r="DL459" t="s">
        <v>3</v>
      </c>
      <c r="DM459" t="s">
        <v>3</v>
      </c>
      <c r="DN459">
        <v>0</v>
      </c>
      <c r="DO459">
        <v>0</v>
      </c>
      <c r="DP459">
        <v>1</v>
      </c>
      <c r="DQ459">
        <v>1</v>
      </c>
      <c r="DU459">
        <v>1009</v>
      </c>
      <c r="DV459" t="s">
        <v>38</v>
      </c>
      <c r="DW459" t="s">
        <v>38</v>
      </c>
      <c r="DX459">
        <v>1000</v>
      </c>
      <c r="DZ459" t="s">
        <v>3</v>
      </c>
      <c r="EA459" t="s">
        <v>3</v>
      </c>
      <c r="EB459" t="s">
        <v>3</v>
      </c>
      <c r="EC459" t="s">
        <v>3</v>
      </c>
      <c r="EE459">
        <v>71753533</v>
      </c>
      <c r="EF459">
        <v>1</v>
      </c>
      <c r="EG459" t="s">
        <v>22</v>
      </c>
      <c r="EH459">
        <v>0</v>
      </c>
      <c r="EI459" t="s">
        <v>3</v>
      </c>
      <c r="EJ459">
        <v>4</v>
      </c>
      <c r="EK459">
        <v>1</v>
      </c>
      <c r="EL459" t="s">
        <v>340</v>
      </c>
      <c r="EM459" t="s">
        <v>24</v>
      </c>
      <c r="EO459" t="s">
        <v>3</v>
      </c>
      <c r="EQ459">
        <v>0</v>
      </c>
      <c r="ER459">
        <v>71.53</v>
      </c>
      <c r="ES459">
        <v>0</v>
      </c>
      <c r="ET459">
        <v>71.53</v>
      </c>
      <c r="EU459">
        <v>39.18</v>
      </c>
      <c r="EV459">
        <v>0</v>
      </c>
      <c r="EW459">
        <v>0</v>
      </c>
      <c r="EX459">
        <v>0</v>
      </c>
      <c r="EY459">
        <v>0</v>
      </c>
      <c r="FQ459">
        <v>0</v>
      </c>
      <c r="FR459">
        <f>ROUND(IF(BI459=3,GM459,0),2)</f>
        <v>0</v>
      </c>
      <c r="FS459">
        <v>0</v>
      </c>
      <c r="FX459">
        <v>0</v>
      </c>
      <c r="FY459">
        <v>0</v>
      </c>
      <c r="GA459" t="s">
        <v>3</v>
      </c>
      <c r="GD459">
        <v>1</v>
      </c>
      <c r="GF459">
        <v>-424688365</v>
      </c>
      <c r="GG459">
        <v>2</v>
      </c>
      <c r="GH459">
        <v>1</v>
      </c>
      <c r="GI459">
        <v>-2</v>
      </c>
      <c r="GJ459">
        <v>0</v>
      </c>
      <c r="GK459">
        <v>0</v>
      </c>
      <c r="GL459">
        <f>ROUND(IF(AND(BH459=3,BI459=3,FS459&lt;&gt;0),P459,0),2)</f>
        <v>0</v>
      </c>
      <c r="GM459">
        <f>ROUND(O459+X459+Y459,2)+GX459</f>
        <v>218.6</v>
      </c>
      <c r="GN459">
        <f>IF(OR(BI459=0,BI459=1),GM459,0)</f>
        <v>0</v>
      </c>
      <c r="GO459">
        <f>IF(BI459=2,GM459,0)</f>
        <v>0</v>
      </c>
      <c r="GP459">
        <f>IF(BI459=4,GM459+GX459,0)</f>
        <v>218.6</v>
      </c>
      <c r="GR459">
        <v>0</v>
      </c>
      <c r="GS459">
        <v>3</v>
      </c>
      <c r="GT459">
        <v>0</v>
      </c>
      <c r="GU459" t="s">
        <v>3</v>
      </c>
      <c r="GV459">
        <f>ROUND((GT459),6)</f>
        <v>0</v>
      </c>
      <c r="GW459">
        <v>1</v>
      </c>
      <c r="GX459">
        <f>ROUND(HC459*I459,2)</f>
        <v>0</v>
      </c>
      <c r="HA459">
        <v>0</v>
      </c>
      <c r="HB459">
        <v>0</v>
      </c>
      <c r="HC459">
        <f>GV459*GW459</f>
        <v>0</v>
      </c>
      <c r="HE459" t="s">
        <v>3</v>
      </c>
      <c r="HF459" t="s">
        <v>3</v>
      </c>
      <c r="HM459" t="s">
        <v>3</v>
      </c>
      <c r="HN459" t="s">
        <v>3</v>
      </c>
      <c r="HO459" t="s">
        <v>3</v>
      </c>
      <c r="HP459" t="s">
        <v>3</v>
      </c>
      <c r="HQ459" t="s">
        <v>3</v>
      </c>
      <c r="IK459">
        <v>0</v>
      </c>
    </row>
    <row r="460" spans="1:245" x14ac:dyDescent="0.2">
      <c r="A460">
        <v>17</v>
      </c>
      <c r="B460">
        <v>1</v>
      </c>
      <c r="D460">
        <f>ROW(EtalonRes!A255)</f>
        <v>255</v>
      </c>
      <c r="E460" t="s">
        <v>341</v>
      </c>
      <c r="F460" t="s">
        <v>342</v>
      </c>
      <c r="G460" t="s">
        <v>343</v>
      </c>
      <c r="H460" t="s">
        <v>38</v>
      </c>
      <c r="I460">
        <v>3.056</v>
      </c>
      <c r="J460">
        <v>0</v>
      </c>
      <c r="K460">
        <v>3.056</v>
      </c>
      <c r="O460">
        <f>ROUND(CP460,2)</f>
        <v>4348.57</v>
      </c>
      <c r="P460">
        <f>ROUND(CQ460*I460,2)</f>
        <v>0</v>
      </c>
      <c r="Q460">
        <f>ROUND(CR460*I460,2)</f>
        <v>4348.57</v>
      </c>
      <c r="R460">
        <f>ROUND(CS460*I460,2)</f>
        <v>2382.21</v>
      </c>
      <c r="S460">
        <f>ROUND(CT460*I460,2)</f>
        <v>0</v>
      </c>
      <c r="T460">
        <f>ROUND(CU460*I460,2)</f>
        <v>0</v>
      </c>
      <c r="U460">
        <f>CV460*I460</f>
        <v>0</v>
      </c>
      <c r="V460">
        <f>CW460*I460</f>
        <v>0</v>
      </c>
      <c r="W460">
        <f>ROUND(CX460*I460,2)</f>
        <v>0</v>
      </c>
      <c r="X460">
        <f t="shared" si="414"/>
        <v>0</v>
      </c>
      <c r="Y460">
        <f t="shared" si="414"/>
        <v>0</v>
      </c>
      <c r="AA460">
        <v>72192302</v>
      </c>
      <c r="AB460">
        <f>ROUND((AC460+AD460+AF460),6)</f>
        <v>1422.96</v>
      </c>
      <c r="AC460">
        <f>ROUND((ES460),6)</f>
        <v>0</v>
      </c>
      <c r="AD460">
        <f>ROUND(((((ET460*42))-((EU460*42)))+AE460),6)</f>
        <v>1422.96</v>
      </c>
      <c r="AE460">
        <f>ROUND(((EU460*42)),6)</f>
        <v>779.52</v>
      </c>
      <c r="AF460">
        <f>ROUND(((EV460*42)),6)</f>
        <v>0</v>
      </c>
      <c r="AG460">
        <f>ROUND((AP460),6)</f>
        <v>0</v>
      </c>
      <c r="AH460">
        <f>((EW460*42))</f>
        <v>0</v>
      </c>
      <c r="AI460">
        <f>((EX460*42))</f>
        <v>0</v>
      </c>
      <c r="AJ460">
        <f>(AS460)</f>
        <v>0</v>
      </c>
      <c r="AK460">
        <v>33.880000000000003</v>
      </c>
      <c r="AL460">
        <v>0</v>
      </c>
      <c r="AM460">
        <v>33.880000000000003</v>
      </c>
      <c r="AN460">
        <v>18.559999999999999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1</v>
      </c>
      <c r="AW460">
        <v>1</v>
      </c>
      <c r="AZ460">
        <v>1</v>
      </c>
      <c r="BA460">
        <v>1</v>
      </c>
      <c r="BB460">
        <v>1</v>
      </c>
      <c r="BC460">
        <v>1</v>
      </c>
      <c r="BD460" t="s">
        <v>3</v>
      </c>
      <c r="BE460" t="s">
        <v>3</v>
      </c>
      <c r="BF460" t="s">
        <v>3</v>
      </c>
      <c r="BG460" t="s">
        <v>3</v>
      </c>
      <c r="BH460">
        <v>0</v>
      </c>
      <c r="BI460">
        <v>4</v>
      </c>
      <c r="BJ460" t="s">
        <v>344</v>
      </c>
      <c r="BM460">
        <v>1</v>
      </c>
      <c r="BN460">
        <v>0</v>
      </c>
      <c r="BO460" t="s">
        <v>3</v>
      </c>
      <c r="BP460">
        <v>0</v>
      </c>
      <c r="BQ460">
        <v>1</v>
      </c>
      <c r="BR460">
        <v>0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 t="s">
        <v>3</v>
      </c>
      <c r="BZ460">
        <v>0</v>
      </c>
      <c r="CA460">
        <v>0</v>
      </c>
      <c r="CB460" t="s">
        <v>3</v>
      </c>
      <c r="CE460">
        <v>0</v>
      </c>
      <c r="CF460">
        <v>0</v>
      </c>
      <c r="CG460">
        <v>0</v>
      </c>
      <c r="CM460">
        <v>0</v>
      </c>
      <c r="CN460" t="s">
        <v>3</v>
      </c>
      <c r="CO460">
        <v>0</v>
      </c>
      <c r="CP460">
        <f>(P460+Q460+S460)</f>
        <v>4348.57</v>
      </c>
      <c r="CQ460">
        <f>(AC460*BC460*AW460)</f>
        <v>0</v>
      </c>
      <c r="CR460">
        <f>(((((ET460*42))*BB460-((EU460*42))*BS460)+AE460*BS460)*AV460)</f>
        <v>1422.96</v>
      </c>
      <c r="CS460">
        <f>(AE460*BS460*AV460)</f>
        <v>779.52</v>
      </c>
      <c r="CT460">
        <f>(AF460*BA460*AV460)</f>
        <v>0</v>
      </c>
      <c r="CU460">
        <f>AG460</f>
        <v>0</v>
      </c>
      <c r="CV460">
        <f>(AH460*AV460)</f>
        <v>0</v>
      </c>
      <c r="CW460">
        <f t="shared" si="415"/>
        <v>0</v>
      </c>
      <c r="CX460">
        <f t="shared" si="415"/>
        <v>0</v>
      </c>
      <c r="CY460">
        <f>((S460*BZ460)/100)</f>
        <v>0</v>
      </c>
      <c r="CZ460">
        <f>((S460*CA460)/100)</f>
        <v>0</v>
      </c>
      <c r="DC460" t="s">
        <v>3</v>
      </c>
      <c r="DD460" t="s">
        <v>3</v>
      </c>
      <c r="DE460" t="s">
        <v>345</v>
      </c>
      <c r="DF460" t="s">
        <v>345</v>
      </c>
      <c r="DG460" t="s">
        <v>345</v>
      </c>
      <c r="DH460" t="s">
        <v>3</v>
      </c>
      <c r="DI460" t="s">
        <v>345</v>
      </c>
      <c r="DJ460" t="s">
        <v>345</v>
      </c>
      <c r="DK460" t="s">
        <v>3</v>
      </c>
      <c r="DL460" t="s">
        <v>3</v>
      </c>
      <c r="DM460" t="s">
        <v>3</v>
      </c>
      <c r="DN460">
        <v>0</v>
      </c>
      <c r="DO460">
        <v>0</v>
      </c>
      <c r="DP460">
        <v>1</v>
      </c>
      <c r="DQ460">
        <v>1</v>
      </c>
      <c r="DU460">
        <v>1009</v>
      </c>
      <c r="DV460" t="s">
        <v>38</v>
      </c>
      <c r="DW460" t="s">
        <v>38</v>
      </c>
      <c r="DX460">
        <v>1000</v>
      </c>
      <c r="DZ460" t="s">
        <v>3</v>
      </c>
      <c r="EA460" t="s">
        <v>3</v>
      </c>
      <c r="EB460" t="s">
        <v>3</v>
      </c>
      <c r="EC460" t="s">
        <v>3</v>
      </c>
      <c r="EE460">
        <v>71753533</v>
      </c>
      <c r="EF460">
        <v>1</v>
      </c>
      <c r="EG460" t="s">
        <v>22</v>
      </c>
      <c r="EH460">
        <v>0</v>
      </c>
      <c r="EI460" t="s">
        <v>3</v>
      </c>
      <c r="EJ460">
        <v>4</v>
      </c>
      <c r="EK460">
        <v>1</v>
      </c>
      <c r="EL460" t="s">
        <v>340</v>
      </c>
      <c r="EM460" t="s">
        <v>24</v>
      </c>
      <c r="EO460" t="s">
        <v>3</v>
      </c>
      <c r="EQ460">
        <v>0</v>
      </c>
      <c r="ER460">
        <v>33.880000000000003</v>
      </c>
      <c r="ES460">
        <v>0</v>
      </c>
      <c r="ET460">
        <v>33.880000000000003</v>
      </c>
      <c r="EU460">
        <v>18.559999999999999</v>
      </c>
      <c r="EV460">
        <v>0</v>
      </c>
      <c r="EW460">
        <v>0</v>
      </c>
      <c r="EX460">
        <v>0</v>
      </c>
      <c r="EY460">
        <v>0</v>
      </c>
      <c r="FQ460">
        <v>0</v>
      </c>
      <c r="FR460">
        <f>ROUND(IF(BI460=3,GM460,0),2)</f>
        <v>0</v>
      </c>
      <c r="FS460">
        <v>0</v>
      </c>
      <c r="FX460">
        <v>0</v>
      </c>
      <c r="FY460">
        <v>0</v>
      </c>
      <c r="GA460" t="s">
        <v>3</v>
      </c>
      <c r="GD460">
        <v>1</v>
      </c>
      <c r="GF460">
        <v>1110886715</v>
      </c>
      <c r="GG460">
        <v>2</v>
      </c>
      <c r="GH460">
        <v>1</v>
      </c>
      <c r="GI460">
        <v>-2</v>
      </c>
      <c r="GJ460">
        <v>0</v>
      </c>
      <c r="GK460">
        <v>0</v>
      </c>
      <c r="GL460">
        <f>ROUND(IF(AND(BH460=3,BI460=3,FS460&lt;&gt;0),P460,0),2)</f>
        <v>0</v>
      </c>
      <c r="GM460">
        <f>ROUND(O460+X460+Y460,2)+GX460</f>
        <v>4348.57</v>
      </c>
      <c r="GN460">
        <f>IF(OR(BI460=0,BI460=1),GM460,0)</f>
        <v>0</v>
      </c>
      <c r="GO460">
        <f>IF(BI460=2,GM460,0)</f>
        <v>0</v>
      </c>
      <c r="GP460">
        <f>IF(BI460=4,GM460+GX460,0)</f>
        <v>4348.57</v>
      </c>
      <c r="GR460">
        <v>0</v>
      </c>
      <c r="GS460">
        <v>3</v>
      </c>
      <c r="GT460">
        <v>0</v>
      </c>
      <c r="GU460" t="s">
        <v>3</v>
      </c>
      <c r="GV460">
        <f>ROUND((GT460),6)</f>
        <v>0</v>
      </c>
      <c r="GW460">
        <v>1</v>
      </c>
      <c r="GX460">
        <f>ROUND(HC460*I460,2)</f>
        <v>0</v>
      </c>
      <c r="HA460">
        <v>0</v>
      </c>
      <c r="HB460">
        <v>0</v>
      </c>
      <c r="HC460">
        <f>GV460*GW460</f>
        <v>0</v>
      </c>
      <c r="HE460" t="s">
        <v>3</v>
      </c>
      <c r="HF460" t="s">
        <v>3</v>
      </c>
      <c r="HM460" t="s">
        <v>3</v>
      </c>
      <c r="HN460" t="s">
        <v>3</v>
      </c>
      <c r="HO460" t="s">
        <v>3</v>
      </c>
      <c r="HP460" t="s">
        <v>3</v>
      </c>
      <c r="HQ460" t="s">
        <v>3</v>
      </c>
      <c r="IK460">
        <v>0</v>
      </c>
    </row>
    <row r="462" spans="1:245" x14ac:dyDescent="0.2">
      <c r="A462" s="2">
        <v>51</v>
      </c>
      <c r="B462" s="2">
        <f>B454</f>
        <v>1</v>
      </c>
      <c r="C462" s="2">
        <f>A454</f>
        <v>4</v>
      </c>
      <c r="D462" s="2">
        <f>ROW(A454)</f>
        <v>454</v>
      </c>
      <c r="E462" s="2"/>
      <c r="F462" s="2" t="str">
        <f>IF(F454&lt;&gt;"",F454,"")</f>
        <v>Новый раздел</v>
      </c>
      <c r="G462" s="2" t="str">
        <f>IF(G454&lt;&gt;"",G454,"")</f>
        <v>3. Вывоз мусора</v>
      </c>
      <c r="H462" s="2">
        <v>0</v>
      </c>
      <c r="I462" s="2"/>
      <c r="J462" s="2"/>
      <c r="K462" s="2"/>
      <c r="L462" s="2"/>
      <c r="M462" s="2"/>
      <c r="N462" s="2"/>
      <c r="O462" s="2">
        <f t="shared" ref="O462:T462" si="416">ROUND(AB462,2)</f>
        <v>4860.6099999999997</v>
      </c>
      <c r="P462" s="2">
        <f t="shared" si="416"/>
        <v>0</v>
      </c>
      <c r="Q462" s="2">
        <f t="shared" si="416"/>
        <v>4860.6099999999997</v>
      </c>
      <c r="R462" s="2">
        <f t="shared" si="416"/>
        <v>2600.34</v>
      </c>
      <c r="S462" s="2">
        <f t="shared" si="416"/>
        <v>0</v>
      </c>
      <c r="T462" s="2">
        <f t="shared" si="416"/>
        <v>0</v>
      </c>
      <c r="U462" s="2">
        <f>AH462</f>
        <v>0</v>
      </c>
      <c r="V462" s="2">
        <f>AI462</f>
        <v>0</v>
      </c>
      <c r="W462" s="2">
        <f>ROUND(AJ462,2)</f>
        <v>0</v>
      </c>
      <c r="X462" s="2">
        <f>ROUND(AK462,2)</f>
        <v>0</v>
      </c>
      <c r="Y462" s="2">
        <f>ROUND(AL462,2)</f>
        <v>0</v>
      </c>
      <c r="Z462" s="2"/>
      <c r="AA462" s="2"/>
      <c r="AB462" s="2">
        <f>ROUND(SUMIF(AA458:AA460,"=72192302",O458:O460),2)</f>
        <v>4860.6099999999997</v>
      </c>
      <c r="AC462" s="2">
        <f>ROUND(SUMIF(AA458:AA460,"=72192302",P458:P460),2)</f>
        <v>0</v>
      </c>
      <c r="AD462" s="2">
        <f>ROUND(SUMIF(AA458:AA460,"=72192302",Q458:Q460),2)</f>
        <v>4860.6099999999997</v>
      </c>
      <c r="AE462" s="2">
        <f>ROUND(SUMIF(AA458:AA460,"=72192302",R458:R460),2)</f>
        <v>2600.34</v>
      </c>
      <c r="AF462" s="2">
        <f>ROUND(SUMIF(AA458:AA460,"=72192302",S458:S460),2)</f>
        <v>0</v>
      </c>
      <c r="AG462" s="2">
        <f>ROUND(SUMIF(AA458:AA460,"=72192302",T458:T460),2)</f>
        <v>0</v>
      </c>
      <c r="AH462" s="2">
        <f>SUMIF(AA458:AA460,"=72192302",U458:U460)</f>
        <v>0</v>
      </c>
      <c r="AI462" s="2">
        <f>SUMIF(AA458:AA460,"=72192302",V458:V460)</f>
        <v>0</v>
      </c>
      <c r="AJ462" s="2">
        <f>ROUND(SUMIF(AA458:AA460,"=72192302",W458:W460),2)</f>
        <v>0</v>
      </c>
      <c r="AK462" s="2">
        <f>ROUND(SUMIF(AA458:AA460,"=72192302",X458:X460),2)</f>
        <v>0</v>
      </c>
      <c r="AL462" s="2">
        <f>ROUND(SUMIF(AA458:AA460,"=72192302",Y458:Y460),2)</f>
        <v>0</v>
      </c>
      <c r="AM462" s="2"/>
      <c r="AN462" s="2"/>
      <c r="AO462" s="2">
        <f t="shared" ref="AO462:BD462" si="417">ROUND(BX462,2)</f>
        <v>0</v>
      </c>
      <c r="AP462" s="2">
        <f t="shared" si="417"/>
        <v>0</v>
      </c>
      <c r="AQ462" s="2">
        <f t="shared" si="417"/>
        <v>0</v>
      </c>
      <c r="AR462" s="2">
        <f t="shared" si="417"/>
        <v>4966.88</v>
      </c>
      <c r="AS462" s="2">
        <f t="shared" si="417"/>
        <v>0</v>
      </c>
      <c r="AT462" s="2">
        <f t="shared" si="417"/>
        <v>0</v>
      </c>
      <c r="AU462" s="2">
        <f t="shared" si="417"/>
        <v>4966.88</v>
      </c>
      <c r="AV462" s="2">
        <f t="shared" si="417"/>
        <v>0</v>
      </c>
      <c r="AW462" s="2">
        <f t="shared" si="417"/>
        <v>0</v>
      </c>
      <c r="AX462" s="2">
        <f t="shared" si="417"/>
        <v>0</v>
      </c>
      <c r="AY462" s="2">
        <f t="shared" si="417"/>
        <v>0</v>
      </c>
      <c r="AZ462" s="2">
        <f t="shared" si="417"/>
        <v>0</v>
      </c>
      <c r="BA462" s="2">
        <f t="shared" si="417"/>
        <v>0</v>
      </c>
      <c r="BB462" s="2">
        <f t="shared" si="417"/>
        <v>0</v>
      </c>
      <c r="BC462" s="2">
        <f t="shared" si="417"/>
        <v>0</v>
      </c>
      <c r="BD462" s="2">
        <f t="shared" si="417"/>
        <v>0</v>
      </c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>
        <f>ROUND(SUMIF(AA458:AA460,"=72192302",FQ458:FQ460),2)</f>
        <v>0</v>
      </c>
      <c r="BY462" s="2">
        <f>ROUND(SUMIF(AA458:AA460,"=72192302",FR458:FR460),2)</f>
        <v>0</v>
      </c>
      <c r="BZ462" s="2">
        <f>ROUND(SUMIF(AA458:AA460,"=72192302",GL458:GL460),2)</f>
        <v>0</v>
      </c>
      <c r="CA462" s="2">
        <f>ROUND(SUMIF(AA458:AA460,"=72192302",GM458:GM460),2)</f>
        <v>4966.88</v>
      </c>
      <c r="CB462" s="2">
        <f>ROUND(SUMIF(AA458:AA460,"=72192302",GN458:GN460),2)</f>
        <v>0</v>
      </c>
      <c r="CC462" s="2">
        <f>ROUND(SUMIF(AA458:AA460,"=72192302",GO458:GO460),2)</f>
        <v>0</v>
      </c>
      <c r="CD462" s="2">
        <f>ROUND(SUMIF(AA458:AA460,"=72192302",GP458:GP460),2)</f>
        <v>4966.88</v>
      </c>
      <c r="CE462" s="2">
        <f>AC462-BX462</f>
        <v>0</v>
      </c>
      <c r="CF462" s="2">
        <f>AC462-BY462</f>
        <v>0</v>
      </c>
      <c r="CG462" s="2">
        <f>BX462-BZ462</f>
        <v>0</v>
      </c>
      <c r="CH462" s="2">
        <f>AC462-BX462-BY462+BZ462</f>
        <v>0</v>
      </c>
      <c r="CI462" s="2">
        <f>BY462-BZ462</f>
        <v>0</v>
      </c>
      <c r="CJ462" s="2">
        <f>ROUND(SUMIF(AA458:AA460,"=72192302",GX458:GX460),2)</f>
        <v>0</v>
      </c>
      <c r="CK462" s="2">
        <f>ROUND(SUMIF(AA458:AA460,"=72192302",GY458:GY460),2)</f>
        <v>0</v>
      </c>
      <c r="CL462" s="2">
        <f>ROUND(SUMIF(AA458:AA460,"=72192302",GZ458:GZ460),2)</f>
        <v>0</v>
      </c>
      <c r="CM462" s="2">
        <f>ROUND(SUMIF(AA458:AA460,"=72192302",HD458:HD460),2)</f>
        <v>0</v>
      </c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>
        <v>0</v>
      </c>
    </row>
    <row r="464" spans="1:245" x14ac:dyDescent="0.2">
      <c r="A464" s="4">
        <v>50</v>
      </c>
      <c r="B464" s="4">
        <v>0</v>
      </c>
      <c r="C464" s="4">
        <v>0</v>
      </c>
      <c r="D464" s="4">
        <v>1</v>
      </c>
      <c r="E464" s="4">
        <v>201</v>
      </c>
      <c r="F464" s="4">
        <f>ROUND(Source!O462,O464)</f>
        <v>4860.6099999999997</v>
      </c>
      <c r="G464" s="4" t="s">
        <v>64</v>
      </c>
      <c r="H464" s="4" t="s">
        <v>65</v>
      </c>
      <c r="I464" s="4"/>
      <c r="J464" s="4"/>
      <c r="K464" s="4">
        <v>201</v>
      </c>
      <c r="L464" s="4">
        <v>1</v>
      </c>
      <c r="M464" s="4">
        <v>3</v>
      </c>
      <c r="N464" s="4" t="s">
        <v>3</v>
      </c>
      <c r="O464" s="4">
        <v>2</v>
      </c>
      <c r="P464" s="4"/>
      <c r="Q464" s="4"/>
      <c r="R464" s="4"/>
      <c r="S464" s="4"/>
      <c r="T464" s="4"/>
      <c r="U464" s="4"/>
      <c r="V464" s="4"/>
      <c r="W464" s="4">
        <v>4860.6099999999997</v>
      </c>
      <c r="X464" s="4">
        <v>1</v>
      </c>
      <c r="Y464" s="4">
        <v>4860.6099999999997</v>
      </c>
      <c r="Z464" s="4"/>
      <c r="AA464" s="4"/>
      <c r="AB464" s="4"/>
    </row>
    <row r="465" spans="1:28" x14ac:dyDescent="0.2">
      <c r="A465" s="4">
        <v>50</v>
      </c>
      <c r="B465" s="4">
        <v>0</v>
      </c>
      <c r="C465" s="4">
        <v>0</v>
      </c>
      <c r="D465" s="4">
        <v>1</v>
      </c>
      <c r="E465" s="4">
        <v>202</v>
      </c>
      <c r="F465" s="4">
        <f>ROUND(Source!P462,O465)</f>
        <v>0</v>
      </c>
      <c r="G465" s="4" t="s">
        <v>66</v>
      </c>
      <c r="H465" s="4" t="s">
        <v>67</v>
      </c>
      <c r="I465" s="4"/>
      <c r="J465" s="4"/>
      <c r="K465" s="4">
        <v>202</v>
      </c>
      <c r="L465" s="4">
        <v>2</v>
      </c>
      <c r="M465" s="4">
        <v>3</v>
      </c>
      <c r="N465" s="4" t="s">
        <v>3</v>
      </c>
      <c r="O465" s="4">
        <v>2</v>
      </c>
      <c r="P465" s="4"/>
      <c r="Q465" s="4"/>
      <c r="R465" s="4"/>
      <c r="S465" s="4"/>
      <c r="T465" s="4"/>
      <c r="U465" s="4"/>
      <c r="V465" s="4"/>
      <c r="W465" s="4">
        <v>0</v>
      </c>
      <c r="X465" s="4">
        <v>1</v>
      </c>
      <c r="Y465" s="4">
        <v>0</v>
      </c>
      <c r="Z465" s="4"/>
      <c r="AA465" s="4"/>
      <c r="AB465" s="4"/>
    </row>
    <row r="466" spans="1:28" x14ac:dyDescent="0.2">
      <c r="A466" s="4">
        <v>50</v>
      </c>
      <c r="B466" s="4">
        <v>0</v>
      </c>
      <c r="C466" s="4">
        <v>0</v>
      </c>
      <c r="D466" s="4">
        <v>1</v>
      </c>
      <c r="E466" s="4">
        <v>222</v>
      </c>
      <c r="F466" s="4">
        <f>ROUND(Source!AO462,O466)</f>
        <v>0</v>
      </c>
      <c r="G466" s="4" t="s">
        <v>68</v>
      </c>
      <c r="H466" s="4" t="s">
        <v>69</v>
      </c>
      <c r="I466" s="4"/>
      <c r="J466" s="4"/>
      <c r="K466" s="4">
        <v>222</v>
      </c>
      <c r="L466" s="4">
        <v>3</v>
      </c>
      <c r="M466" s="4">
        <v>3</v>
      </c>
      <c r="N466" s="4" t="s">
        <v>3</v>
      </c>
      <c r="O466" s="4">
        <v>2</v>
      </c>
      <c r="P466" s="4"/>
      <c r="Q466" s="4"/>
      <c r="R466" s="4"/>
      <c r="S466" s="4"/>
      <c r="T466" s="4"/>
      <c r="U466" s="4"/>
      <c r="V466" s="4"/>
      <c r="W466" s="4">
        <v>0</v>
      </c>
      <c r="X466" s="4">
        <v>1</v>
      </c>
      <c r="Y466" s="4">
        <v>0</v>
      </c>
      <c r="Z466" s="4"/>
      <c r="AA466" s="4"/>
      <c r="AB466" s="4"/>
    </row>
    <row r="467" spans="1:28" x14ac:dyDescent="0.2">
      <c r="A467" s="4">
        <v>50</v>
      </c>
      <c r="B467" s="4">
        <v>0</v>
      </c>
      <c r="C467" s="4">
        <v>0</v>
      </c>
      <c r="D467" s="4">
        <v>1</v>
      </c>
      <c r="E467" s="4">
        <v>225</v>
      </c>
      <c r="F467" s="4">
        <f>ROUND(Source!AV462,O467)</f>
        <v>0</v>
      </c>
      <c r="G467" s="4" t="s">
        <v>70</v>
      </c>
      <c r="H467" s="4" t="s">
        <v>71</v>
      </c>
      <c r="I467" s="4"/>
      <c r="J467" s="4"/>
      <c r="K467" s="4">
        <v>225</v>
      </c>
      <c r="L467" s="4">
        <v>4</v>
      </c>
      <c r="M467" s="4">
        <v>3</v>
      </c>
      <c r="N467" s="4" t="s">
        <v>3</v>
      </c>
      <c r="O467" s="4">
        <v>2</v>
      </c>
      <c r="P467" s="4"/>
      <c r="Q467" s="4"/>
      <c r="R467" s="4"/>
      <c r="S467" s="4"/>
      <c r="T467" s="4"/>
      <c r="U467" s="4"/>
      <c r="V467" s="4"/>
      <c r="W467" s="4">
        <v>0</v>
      </c>
      <c r="X467" s="4">
        <v>1</v>
      </c>
      <c r="Y467" s="4">
        <v>0</v>
      </c>
      <c r="Z467" s="4"/>
      <c r="AA467" s="4"/>
      <c r="AB467" s="4"/>
    </row>
    <row r="468" spans="1:28" x14ac:dyDescent="0.2">
      <c r="A468" s="4">
        <v>50</v>
      </c>
      <c r="B468" s="4">
        <v>0</v>
      </c>
      <c r="C468" s="4">
        <v>0</v>
      </c>
      <c r="D468" s="4">
        <v>1</v>
      </c>
      <c r="E468" s="4">
        <v>226</v>
      </c>
      <c r="F468" s="4">
        <f>ROUND(Source!AW462,O468)</f>
        <v>0</v>
      </c>
      <c r="G468" s="4" t="s">
        <v>72</v>
      </c>
      <c r="H468" s="4" t="s">
        <v>73</v>
      </c>
      <c r="I468" s="4"/>
      <c r="J468" s="4"/>
      <c r="K468" s="4">
        <v>226</v>
      </c>
      <c r="L468" s="4">
        <v>5</v>
      </c>
      <c r="M468" s="4">
        <v>3</v>
      </c>
      <c r="N468" s="4" t="s">
        <v>3</v>
      </c>
      <c r="O468" s="4">
        <v>2</v>
      </c>
      <c r="P468" s="4"/>
      <c r="Q468" s="4"/>
      <c r="R468" s="4"/>
      <c r="S468" s="4"/>
      <c r="T468" s="4"/>
      <c r="U468" s="4"/>
      <c r="V468" s="4"/>
      <c r="W468" s="4">
        <v>0</v>
      </c>
      <c r="X468" s="4">
        <v>1</v>
      </c>
      <c r="Y468" s="4">
        <v>0</v>
      </c>
      <c r="Z468" s="4"/>
      <c r="AA468" s="4"/>
      <c r="AB468" s="4"/>
    </row>
    <row r="469" spans="1:28" x14ac:dyDescent="0.2">
      <c r="A469" s="4">
        <v>50</v>
      </c>
      <c r="B469" s="4">
        <v>0</v>
      </c>
      <c r="C469" s="4">
        <v>0</v>
      </c>
      <c r="D469" s="4">
        <v>1</v>
      </c>
      <c r="E469" s="4">
        <v>227</v>
      </c>
      <c r="F469" s="4">
        <f>ROUND(Source!AX462,O469)</f>
        <v>0</v>
      </c>
      <c r="G469" s="4" t="s">
        <v>74</v>
      </c>
      <c r="H469" s="4" t="s">
        <v>75</v>
      </c>
      <c r="I469" s="4"/>
      <c r="J469" s="4"/>
      <c r="K469" s="4">
        <v>227</v>
      </c>
      <c r="L469" s="4">
        <v>6</v>
      </c>
      <c r="M469" s="4">
        <v>3</v>
      </c>
      <c r="N469" s="4" t="s">
        <v>3</v>
      </c>
      <c r="O469" s="4">
        <v>2</v>
      </c>
      <c r="P469" s="4"/>
      <c r="Q469" s="4"/>
      <c r="R469" s="4"/>
      <c r="S469" s="4"/>
      <c r="T469" s="4"/>
      <c r="U469" s="4"/>
      <c r="V469" s="4"/>
      <c r="W469" s="4">
        <v>0</v>
      </c>
      <c r="X469" s="4">
        <v>1</v>
      </c>
      <c r="Y469" s="4">
        <v>0</v>
      </c>
      <c r="Z469" s="4"/>
      <c r="AA469" s="4"/>
      <c r="AB469" s="4"/>
    </row>
    <row r="470" spans="1:28" x14ac:dyDescent="0.2">
      <c r="A470" s="4">
        <v>50</v>
      </c>
      <c r="B470" s="4">
        <v>0</v>
      </c>
      <c r="C470" s="4">
        <v>0</v>
      </c>
      <c r="D470" s="4">
        <v>1</v>
      </c>
      <c r="E470" s="4">
        <v>228</v>
      </c>
      <c r="F470" s="4">
        <f>ROUND(Source!AY462,O470)</f>
        <v>0</v>
      </c>
      <c r="G470" s="4" t="s">
        <v>76</v>
      </c>
      <c r="H470" s="4" t="s">
        <v>77</v>
      </c>
      <c r="I470" s="4"/>
      <c r="J470" s="4"/>
      <c r="K470" s="4">
        <v>228</v>
      </c>
      <c r="L470" s="4">
        <v>7</v>
      </c>
      <c r="M470" s="4">
        <v>3</v>
      </c>
      <c r="N470" s="4" t="s">
        <v>3</v>
      </c>
      <c r="O470" s="4">
        <v>2</v>
      </c>
      <c r="P470" s="4"/>
      <c r="Q470" s="4"/>
      <c r="R470" s="4"/>
      <c r="S470" s="4"/>
      <c r="T470" s="4"/>
      <c r="U470" s="4"/>
      <c r="V470" s="4"/>
      <c r="W470" s="4">
        <v>0</v>
      </c>
      <c r="X470" s="4">
        <v>1</v>
      </c>
      <c r="Y470" s="4">
        <v>0</v>
      </c>
      <c r="Z470" s="4"/>
      <c r="AA470" s="4"/>
      <c r="AB470" s="4"/>
    </row>
    <row r="471" spans="1:28" x14ac:dyDescent="0.2">
      <c r="A471" s="4">
        <v>50</v>
      </c>
      <c r="B471" s="4">
        <v>0</v>
      </c>
      <c r="C471" s="4">
        <v>0</v>
      </c>
      <c r="D471" s="4">
        <v>1</v>
      </c>
      <c r="E471" s="4">
        <v>216</v>
      </c>
      <c r="F471" s="4">
        <f>ROUND(Source!AP462,O471)</f>
        <v>0</v>
      </c>
      <c r="G471" s="4" t="s">
        <v>78</v>
      </c>
      <c r="H471" s="4" t="s">
        <v>79</v>
      </c>
      <c r="I471" s="4"/>
      <c r="J471" s="4"/>
      <c r="K471" s="4">
        <v>216</v>
      </c>
      <c r="L471" s="4">
        <v>8</v>
      </c>
      <c r="M471" s="4">
        <v>3</v>
      </c>
      <c r="N471" s="4" t="s">
        <v>3</v>
      </c>
      <c r="O471" s="4">
        <v>2</v>
      </c>
      <c r="P471" s="4"/>
      <c r="Q471" s="4"/>
      <c r="R471" s="4"/>
      <c r="S471" s="4"/>
      <c r="T471" s="4"/>
      <c r="U471" s="4"/>
      <c r="V471" s="4"/>
      <c r="W471" s="4">
        <v>0</v>
      </c>
      <c r="X471" s="4">
        <v>1</v>
      </c>
      <c r="Y471" s="4">
        <v>0</v>
      </c>
      <c r="Z471" s="4"/>
      <c r="AA471" s="4"/>
      <c r="AB471" s="4"/>
    </row>
    <row r="472" spans="1:28" x14ac:dyDescent="0.2">
      <c r="A472" s="4">
        <v>50</v>
      </c>
      <c r="B472" s="4">
        <v>0</v>
      </c>
      <c r="C472" s="4">
        <v>0</v>
      </c>
      <c r="D472" s="4">
        <v>1</v>
      </c>
      <c r="E472" s="4">
        <v>223</v>
      </c>
      <c r="F472" s="4">
        <f>ROUND(Source!AQ462,O472)</f>
        <v>0</v>
      </c>
      <c r="G472" s="4" t="s">
        <v>80</v>
      </c>
      <c r="H472" s="4" t="s">
        <v>81</v>
      </c>
      <c r="I472" s="4"/>
      <c r="J472" s="4"/>
      <c r="K472" s="4">
        <v>223</v>
      </c>
      <c r="L472" s="4">
        <v>9</v>
      </c>
      <c r="M472" s="4">
        <v>3</v>
      </c>
      <c r="N472" s="4" t="s">
        <v>3</v>
      </c>
      <c r="O472" s="4">
        <v>2</v>
      </c>
      <c r="P472" s="4"/>
      <c r="Q472" s="4"/>
      <c r="R472" s="4"/>
      <c r="S472" s="4"/>
      <c r="T472" s="4"/>
      <c r="U472" s="4"/>
      <c r="V472" s="4"/>
      <c r="W472" s="4">
        <v>0</v>
      </c>
      <c r="X472" s="4">
        <v>1</v>
      </c>
      <c r="Y472" s="4">
        <v>0</v>
      </c>
      <c r="Z472" s="4"/>
      <c r="AA472" s="4"/>
      <c r="AB472" s="4"/>
    </row>
    <row r="473" spans="1:28" x14ac:dyDescent="0.2">
      <c r="A473" s="4">
        <v>50</v>
      </c>
      <c r="B473" s="4">
        <v>0</v>
      </c>
      <c r="C473" s="4">
        <v>0</v>
      </c>
      <c r="D473" s="4">
        <v>1</v>
      </c>
      <c r="E473" s="4">
        <v>229</v>
      </c>
      <c r="F473" s="4">
        <f>ROUND(Source!AZ462,O473)</f>
        <v>0</v>
      </c>
      <c r="G473" s="4" t="s">
        <v>82</v>
      </c>
      <c r="H473" s="4" t="s">
        <v>83</v>
      </c>
      <c r="I473" s="4"/>
      <c r="J473" s="4"/>
      <c r="K473" s="4">
        <v>229</v>
      </c>
      <c r="L473" s="4">
        <v>10</v>
      </c>
      <c r="M473" s="4">
        <v>3</v>
      </c>
      <c r="N473" s="4" t="s">
        <v>3</v>
      </c>
      <c r="O473" s="4">
        <v>2</v>
      </c>
      <c r="P473" s="4"/>
      <c r="Q473" s="4"/>
      <c r="R473" s="4"/>
      <c r="S473" s="4"/>
      <c r="T473" s="4"/>
      <c r="U473" s="4"/>
      <c r="V473" s="4"/>
      <c r="W473" s="4">
        <v>0</v>
      </c>
      <c r="X473" s="4">
        <v>1</v>
      </c>
      <c r="Y473" s="4">
        <v>0</v>
      </c>
      <c r="Z473" s="4"/>
      <c r="AA473" s="4"/>
      <c r="AB473" s="4"/>
    </row>
    <row r="474" spans="1:28" x14ac:dyDescent="0.2">
      <c r="A474" s="4">
        <v>50</v>
      </c>
      <c r="B474" s="4">
        <v>0</v>
      </c>
      <c r="C474" s="4">
        <v>0</v>
      </c>
      <c r="D474" s="4">
        <v>1</v>
      </c>
      <c r="E474" s="4">
        <v>203</v>
      </c>
      <c r="F474" s="4">
        <f>ROUND(Source!Q462,O474)</f>
        <v>4860.6099999999997</v>
      </c>
      <c r="G474" s="4" t="s">
        <v>84</v>
      </c>
      <c r="H474" s="4" t="s">
        <v>85</v>
      </c>
      <c r="I474" s="4"/>
      <c r="J474" s="4"/>
      <c r="K474" s="4">
        <v>203</v>
      </c>
      <c r="L474" s="4">
        <v>11</v>
      </c>
      <c r="M474" s="4">
        <v>3</v>
      </c>
      <c r="N474" s="4" t="s">
        <v>3</v>
      </c>
      <c r="O474" s="4">
        <v>2</v>
      </c>
      <c r="P474" s="4"/>
      <c r="Q474" s="4"/>
      <c r="R474" s="4"/>
      <c r="S474" s="4"/>
      <c r="T474" s="4"/>
      <c r="U474" s="4"/>
      <c r="V474" s="4"/>
      <c r="W474" s="4">
        <v>4860.6099999999997</v>
      </c>
      <c r="X474" s="4">
        <v>1</v>
      </c>
      <c r="Y474" s="4">
        <v>4860.6099999999997</v>
      </c>
      <c r="Z474" s="4"/>
      <c r="AA474" s="4"/>
      <c r="AB474" s="4"/>
    </row>
    <row r="475" spans="1:28" x14ac:dyDescent="0.2">
      <c r="A475" s="4">
        <v>50</v>
      </c>
      <c r="B475" s="4">
        <v>0</v>
      </c>
      <c r="C475" s="4">
        <v>0</v>
      </c>
      <c r="D475" s="4">
        <v>1</v>
      </c>
      <c r="E475" s="4">
        <v>231</v>
      </c>
      <c r="F475" s="4">
        <f>ROUND(Source!BB462,O475)</f>
        <v>0</v>
      </c>
      <c r="G475" s="4" t="s">
        <v>86</v>
      </c>
      <c r="H475" s="4" t="s">
        <v>87</v>
      </c>
      <c r="I475" s="4"/>
      <c r="J475" s="4"/>
      <c r="K475" s="4">
        <v>231</v>
      </c>
      <c r="L475" s="4">
        <v>12</v>
      </c>
      <c r="M475" s="4">
        <v>3</v>
      </c>
      <c r="N475" s="4" t="s">
        <v>3</v>
      </c>
      <c r="O475" s="4">
        <v>2</v>
      </c>
      <c r="P475" s="4"/>
      <c r="Q475" s="4"/>
      <c r="R475" s="4"/>
      <c r="S475" s="4"/>
      <c r="T475" s="4"/>
      <c r="U475" s="4"/>
      <c r="V475" s="4"/>
      <c r="W475" s="4">
        <v>0</v>
      </c>
      <c r="X475" s="4">
        <v>1</v>
      </c>
      <c r="Y475" s="4">
        <v>0</v>
      </c>
      <c r="Z475" s="4"/>
      <c r="AA475" s="4"/>
      <c r="AB475" s="4"/>
    </row>
    <row r="476" spans="1:28" x14ac:dyDescent="0.2">
      <c r="A476" s="4">
        <v>50</v>
      </c>
      <c r="B476" s="4">
        <v>0</v>
      </c>
      <c r="C476" s="4">
        <v>0</v>
      </c>
      <c r="D476" s="4">
        <v>1</v>
      </c>
      <c r="E476" s="4">
        <v>204</v>
      </c>
      <c r="F476" s="4">
        <f>ROUND(Source!R462,O476)</f>
        <v>2600.34</v>
      </c>
      <c r="G476" s="4" t="s">
        <v>88</v>
      </c>
      <c r="H476" s="4" t="s">
        <v>89</v>
      </c>
      <c r="I476" s="4"/>
      <c r="J476" s="4"/>
      <c r="K476" s="4">
        <v>204</v>
      </c>
      <c r="L476" s="4">
        <v>13</v>
      </c>
      <c r="M476" s="4">
        <v>3</v>
      </c>
      <c r="N476" s="4" t="s">
        <v>3</v>
      </c>
      <c r="O476" s="4">
        <v>2</v>
      </c>
      <c r="P476" s="4"/>
      <c r="Q476" s="4"/>
      <c r="R476" s="4"/>
      <c r="S476" s="4"/>
      <c r="T476" s="4"/>
      <c r="U476" s="4"/>
      <c r="V476" s="4"/>
      <c r="W476" s="4">
        <v>2600.34</v>
      </c>
      <c r="X476" s="4">
        <v>1</v>
      </c>
      <c r="Y476" s="4">
        <v>2600.34</v>
      </c>
      <c r="Z476" s="4"/>
      <c r="AA476" s="4"/>
      <c r="AB476" s="4"/>
    </row>
    <row r="477" spans="1:28" x14ac:dyDescent="0.2">
      <c r="A477" s="4">
        <v>50</v>
      </c>
      <c r="B477" s="4">
        <v>0</v>
      </c>
      <c r="C477" s="4">
        <v>0</v>
      </c>
      <c r="D477" s="4">
        <v>1</v>
      </c>
      <c r="E477" s="4">
        <v>205</v>
      </c>
      <c r="F477" s="4">
        <f>ROUND(Source!S462,O477)</f>
        <v>0</v>
      </c>
      <c r="G477" s="4" t="s">
        <v>90</v>
      </c>
      <c r="H477" s="4" t="s">
        <v>91</v>
      </c>
      <c r="I477" s="4"/>
      <c r="J477" s="4"/>
      <c r="K477" s="4">
        <v>205</v>
      </c>
      <c r="L477" s="4">
        <v>14</v>
      </c>
      <c r="M477" s="4">
        <v>3</v>
      </c>
      <c r="N477" s="4" t="s">
        <v>3</v>
      </c>
      <c r="O477" s="4">
        <v>2</v>
      </c>
      <c r="P477" s="4"/>
      <c r="Q477" s="4"/>
      <c r="R477" s="4"/>
      <c r="S477" s="4"/>
      <c r="T477" s="4"/>
      <c r="U477" s="4"/>
      <c r="V477" s="4"/>
      <c r="W477" s="4">
        <v>0</v>
      </c>
      <c r="X477" s="4">
        <v>1</v>
      </c>
      <c r="Y477" s="4">
        <v>0</v>
      </c>
      <c r="Z477" s="4"/>
      <c r="AA477" s="4"/>
      <c r="AB477" s="4"/>
    </row>
    <row r="478" spans="1:28" x14ac:dyDescent="0.2">
      <c r="A478" s="4">
        <v>50</v>
      </c>
      <c r="B478" s="4">
        <v>0</v>
      </c>
      <c r="C478" s="4">
        <v>0</v>
      </c>
      <c r="D478" s="4">
        <v>1</v>
      </c>
      <c r="E478" s="4">
        <v>232</v>
      </c>
      <c r="F478" s="4">
        <f>ROUND(Source!BC462,O478)</f>
        <v>0</v>
      </c>
      <c r="G478" s="4" t="s">
        <v>92</v>
      </c>
      <c r="H478" s="4" t="s">
        <v>93</v>
      </c>
      <c r="I478" s="4"/>
      <c r="J478" s="4"/>
      <c r="K478" s="4">
        <v>232</v>
      </c>
      <c r="L478" s="4">
        <v>15</v>
      </c>
      <c r="M478" s="4">
        <v>3</v>
      </c>
      <c r="N478" s="4" t="s">
        <v>3</v>
      </c>
      <c r="O478" s="4">
        <v>2</v>
      </c>
      <c r="P478" s="4"/>
      <c r="Q478" s="4"/>
      <c r="R478" s="4"/>
      <c r="S478" s="4"/>
      <c r="T478" s="4"/>
      <c r="U478" s="4"/>
      <c r="V478" s="4"/>
      <c r="W478" s="4">
        <v>0</v>
      </c>
      <c r="X478" s="4">
        <v>1</v>
      </c>
      <c r="Y478" s="4">
        <v>0</v>
      </c>
      <c r="Z478" s="4"/>
      <c r="AA478" s="4"/>
      <c r="AB478" s="4"/>
    </row>
    <row r="479" spans="1:28" x14ac:dyDescent="0.2">
      <c r="A479" s="4">
        <v>50</v>
      </c>
      <c r="B479" s="4">
        <v>0</v>
      </c>
      <c r="C479" s="4">
        <v>0</v>
      </c>
      <c r="D479" s="4">
        <v>1</v>
      </c>
      <c r="E479" s="4">
        <v>214</v>
      </c>
      <c r="F479" s="4">
        <f>ROUND(Source!AS462,O479)</f>
        <v>0</v>
      </c>
      <c r="G479" s="4" t="s">
        <v>94</v>
      </c>
      <c r="H479" s="4" t="s">
        <v>95</v>
      </c>
      <c r="I479" s="4"/>
      <c r="J479" s="4"/>
      <c r="K479" s="4">
        <v>214</v>
      </c>
      <c r="L479" s="4">
        <v>16</v>
      </c>
      <c r="M479" s="4">
        <v>3</v>
      </c>
      <c r="N479" s="4" t="s">
        <v>3</v>
      </c>
      <c r="O479" s="4">
        <v>2</v>
      </c>
      <c r="P479" s="4"/>
      <c r="Q479" s="4"/>
      <c r="R479" s="4"/>
      <c r="S479" s="4"/>
      <c r="T479" s="4"/>
      <c r="U479" s="4"/>
      <c r="V479" s="4"/>
      <c r="W479" s="4">
        <v>0</v>
      </c>
      <c r="X479" s="4">
        <v>1</v>
      </c>
      <c r="Y479" s="4">
        <v>0</v>
      </c>
      <c r="Z479" s="4"/>
      <c r="AA479" s="4"/>
      <c r="AB479" s="4"/>
    </row>
    <row r="480" spans="1:28" x14ac:dyDescent="0.2">
      <c r="A480" s="4">
        <v>50</v>
      </c>
      <c r="B480" s="4">
        <v>0</v>
      </c>
      <c r="C480" s="4">
        <v>0</v>
      </c>
      <c r="D480" s="4">
        <v>1</v>
      </c>
      <c r="E480" s="4">
        <v>215</v>
      </c>
      <c r="F480" s="4">
        <f>ROUND(Source!AT462,O480)</f>
        <v>0</v>
      </c>
      <c r="G480" s="4" t="s">
        <v>96</v>
      </c>
      <c r="H480" s="4" t="s">
        <v>97</v>
      </c>
      <c r="I480" s="4"/>
      <c r="J480" s="4"/>
      <c r="K480" s="4">
        <v>215</v>
      </c>
      <c r="L480" s="4">
        <v>17</v>
      </c>
      <c r="M480" s="4">
        <v>3</v>
      </c>
      <c r="N480" s="4" t="s">
        <v>3</v>
      </c>
      <c r="O480" s="4">
        <v>2</v>
      </c>
      <c r="P480" s="4"/>
      <c r="Q480" s="4"/>
      <c r="R480" s="4"/>
      <c r="S480" s="4"/>
      <c r="T480" s="4"/>
      <c r="U480" s="4"/>
      <c r="V480" s="4"/>
      <c r="W480" s="4">
        <v>0</v>
      </c>
      <c r="X480" s="4">
        <v>1</v>
      </c>
      <c r="Y480" s="4">
        <v>0</v>
      </c>
      <c r="Z480" s="4"/>
      <c r="AA480" s="4"/>
      <c r="AB480" s="4"/>
    </row>
    <row r="481" spans="1:206" x14ac:dyDescent="0.2">
      <c r="A481" s="4">
        <v>50</v>
      </c>
      <c r="B481" s="4">
        <v>0</v>
      </c>
      <c r="C481" s="4">
        <v>0</v>
      </c>
      <c r="D481" s="4">
        <v>1</v>
      </c>
      <c r="E481" s="4">
        <v>217</v>
      </c>
      <c r="F481" s="4">
        <f>ROUND(Source!AU462,O481)</f>
        <v>4966.88</v>
      </c>
      <c r="G481" s="4" t="s">
        <v>98</v>
      </c>
      <c r="H481" s="4" t="s">
        <v>99</v>
      </c>
      <c r="I481" s="4"/>
      <c r="J481" s="4"/>
      <c r="K481" s="4">
        <v>217</v>
      </c>
      <c r="L481" s="4">
        <v>18</v>
      </c>
      <c r="M481" s="4">
        <v>3</v>
      </c>
      <c r="N481" s="4" t="s">
        <v>3</v>
      </c>
      <c r="O481" s="4">
        <v>2</v>
      </c>
      <c r="P481" s="4"/>
      <c r="Q481" s="4"/>
      <c r="R481" s="4"/>
      <c r="S481" s="4"/>
      <c r="T481" s="4"/>
      <c r="U481" s="4"/>
      <c r="V481" s="4"/>
      <c r="W481" s="4">
        <v>4966.88</v>
      </c>
      <c r="X481" s="4">
        <v>1</v>
      </c>
      <c r="Y481" s="4">
        <v>4966.88</v>
      </c>
      <c r="Z481" s="4"/>
      <c r="AA481" s="4"/>
      <c r="AB481" s="4"/>
    </row>
    <row r="482" spans="1:206" x14ac:dyDescent="0.2">
      <c r="A482" s="4">
        <v>50</v>
      </c>
      <c r="B482" s="4">
        <v>0</v>
      </c>
      <c r="C482" s="4">
        <v>0</v>
      </c>
      <c r="D482" s="4">
        <v>1</v>
      </c>
      <c r="E482" s="4">
        <v>230</v>
      </c>
      <c r="F482" s="4">
        <f>ROUND(Source!BA462,O482)</f>
        <v>0</v>
      </c>
      <c r="G482" s="4" t="s">
        <v>100</v>
      </c>
      <c r="H482" s="4" t="s">
        <v>101</v>
      </c>
      <c r="I482" s="4"/>
      <c r="J482" s="4"/>
      <c r="K482" s="4">
        <v>230</v>
      </c>
      <c r="L482" s="4">
        <v>19</v>
      </c>
      <c r="M482" s="4">
        <v>3</v>
      </c>
      <c r="N482" s="4" t="s">
        <v>3</v>
      </c>
      <c r="O482" s="4">
        <v>2</v>
      </c>
      <c r="P482" s="4"/>
      <c r="Q482" s="4"/>
      <c r="R482" s="4"/>
      <c r="S482" s="4"/>
      <c r="T482" s="4"/>
      <c r="U482" s="4"/>
      <c r="V482" s="4"/>
      <c r="W482" s="4">
        <v>0</v>
      </c>
      <c r="X482" s="4">
        <v>1</v>
      </c>
      <c r="Y482" s="4">
        <v>0</v>
      </c>
      <c r="Z482" s="4"/>
      <c r="AA482" s="4"/>
      <c r="AB482" s="4"/>
    </row>
    <row r="483" spans="1:206" x14ac:dyDescent="0.2">
      <c r="A483" s="4">
        <v>50</v>
      </c>
      <c r="B483" s="4">
        <v>0</v>
      </c>
      <c r="C483" s="4">
        <v>0</v>
      </c>
      <c r="D483" s="4">
        <v>1</v>
      </c>
      <c r="E483" s="4">
        <v>206</v>
      </c>
      <c r="F483" s="4">
        <f>ROUND(Source!T462,O483)</f>
        <v>0</v>
      </c>
      <c r="G483" s="4" t="s">
        <v>102</v>
      </c>
      <c r="H483" s="4" t="s">
        <v>103</v>
      </c>
      <c r="I483" s="4"/>
      <c r="J483" s="4"/>
      <c r="K483" s="4">
        <v>206</v>
      </c>
      <c r="L483" s="4">
        <v>20</v>
      </c>
      <c r="M483" s="4">
        <v>3</v>
      </c>
      <c r="N483" s="4" t="s">
        <v>3</v>
      </c>
      <c r="O483" s="4">
        <v>2</v>
      </c>
      <c r="P483" s="4"/>
      <c r="Q483" s="4"/>
      <c r="R483" s="4"/>
      <c r="S483" s="4"/>
      <c r="T483" s="4"/>
      <c r="U483" s="4"/>
      <c r="V483" s="4"/>
      <c r="W483" s="4">
        <v>0</v>
      </c>
      <c r="X483" s="4">
        <v>1</v>
      </c>
      <c r="Y483" s="4">
        <v>0</v>
      </c>
      <c r="Z483" s="4"/>
      <c r="AA483" s="4"/>
      <c r="AB483" s="4"/>
    </row>
    <row r="484" spans="1:206" x14ac:dyDescent="0.2">
      <c r="A484" s="4">
        <v>50</v>
      </c>
      <c r="B484" s="4">
        <v>0</v>
      </c>
      <c r="C484" s="4">
        <v>0</v>
      </c>
      <c r="D484" s="4">
        <v>1</v>
      </c>
      <c r="E484" s="4">
        <v>207</v>
      </c>
      <c r="F484" s="4">
        <f>Source!U462</f>
        <v>0</v>
      </c>
      <c r="G484" s="4" t="s">
        <v>104</v>
      </c>
      <c r="H484" s="4" t="s">
        <v>105</v>
      </c>
      <c r="I484" s="4"/>
      <c r="J484" s="4"/>
      <c r="K484" s="4">
        <v>207</v>
      </c>
      <c r="L484" s="4">
        <v>21</v>
      </c>
      <c r="M484" s="4">
        <v>3</v>
      </c>
      <c r="N484" s="4" t="s">
        <v>3</v>
      </c>
      <c r="O484" s="4">
        <v>-1</v>
      </c>
      <c r="P484" s="4"/>
      <c r="Q484" s="4"/>
      <c r="R484" s="4"/>
      <c r="S484" s="4"/>
      <c r="T484" s="4"/>
      <c r="U484" s="4"/>
      <c r="V484" s="4"/>
      <c r="W484" s="4">
        <v>0</v>
      </c>
      <c r="X484" s="4">
        <v>1</v>
      </c>
      <c r="Y484" s="4">
        <v>0</v>
      </c>
      <c r="Z484" s="4"/>
      <c r="AA484" s="4"/>
      <c r="AB484" s="4"/>
    </row>
    <row r="485" spans="1:206" x14ac:dyDescent="0.2">
      <c r="A485" s="4">
        <v>50</v>
      </c>
      <c r="B485" s="4">
        <v>0</v>
      </c>
      <c r="C485" s="4">
        <v>0</v>
      </c>
      <c r="D485" s="4">
        <v>1</v>
      </c>
      <c r="E485" s="4">
        <v>208</v>
      </c>
      <c r="F485" s="4">
        <f>Source!V462</f>
        <v>0</v>
      </c>
      <c r="G485" s="4" t="s">
        <v>106</v>
      </c>
      <c r="H485" s="4" t="s">
        <v>107</v>
      </c>
      <c r="I485" s="4"/>
      <c r="J485" s="4"/>
      <c r="K485" s="4">
        <v>208</v>
      </c>
      <c r="L485" s="4">
        <v>22</v>
      </c>
      <c r="M485" s="4">
        <v>3</v>
      </c>
      <c r="N485" s="4" t="s">
        <v>3</v>
      </c>
      <c r="O485" s="4">
        <v>-1</v>
      </c>
      <c r="P485" s="4"/>
      <c r="Q485" s="4"/>
      <c r="R485" s="4"/>
      <c r="S485" s="4"/>
      <c r="T485" s="4"/>
      <c r="U485" s="4"/>
      <c r="V485" s="4"/>
      <c r="W485" s="4">
        <v>0</v>
      </c>
      <c r="X485" s="4">
        <v>1</v>
      </c>
      <c r="Y485" s="4">
        <v>0</v>
      </c>
      <c r="Z485" s="4"/>
      <c r="AA485" s="4"/>
      <c r="AB485" s="4"/>
    </row>
    <row r="486" spans="1:206" x14ac:dyDescent="0.2">
      <c r="A486" s="4">
        <v>50</v>
      </c>
      <c r="B486" s="4">
        <v>0</v>
      </c>
      <c r="C486" s="4">
        <v>0</v>
      </c>
      <c r="D486" s="4">
        <v>1</v>
      </c>
      <c r="E486" s="4">
        <v>209</v>
      </c>
      <c r="F486" s="4">
        <f>ROUND(Source!W462,O486)</f>
        <v>0</v>
      </c>
      <c r="G486" s="4" t="s">
        <v>108</v>
      </c>
      <c r="H486" s="4" t="s">
        <v>109</v>
      </c>
      <c r="I486" s="4"/>
      <c r="J486" s="4"/>
      <c r="K486" s="4">
        <v>209</v>
      </c>
      <c r="L486" s="4">
        <v>23</v>
      </c>
      <c r="M486" s="4">
        <v>3</v>
      </c>
      <c r="N486" s="4" t="s">
        <v>3</v>
      </c>
      <c r="O486" s="4">
        <v>2</v>
      </c>
      <c r="P486" s="4"/>
      <c r="Q486" s="4"/>
      <c r="R486" s="4"/>
      <c r="S486" s="4"/>
      <c r="T486" s="4"/>
      <c r="U486" s="4"/>
      <c r="V486" s="4"/>
      <c r="W486" s="4">
        <v>0</v>
      </c>
      <c r="X486" s="4">
        <v>1</v>
      </c>
      <c r="Y486" s="4">
        <v>0</v>
      </c>
      <c r="Z486" s="4"/>
      <c r="AA486" s="4"/>
      <c r="AB486" s="4"/>
    </row>
    <row r="487" spans="1:206" x14ac:dyDescent="0.2">
      <c r="A487" s="4">
        <v>50</v>
      </c>
      <c r="B487" s="4">
        <v>0</v>
      </c>
      <c r="C487" s="4">
        <v>0</v>
      </c>
      <c r="D487" s="4">
        <v>1</v>
      </c>
      <c r="E487" s="4">
        <v>233</v>
      </c>
      <c r="F487" s="4">
        <f>ROUND(Source!BD462,O487)</f>
        <v>0</v>
      </c>
      <c r="G487" s="4" t="s">
        <v>110</v>
      </c>
      <c r="H487" s="4" t="s">
        <v>111</v>
      </c>
      <c r="I487" s="4"/>
      <c r="J487" s="4"/>
      <c r="K487" s="4">
        <v>233</v>
      </c>
      <c r="L487" s="4">
        <v>24</v>
      </c>
      <c r="M487" s="4">
        <v>3</v>
      </c>
      <c r="N487" s="4" t="s">
        <v>3</v>
      </c>
      <c r="O487" s="4">
        <v>2</v>
      </c>
      <c r="P487" s="4"/>
      <c r="Q487" s="4"/>
      <c r="R487" s="4"/>
      <c r="S487" s="4"/>
      <c r="T487" s="4"/>
      <c r="U487" s="4"/>
      <c r="V487" s="4"/>
      <c r="W487" s="4">
        <v>0</v>
      </c>
      <c r="X487" s="4">
        <v>1</v>
      </c>
      <c r="Y487" s="4">
        <v>0</v>
      </c>
      <c r="Z487" s="4"/>
      <c r="AA487" s="4"/>
      <c r="AB487" s="4"/>
    </row>
    <row r="488" spans="1:206" x14ac:dyDescent="0.2">
      <c r="A488" s="4">
        <v>50</v>
      </c>
      <c r="B488" s="4">
        <v>0</v>
      </c>
      <c r="C488" s="4">
        <v>0</v>
      </c>
      <c r="D488" s="4">
        <v>1</v>
      </c>
      <c r="E488" s="4">
        <v>210</v>
      </c>
      <c r="F488" s="4">
        <f>ROUND(Source!X462,O488)</f>
        <v>0</v>
      </c>
      <c r="G488" s="4" t="s">
        <v>112</v>
      </c>
      <c r="H488" s="4" t="s">
        <v>113</v>
      </c>
      <c r="I488" s="4"/>
      <c r="J488" s="4"/>
      <c r="K488" s="4">
        <v>210</v>
      </c>
      <c r="L488" s="4">
        <v>25</v>
      </c>
      <c r="M488" s="4">
        <v>3</v>
      </c>
      <c r="N488" s="4" t="s">
        <v>3</v>
      </c>
      <c r="O488" s="4">
        <v>2</v>
      </c>
      <c r="P488" s="4"/>
      <c r="Q488" s="4"/>
      <c r="R488" s="4"/>
      <c r="S488" s="4"/>
      <c r="T488" s="4"/>
      <c r="U488" s="4"/>
      <c r="V488" s="4"/>
      <c r="W488" s="4">
        <v>0</v>
      </c>
      <c r="X488" s="4">
        <v>1</v>
      </c>
      <c r="Y488" s="4">
        <v>0</v>
      </c>
      <c r="Z488" s="4"/>
      <c r="AA488" s="4"/>
      <c r="AB488" s="4"/>
    </row>
    <row r="489" spans="1:206" x14ac:dyDescent="0.2">
      <c r="A489" s="4">
        <v>50</v>
      </c>
      <c r="B489" s="4">
        <v>0</v>
      </c>
      <c r="C489" s="4">
        <v>0</v>
      </c>
      <c r="D489" s="4">
        <v>1</v>
      </c>
      <c r="E489" s="4">
        <v>211</v>
      </c>
      <c r="F489" s="4">
        <f>ROUND(Source!Y462,O489)</f>
        <v>0</v>
      </c>
      <c r="G489" s="4" t="s">
        <v>114</v>
      </c>
      <c r="H489" s="4" t="s">
        <v>115</v>
      </c>
      <c r="I489" s="4"/>
      <c r="J489" s="4"/>
      <c r="K489" s="4">
        <v>211</v>
      </c>
      <c r="L489" s="4">
        <v>26</v>
      </c>
      <c r="M489" s="4">
        <v>3</v>
      </c>
      <c r="N489" s="4" t="s">
        <v>3</v>
      </c>
      <c r="O489" s="4">
        <v>2</v>
      </c>
      <c r="P489" s="4"/>
      <c r="Q489" s="4"/>
      <c r="R489" s="4"/>
      <c r="S489" s="4"/>
      <c r="T489" s="4"/>
      <c r="U489" s="4"/>
      <c r="V489" s="4"/>
      <c r="W489" s="4">
        <v>0</v>
      </c>
      <c r="X489" s="4">
        <v>1</v>
      </c>
      <c r="Y489" s="4">
        <v>0</v>
      </c>
      <c r="Z489" s="4"/>
      <c r="AA489" s="4"/>
      <c r="AB489" s="4"/>
    </row>
    <row r="490" spans="1:206" x14ac:dyDescent="0.2">
      <c r="A490" s="4">
        <v>50</v>
      </c>
      <c r="B490" s="4">
        <v>0</v>
      </c>
      <c r="C490" s="4">
        <v>0</v>
      </c>
      <c r="D490" s="4">
        <v>1</v>
      </c>
      <c r="E490" s="4">
        <v>224</v>
      </c>
      <c r="F490" s="4">
        <f>ROUND(Source!AR462,O490)</f>
        <v>4966.88</v>
      </c>
      <c r="G490" s="4" t="s">
        <v>116</v>
      </c>
      <c r="H490" s="4" t="s">
        <v>117</v>
      </c>
      <c r="I490" s="4"/>
      <c r="J490" s="4"/>
      <c r="K490" s="4">
        <v>224</v>
      </c>
      <c r="L490" s="4">
        <v>27</v>
      </c>
      <c r="M490" s="4">
        <v>3</v>
      </c>
      <c r="N490" s="4" t="s">
        <v>3</v>
      </c>
      <c r="O490" s="4">
        <v>2</v>
      </c>
      <c r="P490" s="4"/>
      <c r="Q490" s="4"/>
      <c r="R490" s="4"/>
      <c r="S490" s="4"/>
      <c r="T490" s="4"/>
      <c r="U490" s="4"/>
      <c r="V490" s="4"/>
      <c r="W490" s="4">
        <v>4966.88</v>
      </c>
      <c r="X490" s="4">
        <v>1</v>
      </c>
      <c r="Y490" s="4">
        <v>4966.88</v>
      </c>
      <c r="Z490" s="4"/>
      <c r="AA490" s="4"/>
      <c r="AB490" s="4"/>
    </row>
    <row r="492" spans="1:206" x14ac:dyDescent="0.2">
      <c r="A492" s="2">
        <v>51</v>
      </c>
      <c r="B492" s="2">
        <f>B20</f>
        <v>1</v>
      </c>
      <c r="C492" s="2">
        <f>A20</f>
        <v>3</v>
      </c>
      <c r="D492" s="2">
        <f>ROW(A20)</f>
        <v>20</v>
      </c>
      <c r="E492" s="2"/>
      <c r="F492" s="2" t="str">
        <f>IF(F20&lt;&gt;"",F20,"")</f>
        <v>Новая локальная смета</v>
      </c>
      <c r="G492" s="2" t="str">
        <f>IF(G20&lt;&gt;"",G20,"")</f>
        <v>Новая локальная смета</v>
      </c>
      <c r="H492" s="2">
        <v>0</v>
      </c>
      <c r="I492" s="2"/>
      <c r="J492" s="2"/>
      <c r="K492" s="2"/>
      <c r="L492" s="2"/>
      <c r="M492" s="2"/>
      <c r="N492" s="2"/>
      <c r="O492" s="2">
        <f t="shared" ref="O492:T492" si="418">ROUND(O217+O424+O462+AB492,2)</f>
        <v>1626320.45</v>
      </c>
      <c r="P492" s="2">
        <f t="shared" si="418"/>
        <v>1011274.7</v>
      </c>
      <c r="Q492" s="2">
        <f t="shared" si="418"/>
        <v>23758.01</v>
      </c>
      <c r="R492" s="2">
        <f t="shared" si="418"/>
        <v>18629.830000000002</v>
      </c>
      <c r="S492" s="2">
        <f t="shared" si="418"/>
        <v>591287.74</v>
      </c>
      <c r="T492" s="2">
        <f t="shared" si="418"/>
        <v>0</v>
      </c>
      <c r="U492" s="2">
        <f>U217+U424+U462+AH492</f>
        <v>1979.8973254000002</v>
      </c>
      <c r="V492" s="2">
        <f>V217+V424+V462+AI492</f>
        <v>0</v>
      </c>
      <c r="W492" s="2">
        <f>ROUND(W217+W424+W462+AJ492,2)</f>
        <v>0</v>
      </c>
      <c r="X492" s="2">
        <f>ROUND(X217+X424+X462+AK492,2)</f>
        <v>413901.44</v>
      </c>
      <c r="Y492" s="2">
        <f>ROUND(Y217+Y424+Y462+AL492,2)</f>
        <v>59128.79</v>
      </c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>
        <f t="shared" ref="AO492:BD492" si="419">ROUND(AO217+AO424+AO462+BX492,2)</f>
        <v>0</v>
      </c>
      <c r="AP492" s="2">
        <f t="shared" si="419"/>
        <v>0</v>
      </c>
      <c r="AQ492" s="2">
        <f t="shared" si="419"/>
        <v>0</v>
      </c>
      <c r="AR492" s="2">
        <f t="shared" si="419"/>
        <v>2116768.7999999998</v>
      </c>
      <c r="AS492" s="2">
        <f t="shared" si="419"/>
        <v>0</v>
      </c>
      <c r="AT492" s="2">
        <f t="shared" si="419"/>
        <v>0</v>
      </c>
      <c r="AU492" s="2">
        <f t="shared" si="419"/>
        <v>2116768.7999999998</v>
      </c>
      <c r="AV492" s="2">
        <f t="shared" si="419"/>
        <v>1011274.7</v>
      </c>
      <c r="AW492" s="2">
        <f t="shared" si="419"/>
        <v>1011274.7</v>
      </c>
      <c r="AX492" s="2">
        <f t="shared" si="419"/>
        <v>0</v>
      </c>
      <c r="AY492" s="2">
        <f t="shared" si="419"/>
        <v>1011274.7</v>
      </c>
      <c r="AZ492" s="2">
        <f t="shared" si="419"/>
        <v>0</v>
      </c>
      <c r="BA492" s="2">
        <f t="shared" si="419"/>
        <v>0</v>
      </c>
      <c r="BB492" s="2">
        <f t="shared" si="419"/>
        <v>0</v>
      </c>
      <c r="BC492" s="2">
        <f t="shared" si="419"/>
        <v>0</v>
      </c>
      <c r="BD492" s="2">
        <f t="shared" si="419"/>
        <v>0</v>
      </c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>
        <v>0</v>
      </c>
    </row>
    <row r="494" spans="1:206" x14ac:dyDescent="0.2">
      <c r="A494" s="4">
        <v>50</v>
      </c>
      <c r="B494" s="4">
        <v>0</v>
      </c>
      <c r="C494" s="4">
        <v>0</v>
      </c>
      <c r="D494" s="4">
        <v>1</v>
      </c>
      <c r="E494" s="4">
        <v>201</v>
      </c>
      <c r="F494" s="4">
        <f>ROUND(Source!O492,O494)</f>
        <v>1626320.45</v>
      </c>
      <c r="G494" s="4" t="s">
        <v>64</v>
      </c>
      <c r="H494" s="4" t="s">
        <v>65</v>
      </c>
      <c r="I494" s="4"/>
      <c r="J494" s="4"/>
      <c r="K494" s="4">
        <v>201</v>
      </c>
      <c r="L494" s="4">
        <v>1</v>
      </c>
      <c r="M494" s="4">
        <v>3</v>
      </c>
      <c r="N494" s="4" t="s">
        <v>3</v>
      </c>
      <c r="O494" s="4">
        <v>2</v>
      </c>
      <c r="P494" s="4"/>
      <c r="Q494" s="4"/>
      <c r="R494" s="4"/>
      <c r="S494" s="4"/>
      <c r="T494" s="4"/>
      <c r="U494" s="4"/>
      <c r="V494" s="4"/>
      <c r="W494" s="4">
        <v>1626320.45</v>
      </c>
      <c r="X494" s="4">
        <v>1</v>
      </c>
      <c r="Y494" s="4">
        <v>1626320.45</v>
      </c>
      <c r="Z494" s="4"/>
      <c r="AA494" s="4"/>
      <c r="AB494" s="4"/>
    </row>
    <row r="495" spans="1:206" x14ac:dyDescent="0.2">
      <c r="A495" s="4">
        <v>50</v>
      </c>
      <c r="B495" s="4">
        <v>0</v>
      </c>
      <c r="C495" s="4">
        <v>0</v>
      </c>
      <c r="D495" s="4">
        <v>1</v>
      </c>
      <c r="E495" s="4">
        <v>202</v>
      </c>
      <c r="F495" s="4">
        <f>ROUND(Source!P492,O495)</f>
        <v>1011274.7</v>
      </c>
      <c r="G495" s="4" t="s">
        <v>66</v>
      </c>
      <c r="H495" s="4" t="s">
        <v>67</v>
      </c>
      <c r="I495" s="4"/>
      <c r="J495" s="4"/>
      <c r="K495" s="4">
        <v>202</v>
      </c>
      <c r="L495" s="4">
        <v>2</v>
      </c>
      <c r="M495" s="4">
        <v>3</v>
      </c>
      <c r="N495" s="4" t="s">
        <v>3</v>
      </c>
      <c r="O495" s="4">
        <v>2</v>
      </c>
      <c r="P495" s="4"/>
      <c r="Q495" s="4"/>
      <c r="R495" s="4"/>
      <c r="S495" s="4"/>
      <c r="T495" s="4"/>
      <c r="U495" s="4"/>
      <c r="V495" s="4"/>
      <c r="W495" s="4">
        <v>1011274.7</v>
      </c>
      <c r="X495" s="4">
        <v>1</v>
      </c>
      <c r="Y495" s="4">
        <v>1011274.7</v>
      </c>
      <c r="Z495" s="4"/>
      <c r="AA495" s="4"/>
      <c r="AB495" s="4"/>
    </row>
    <row r="496" spans="1:206" x14ac:dyDescent="0.2">
      <c r="A496" s="4">
        <v>50</v>
      </c>
      <c r="B496" s="4">
        <v>0</v>
      </c>
      <c r="C496" s="4">
        <v>0</v>
      </c>
      <c r="D496" s="4">
        <v>1</v>
      </c>
      <c r="E496" s="4">
        <v>222</v>
      </c>
      <c r="F496" s="4">
        <f>ROUND(Source!AO492,O496)</f>
        <v>0</v>
      </c>
      <c r="G496" s="4" t="s">
        <v>68</v>
      </c>
      <c r="H496" s="4" t="s">
        <v>69</v>
      </c>
      <c r="I496" s="4"/>
      <c r="J496" s="4"/>
      <c r="K496" s="4">
        <v>222</v>
      </c>
      <c r="L496" s="4">
        <v>3</v>
      </c>
      <c r="M496" s="4">
        <v>3</v>
      </c>
      <c r="N496" s="4" t="s">
        <v>3</v>
      </c>
      <c r="O496" s="4">
        <v>2</v>
      </c>
      <c r="P496" s="4"/>
      <c r="Q496" s="4"/>
      <c r="R496" s="4"/>
      <c r="S496" s="4"/>
      <c r="T496" s="4"/>
      <c r="U496" s="4"/>
      <c r="V496" s="4"/>
      <c r="W496" s="4">
        <v>0</v>
      </c>
      <c r="X496" s="4">
        <v>1</v>
      </c>
      <c r="Y496" s="4">
        <v>0</v>
      </c>
      <c r="Z496" s="4"/>
      <c r="AA496" s="4"/>
      <c r="AB496" s="4"/>
    </row>
    <row r="497" spans="1:28" x14ac:dyDescent="0.2">
      <c r="A497" s="4">
        <v>50</v>
      </c>
      <c r="B497" s="4">
        <v>0</v>
      </c>
      <c r="C497" s="4">
        <v>0</v>
      </c>
      <c r="D497" s="4">
        <v>1</v>
      </c>
      <c r="E497" s="4">
        <v>225</v>
      </c>
      <c r="F497" s="4">
        <f>ROUND(Source!AV492,O497)</f>
        <v>1011274.7</v>
      </c>
      <c r="G497" s="4" t="s">
        <v>70</v>
      </c>
      <c r="H497" s="4" t="s">
        <v>71</v>
      </c>
      <c r="I497" s="4"/>
      <c r="J497" s="4"/>
      <c r="K497" s="4">
        <v>225</v>
      </c>
      <c r="L497" s="4">
        <v>4</v>
      </c>
      <c r="M497" s="4">
        <v>3</v>
      </c>
      <c r="N497" s="4" t="s">
        <v>3</v>
      </c>
      <c r="O497" s="4">
        <v>2</v>
      </c>
      <c r="P497" s="4"/>
      <c r="Q497" s="4"/>
      <c r="R497" s="4"/>
      <c r="S497" s="4"/>
      <c r="T497" s="4"/>
      <c r="U497" s="4"/>
      <c r="V497" s="4"/>
      <c r="W497" s="4">
        <v>1011274.7</v>
      </c>
      <c r="X497" s="4">
        <v>1</v>
      </c>
      <c r="Y497" s="4">
        <v>1011274.7</v>
      </c>
      <c r="Z497" s="4"/>
      <c r="AA497" s="4"/>
      <c r="AB497" s="4"/>
    </row>
    <row r="498" spans="1:28" x14ac:dyDescent="0.2">
      <c r="A498" s="4">
        <v>50</v>
      </c>
      <c r="B498" s="4">
        <v>0</v>
      </c>
      <c r="C498" s="4">
        <v>0</v>
      </c>
      <c r="D498" s="4">
        <v>1</v>
      </c>
      <c r="E498" s="4">
        <v>226</v>
      </c>
      <c r="F498" s="4">
        <f>ROUND(Source!AW492,O498)</f>
        <v>1011274.7</v>
      </c>
      <c r="G498" s="4" t="s">
        <v>72</v>
      </c>
      <c r="H498" s="4" t="s">
        <v>73</v>
      </c>
      <c r="I498" s="4"/>
      <c r="J498" s="4"/>
      <c r="K498" s="4">
        <v>226</v>
      </c>
      <c r="L498" s="4">
        <v>5</v>
      </c>
      <c r="M498" s="4">
        <v>3</v>
      </c>
      <c r="N498" s="4" t="s">
        <v>3</v>
      </c>
      <c r="O498" s="4">
        <v>2</v>
      </c>
      <c r="P498" s="4"/>
      <c r="Q498" s="4"/>
      <c r="R498" s="4"/>
      <c r="S498" s="4"/>
      <c r="T498" s="4"/>
      <c r="U498" s="4"/>
      <c r="V498" s="4"/>
      <c r="W498" s="4">
        <v>1011274.7</v>
      </c>
      <c r="X498" s="4">
        <v>1</v>
      </c>
      <c r="Y498" s="4">
        <v>1011274.7</v>
      </c>
      <c r="Z498" s="4"/>
      <c r="AA498" s="4"/>
      <c r="AB498" s="4"/>
    </row>
    <row r="499" spans="1:28" x14ac:dyDescent="0.2">
      <c r="A499" s="4">
        <v>50</v>
      </c>
      <c r="B499" s="4">
        <v>0</v>
      </c>
      <c r="C499" s="4">
        <v>0</v>
      </c>
      <c r="D499" s="4">
        <v>1</v>
      </c>
      <c r="E499" s="4">
        <v>227</v>
      </c>
      <c r="F499" s="4">
        <f>ROUND(Source!AX492,O499)</f>
        <v>0</v>
      </c>
      <c r="G499" s="4" t="s">
        <v>74</v>
      </c>
      <c r="H499" s="4" t="s">
        <v>75</v>
      </c>
      <c r="I499" s="4"/>
      <c r="J499" s="4"/>
      <c r="K499" s="4">
        <v>227</v>
      </c>
      <c r="L499" s="4">
        <v>6</v>
      </c>
      <c r="M499" s="4">
        <v>3</v>
      </c>
      <c r="N499" s="4" t="s">
        <v>3</v>
      </c>
      <c r="O499" s="4">
        <v>2</v>
      </c>
      <c r="P499" s="4"/>
      <c r="Q499" s="4"/>
      <c r="R499" s="4"/>
      <c r="S499" s="4"/>
      <c r="T499" s="4"/>
      <c r="U499" s="4"/>
      <c r="V499" s="4"/>
      <c r="W499" s="4">
        <v>0</v>
      </c>
      <c r="X499" s="4">
        <v>1</v>
      </c>
      <c r="Y499" s="4">
        <v>0</v>
      </c>
      <c r="Z499" s="4"/>
      <c r="AA499" s="4"/>
      <c r="AB499" s="4"/>
    </row>
    <row r="500" spans="1:28" x14ac:dyDescent="0.2">
      <c r="A500" s="4">
        <v>50</v>
      </c>
      <c r="B500" s="4">
        <v>0</v>
      </c>
      <c r="C500" s="4">
        <v>0</v>
      </c>
      <c r="D500" s="4">
        <v>1</v>
      </c>
      <c r="E500" s="4">
        <v>228</v>
      </c>
      <c r="F500" s="4">
        <f>ROUND(Source!AY492,O500)</f>
        <v>1011274.7</v>
      </c>
      <c r="G500" s="4" t="s">
        <v>76</v>
      </c>
      <c r="H500" s="4" t="s">
        <v>77</v>
      </c>
      <c r="I500" s="4"/>
      <c r="J500" s="4"/>
      <c r="K500" s="4">
        <v>228</v>
      </c>
      <c r="L500" s="4">
        <v>7</v>
      </c>
      <c r="M500" s="4">
        <v>3</v>
      </c>
      <c r="N500" s="4" t="s">
        <v>3</v>
      </c>
      <c r="O500" s="4">
        <v>2</v>
      </c>
      <c r="P500" s="4"/>
      <c r="Q500" s="4"/>
      <c r="R500" s="4"/>
      <c r="S500" s="4"/>
      <c r="T500" s="4"/>
      <c r="U500" s="4"/>
      <c r="V500" s="4"/>
      <c r="W500" s="4">
        <v>1011274.7</v>
      </c>
      <c r="X500" s="4">
        <v>1</v>
      </c>
      <c r="Y500" s="4">
        <v>1011274.7</v>
      </c>
      <c r="Z500" s="4"/>
      <c r="AA500" s="4"/>
      <c r="AB500" s="4"/>
    </row>
    <row r="501" spans="1:28" x14ac:dyDescent="0.2">
      <c r="A501" s="4">
        <v>50</v>
      </c>
      <c r="B501" s="4">
        <v>0</v>
      </c>
      <c r="C501" s="4">
        <v>0</v>
      </c>
      <c r="D501" s="4">
        <v>1</v>
      </c>
      <c r="E501" s="4">
        <v>216</v>
      </c>
      <c r="F501" s="4">
        <f>ROUND(Source!AP492,O501)</f>
        <v>0</v>
      </c>
      <c r="G501" s="4" t="s">
        <v>78</v>
      </c>
      <c r="H501" s="4" t="s">
        <v>79</v>
      </c>
      <c r="I501" s="4"/>
      <c r="J501" s="4"/>
      <c r="K501" s="4">
        <v>216</v>
      </c>
      <c r="L501" s="4">
        <v>8</v>
      </c>
      <c r="M501" s="4">
        <v>3</v>
      </c>
      <c r="N501" s="4" t="s">
        <v>3</v>
      </c>
      <c r="O501" s="4">
        <v>2</v>
      </c>
      <c r="P501" s="4"/>
      <c r="Q501" s="4"/>
      <c r="R501" s="4"/>
      <c r="S501" s="4"/>
      <c r="T501" s="4"/>
      <c r="U501" s="4"/>
      <c r="V501" s="4"/>
      <c r="W501" s="4">
        <v>0</v>
      </c>
      <c r="X501" s="4">
        <v>1</v>
      </c>
      <c r="Y501" s="4">
        <v>0</v>
      </c>
      <c r="Z501" s="4"/>
      <c r="AA501" s="4"/>
      <c r="AB501" s="4"/>
    </row>
    <row r="502" spans="1:28" x14ac:dyDescent="0.2">
      <c r="A502" s="4">
        <v>50</v>
      </c>
      <c r="B502" s="4">
        <v>0</v>
      </c>
      <c r="C502" s="4">
        <v>0</v>
      </c>
      <c r="D502" s="4">
        <v>1</v>
      </c>
      <c r="E502" s="4">
        <v>223</v>
      </c>
      <c r="F502" s="4">
        <f>ROUND(Source!AQ492,O502)</f>
        <v>0</v>
      </c>
      <c r="G502" s="4" t="s">
        <v>80</v>
      </c>
      <c r="H502" s="4" t="s">
        <v>81</v>
      </c>
      <c r="I502" s="4"/>
      <c r="J502" s="4"/>
      <c r="K502" s="4">
        <v>223</v>
      </c>
      <c r="L502" s="4">
        <v>9</v>
      </c>
      <c r="M502" s="4">
        <v>3</v>
      </c>
      <c r="N502" s="4" t="s">
        <v>3</v>
      </c>
      <c r="O502" s="4">
        <v>2</v>
      </c>
      <c r="P502" s="4"/>
      <c r="Q502" s="4"/>
      <c r="R502" s="4"/>
      <c r="S502" s="4"/>
      <c r="T502" s="4"/>
      <c r="U502" s="4"/>
      <c r="V502" s="4"/>
      <c r="W502" s="4">
        <v>0</v>
      </c>
      <c r="X502" s="4">
        <v>1</v>
      </c>
      <c r="Y502" s="4">
        <v>0</v>
      </c>
      <c r="Z502" s="4"/>
      <c r="AA502" s="4"/>
      <c r="AB502" s="4"/>
    </row>
    <row r="503" spans="1:28" x14ac:dyDescent="0.2">
      <c r="A503" s="4">
        <v>50</v>
      </c>
      <c r="B503" s="4">
        <v>0</v>
      </c>
      <c r="C503" s="4">
        <v>0</v>
      </c>
      <c r="D503" s="4">
        <v>1</v>
      </c>
      <c r="E503" s="4">
        <v>229</v>
      </c>
      <c r="F503" s="4">
        <f>ROUND(Source!AZ492,O503)</f>
        <v>0</v>
      </c>
      <c r="G503" s="4" t="s">
        <v>82</v>
      </c>
      <c r="H503" s="4" t="s">
        <v>83</v>
      </c>
      <c r="I503" s="4"/>
      <c r="J503" s="4"/>
      <c r="K503" s="4">
        <v>229</v>
      </c>
      <c r="L503" s="4">
        <v>10</v>
      </c>
      <c r="M503" s="4">
        <v>3</v>
      </c>
      <c r="N503" s="4" t="s">
        <v>3</v>
      </c>
      <c r="O503" s="4">
        <v>2</v>
      </c>
      <c r="P503" s="4"/>
      <c r="Q503" s="4"/>
      <c r="R503" s="4"/>
      <c r="S503" s="4"/>
      <c r="T503" s="4"/>
      <c r="U503" s="4"/>
      <c r="V503" s="4"/>
      <c r="W503" s="4">
        <v>0</v>
      </c>
      <c r="X503" s="4">
        <v>1</v>
      </c>
      <c r="Y503" s="4">
        <v>0</v>
      </c>
      <c r="Z503" s="4"/>
      <c r="AA503" s="4"/>
      <c r="AB503" s="4"/>
    </row>
    <row r="504" spans="1:28" x14ac:dyDescent="0.2">
      <c r="A504" s="4">
        <v>50</v>
      </c>
      <c r="B504" s="4">
        <v>0</v>
      </c>
      <c r="C504" s="4">
        <v>0</v>
      </c>
      <c r="D504" s="4">
        <v>1</v>
      </c>
      <c r="E504" s="4">
        <v>203</v>
      </c>
      <c r="F504" s="4">
        <f>ROUND(Source!Q492,O504)</f>
        <v>23758.01</v>
      </c>
      <c r="G504" s="4" t="s">
        <v>84</v>
      </c>
      <c r="H504" s="4" t="s">
        <v>85</v>
      </c>
      <c r="I504" s="4"/>
      <c r="J504" s="4"/>
      <c r="K504" s="4">
        <v>203</v>
      </c>
      <c r="L504" s="4">
        <v>11</v>
      </c>
      <c r="M504" s="4">
        <v>3</v>
      </c>
      <c r="N504" s="4" t="s">
        <v>3</v>
      </c>
      <c r="O504" s="4">
        <v>2</v>
      </c>
      <c r="P504" s="4"/>
      <c r="Q504" s="4"/>
      <c r="R504" s="4"/>
      <c r="S504" s="4"/>
      <c r="T504" s="4"/>
      <c r="U504" s="4"/>
      <c r="V504" s="4"/>
      <c r="W504" s="4">
        <v>23758.01</v>
      </c>
      <c r="X504" s="4">
        <v>1</v>
      </c>
      <c r="Y504" s="4">
        <v>23758.01</v>
      </c>
      <c r="Z504" s="4"/>
      <c r="AA504" s="4"/>
      <c r="AB504" s="4"/>
    </row>
    <row r="505" spans="1:28" x14ac:dyDescent="0.2">
      <c r="A505" s="4">
        <v>50</v>
      </c>
      <c r="B505" s="4">
        <v>0</v>
      </c>
      <c r="C505" s="4">
        <v>0</v>
      </c>
      <c r="D505" s="4">
        <v>1</v>
      </c>
      <c r="E505" s="4">
        <v>231</v>
      </c>
      <c r="F505" s="4">
        <f>ROUND(Source!BB492,O505)</f>
        <v>0</v>
      </c>
      <c r="G505" s="4" t="s">
        <v>86</v>
      </c>
      <c r="H505" s="4" t="s">
        <v>87</v>
      </c>
      <c r="I505" s="4"/>
      <c r="J505" s="4"/>
      <c r="K505" s="4">
        <v>231</v>
      </c>
      <c r="L505" s="4">
        <v>12</v>
      </c>
      <c r="M505" s="4">
        <v>3</v>
      </c>
      <c r="N505" s="4" t="s">
        <v>3</v>
      </c>
      <c r="O505" s="4">
        <v>2</v>
      </c>
      <c r="P505" s="4"/>
      <c r="Q505" s="4"/>
      <c r="R505" s="4"/>
      <c r="S505" s="4"/>
      <c r="T505" s="4"/>
      <c r="U505" s="4"/>
      <c r="V505" s="4"/>
      <c r="W505" s="4">
        <v>0</v>
      </c>
      <c r="X505" s="4">
        <v>1</v>
      </c>
      <c r="Y505" s="4">
        <v>0</v>
      </c>
      <c r="Z505" s="4"/>
      <c r="AA505" s="4"/>
      <c r="AB505" s="4"/>
    </row>
    <row r="506" spans="1:28" x14ac:dyDescent="0.2">
      <c r="A506" s="4">
        <v>50</v>
      </c>
      <c r="B506" s="4">
        <v>0</v>
      </c>
      <c r="C506" s="4">
        <v>0</v>
      </c>
      <c r="D506" s="4">
        <v>1</v>
      </c>
      <c r="E506" s="4">
        <v>204</v>
      </c>
      <c r="F506" s="4">
        <f>ROUND(Source!R492,O506)</f>
        <v>18629.830000000002</v>
      </c>
      <c r="G506" s="4" t="s">
        <v>88</v>
      </c>
      <c r="H506" s="4" t="s">
        <v>89</v>
      </c>
      <c r="I506" s="4"/>
      <c r="J506" s="4"/>
      <c r="K506" s="4">
        <v>204</v>
      </c>
      <c r="L506" s="4">
        <v>13</v>
      </c>
      <c r="M506" s="4">
        <v>3</v>
      </c>
      <c r="N506" s="4" t="s">
        <v>3</v>
      </c>
      <c r="O506" s="4">
        <v>2</v>
      </c>
      <c r="P506" s="4"/>
      <c r="Q506" s="4"/>
      <c r="R506" s="4"/>
      <c r="S506" s="4"/>
      <c r="T506" s="4"/>
      <c r="U506" s="4"/>
      <c r="V506" s="4"/>
      <c r="W506" s="4">
        <v>18629.830000000002</v>
      </c>
      <c r="X506" s="4">
        <v>1</v>
      </c>
      <c r="Y506" s="4">
        <v>18629.830000000002</v>
      </c>
      <c r="Z506" s="4"/>
      <c r="AA506" s="4"/>
      <c r="AB506" s="4"/>
    </row>
    <row r="507" spans="1:28" x14ac:dyDescent="0.2">
      <c r="A507" s="4">
        <v>50</v>
      </c>
      <c r="B507" s="4">
        <v>0</v>
      </c>
      <c r="C507" s="4">
        <v>0</v>
      </c>
      <c r="D507" s="4">
        <v>1</v>
      </c>
      <c r="E507" s="4">
        <v>205</v>
      </c>
      <c r="F507" s="4">
        <f>ROUND(Source!S492,O507)</f>
        <v>591287.74</v>
      </c>
      <c r="G507" s="4" t="s">
        <v>90</v>
      </c>
      <c r="H507" s="4" t="s">
        <v>91</v>
      </c>
      <c r="I507" s="4"/>
      <c r="J507" s="4"/>
      <c r="K507" s="4">
        <v>205</v>
      </c>
      <c r="L507" s="4">
        <v>14</v>
      </c>
      <c r="M507" s="4">
        <v>3</v>
      </c>
      <c r="N507" s="4" t="s">
        <v>3</v>
      </c>
      <c r="O507" s="4">
        <v>2</v>
      </c>
      <c r="P507" s="4"/>
      <c r="Q507" s="4"/>
      <c r="R507" s="4"/>
      <c r="S507" s="4"/>
      <c r="T507" s="4"/>
      <c r="U507" s="4"/>
      <c r="V507" s="4"/>
      <c r="W507" s="4">
        <v>591287.74</v>
      </c>
      <c r="X507" s="4">
        <v>1</v>
      </c>
      <c r="Y507" s="4">
        <v>591287.74</v>
      </c>
      <c r="Z507" s="4"/>
      <c r="AA507" s="4"/>
      <c r="AB507" s="4"/>
    </row>
    <row r="508" spans="1:28" x14ac:dyDescent="0.2">
      <c r="A508" s="4">
        <v>50</v>
      </c>
      <c r="B508" s="4">
        <v>0</v>
      </c>
      <c r="C508" s="4">
        <v>0</v>
      </c>
      <c r="D508" s="4">
        <v>1</v>
      </c>
      <c r="E508" s="4">
        <v>232</v>
      </c>
      <c r="F508" s="4">
        <f>ROUND(Source!BC492,O508)</f>
        <v>0</v>
      </c>
      <c r="G508" s="4" t="s">
        <v>92</v>
      </c>
      <c r="H508" s="4" t="s">
        <v>93</v>
      </c>
      <c r="I508" s="4"/>
      <c r="J508" s="4"/>
      <c r="K508" s="4">
        <v>232</v>
      </c>
      <c r="L508" s="4">
        <v>15</v>
      </c>
      <c r="M508" s="4">
        <v>3</v>
      </c>
      <c r="N508" s="4" t="s">
        <v>3</v>
      </c>
      <c r="O508" s="4">
        <v>2</v>
      </c>
      <c r="P508" s="4"/>
      <c r="Q508" s="4"/>
      <c r="R508" s="4"/>
      <c r="S508" s="4"/>
      <c r="T508" s="4"/>
      <c r="U508" s="4"/>
      <c r="V508" s="4"/>
      <c r="W508" s="4">
        <v>0</v>
      </c>
      <c r="X508" s="4">
        <v>1</v>
      </c>
      <c r="Y508" s="4">
        <v>0</v>
      </c>
      <c r="Z508" s="4"/>
      <c r="AA508" s="4"/>
      <c r="AB508" s="4"/>
    </row>
    <row r="509" spans="1:28" x14ac:dyDescent="0.2">
      <c r="A509" s="4">
        <v>50</v>
      </c>
      <c r="B509" s="4">
        <v>0</v>
      </c>
      <c r="C509" s="4">
        <v>0</v>
      </c>
      <c r="D509" s="4">
        <v>1</v>
      </c>
      <c r="E509" s="4">
        <v>214</v>
      </c>
      <c r="F509" s="4">
        <f>ROUND(Source!AS492,O509)</f>
        <v>0</v>
      </c>
      <c r="G509" s="4" t="s">
        <v>94</v>
      </c>
      <c r="H509" s="4" t="s">
        <v>95</v>
      </c>
      <c r="I509" s="4"/>
      <c r="J509" s="4"/>
      <c r="K509" s="4">
        <v>214</v>
      </c>
      <c r="L509" s="4">
        <v>16</v>
      </c>
      <c r="M509" s="4">
        <v>3</v>
      </c>
      <c r="N509" s="4" t="s">
        <v>3</v>
      </c>
      <c r="O509" s="4">
        <v>2</v>
      </c>
      <c r="P509" s="4"/>
      <c r="Q509" s="4"/>
      <c r="R509" s="4"/>
      <c r="S509" s="4"/>
      <c r="T509" s="4"/>
      <c r="U509" s="4"/>
      <c r="V509" s="4"/>
      <c r="W509" s="4">
        <v>0</v>
      </c>
      <c r="X509" s="4">
        <v>1</v>
      </c>
      <c r="Y509" s="4">
        <v>0</v>
      </c>
      <c r="Z509" s="4"/>
      <c r="AA509" s="4"/>
      <c r="AB509" s="4"/>
    </row>
    <row r="510" spans="1:28" x14ac:dyDescent="0.2">
      <c r="A510" s="4">
        <v>50</v>
      </c>
      <c r="B510" s="4">
        <v>0</v>
      </c>
      <c r="C510" s="4">
        <v>0</v>
      </c>
      <c r="D510" s="4">
        <v>1</v>
      </c>
      <c r="E510" s="4">
        <v>215</v>
      </c>
      <c r="F510" s="4">
        <f>ROUND(Source!AT492,O510)</f>
        <v>0</v>
      </c>
      <c r="G510" s="4" t="s">
        <v>96</v>
      </c>
      <c r="H510" s="4" t="s">
        <v>97</v>
      </c>
      <c r="I510" s="4"/>
      <c r="J510" s="4"/>
      <c r="K510" s="4">
        <v>215</v>
      </c>
      <c r="L510" s="4">
        <v>17</v>
      </c>
      <c r="M510" s="4">
        <v>3</v>
      </c>
      <c r="N510" s="4" t="s">
        <v>3</v>
      </c>
      <c r="O510" s="4">
        <v>2</v>
      </c>
      <c r="P510" s="4"/>
      <c r="Q510" s="4"/>
      <c r="R510" s="4"/>
      <c r="S510" s="4"/>
      <c r="T510" s="4"/>
      <c r="U510" s="4"/>
      <c r="V510" s="4"/>
      <c r="W510" s="4">
        <v>0</v>
      </c>
      <c r="X510" s="4">
        <v>1</v>
      </c>
      <c r="Y510" s="4">
        <v>0</v>
      </c>
      <c r="Z510" s="4"/>
      <c r="AA510" s="4"/>
      <c r="AB510" s="4"/>
    </row>
    <row r="511" spans="1:28" x14ac:dyDescent="0.2">
      <c r="A511" s="4">
        <v>50</v>
      </c>
      <c r="B511" s="4">
        <v>0</v>
      </c>
      <c r="C511" s="4">
        <v>0</v>
      </c>
      <c r="D511" s="4">
        <v>1</v>
      </c>
      <c r="E511" s="4">
        <v>217</v>
      </c>
      <c r="F511" s="4">
        <f>ROUND(Source!AU492,O511)</f>
        <v>2116768.7999999998</v>
      </c>
      <c r="G511" s="4" t="s">
        <v>98</v>
      </c>
      <c r="H511" s="4" t="s">
        <v>99</v>
      </c>
      <c r="I511" s="4"/>
      <c r="J511" s="4"/>
      <c r="K511" s="4">
        <v>217</v>
      </c>
      <c r="L511" s="4">
        <v>18</v>
      </c>
      <c r="M511" s="4">
        <v>3</v>
      </c>
      <c r="N511" s="4" t="s">
        <v>3</v>
      </c>
      <c r="O511" s="4">
        <v>2</v>
      </c>
      <c r="P511" s="4"/>
      <c r="Q511" s="4"/>
      <c r="R511" s="4"/>
      <c r="S511" s="4"/>
      <c r="T511" s="4"/>
      <c r="U511" s="4"/>
      <c r="V511" s="4"/>
      <c r="W511" s="4">
        <v>2116768.7999999998</v>
      </c>
      <c r="X511" s="4">
        <v>1</v>
      </c>
      <c r="Y511" s="4">
        <v>2116768.7999999998</v>
      </c>
      <c r="Z511" s="4"/>
      <c r="AA511" s="4"/>
      <c r="AB511" s="4"/>
    </row>
    <row r="512" spans="1:28" x14ac:dyDescent="0.2">
      <c r="A512" s="4">
        <v>50</v>
      </c>
      <c r="B512" s="4">
        <v>0</v>
      </c>
      <c r="C512" s="4">
        <v>0</v>
      </c>
      <c r="D512" s="4">
        <v>1</v>
      </c>
      <c r="E512" s="4">
        <v>230</v>
      </c>
      <c r="F512" s="4">
        <f>ROUND(Source!BA492,O512)</f>
        <v>0</v>
      </c>
      <c r="G512" s="4" t="s">
        <v>100</v>
      </c>
      <c r="H512" s="4" t="s">
        <v>101</v>
      </c>
      <c r="I512" s="4"/>
      <c r="J512" s="4"/>
      <c r="K512" s="4">
        <v>230</v>
      </c>
      <c r="L512" s="4">
        <v>19</v>
      </c>
      <c r="M512" s="4">
        <v>3</v>
      </c>
      <c r="N512" s="4" t="s">
        <v>3</v>
      </c>
      <c r="O512" s="4">
        <v>2</v>
      </c>
      <c r="P512" s="4"/>
      <c r="Q512" s="4"/>
      <c r="R512" s="4"/>
      <c r="S512" s="4"/>
      <c r="T512" s="4"/>
      <c r="U512" s="4"/>
      <c r="V512" s="4"/>
      <c r="W512" s="4">
        <v>0</v>
      </c>
      <c r="X512" s="4">
        <v>1</v>
      </c>
      <c r="Y512" s="4">
        <v>0</v>
      </c>
      <c r="Z512" s="4"/>
      <c r="AA512" s="4"/>
      <c r="AB512" s="4"/>
    </row>
    <row r="513" spans="1:206" x14ac:dyDescent="0.2">
      <c r="A513" s="4">
        <v>50</v>
      </c>
      <c r="B513" s="4">
        <v>0</v>
      </c>
      <c r="C513" s="4">
        <v>0</v>
      </c>
      <c r="D513" s="4">
        <v>1</v>
      </c>
      <c r="E513" s="4">
        <v>206</v>
      </c>
      <c r="F513" s="4">
        <f>ROUND(Source!T492,O513)</f>
        <v>0</v>
      </c>
      <c r="G513" s="4" t="s">
        <v>102</v>
      </c>
      <c r="H513" s="4" t="s">
        <v>103</v>
      </c>
      <c r="I513" s="4"/>
      <c r="J513" s="4"/>
      <c r="K513" s="4">
        <v>206</v>
      </c>
      <c r="L513" s="4">
        <v>20</v>
      </c>
      <c r="M513" s="4">
        <v>3</v>
      </c>
      <c r="N513" s="4" t="s">
        <v>3</v>
      </c>
      <c r="O513" s="4">
        <v>2</v>
      </c>
      <c r="P513" s="4"/>
      <c r="Q513" s="4"/>
      <c r="R513" s="4"/>
      <c r="S513" s="4"/>
      <c r="T513" s="4"/>
      <c r="U513" s="4"/>
      <c r="V513" s="4"/>
      <c r="W513" s="4">
        <v>0</v>
      </c>
      <c r="X513" s="4">
        <v>1</v>
      </c>
      <c r="Y513" s="4">
        <v>0</v>
      </c>
      <c r="Z513" s="4"/>
      <c r="AA513" s="4"/>
      <c r="AB513" s="4"/>
    </row>
    <row r="514" spans="1:206" x14ac:dyDescent="0.2">
      <c r="A514" s="4">
        <v>50</v>
      </c>
      <c r="B514" s="4">
        <v>0</v>
      </c>
      <c r="C514" s="4">
        <v>0</v>
      </c>
      <c r="D514" s="4">
        <v>1</v>
      </c>
      <c r="E514" s="4">
        <v>207</v>
      </c>
      <c r="F514" s="4">
        <f>Source!U492</f>
        <v>1979.8973254000002</v>
      </c>
      <c r="G514" s="4" t="s">
        <v>104</v>
      </c>
      <c r="H514" s="4" t="s">
        <v>105</v>
      </c>
      <c r="I514" s="4"/>
      <c r="J514" s="4"/>
      <c r="K514" s="4">
        <v>207</v>
      </c>
      <c r="L514" s="4">
        <v>21</v>
      </c>
      <c r="M514" s="4">
        <v>3</v>
      </c>
      <c r="N514" s="4" t="s">
        <v>3</v>
      </c>
      <c r="O514" s="4">
        <v>-1</v>
      </c>
      <c r="P514" s="4"/>
      <c r="Q514" s="4"/>
      <c r="R514" s="4"/>
      <c r="S514" s="4"/>
      <c r="T514" s="4"/>
      <c r="U514" s="4"/>
      <c r="V514" s="4"/>
      <c r="W514" s="4">
        <v>1979.8973254000005</v>
      </c>
      <c r="X514" s="4">
        <v>1</v>
      </c>
      <c r="Y514" s="4">
        <v>1979.8973254000005</v>
      </c>
      <c r="Z514" s="4"/>
      <c r="AA514" s="4"/>
      <c r="AB514" s="4"/>
    </row>
    <row r="515" spans="1:206" x14ac:dyDescent="0.2">
      <c r="A515" s="4">
        <v>50</v>
      </c>
      <c r="B515" s="4">
        <v>0</v>
      </c>
      <c r="C515" s="4">
        <v>0</v>
      </c>
      <c r="D515" s="4">
        <v>1</v>
      </c>
      <c r="E515" s="4">
        <v>208</v>
      </c>
      <c r="F515" s="4">
        <f>Source!V492</f>
        <v>0</v>
      </c>
      <c r="G515" s="4" t="s">
        <v>106</v>
      </c>
      <c r="H515" s="4" t="s">
        <v>107</v>
      </c>
      <c r="I515" s="4"/>
      <c r="J515" s="4"/>
      <c r="K515" s="4">
        <v>208</v>
      </c>
      <c r="L515" s="4">
        <v>22</v>
      </c>
      <c r="M515" s="4">
        <v>3</v>
      </c>
      <c r="N515" s="4" t="s">
        <v>3</v>
      </c>
      <c r="O515" s="4">
        <v>-1</v>
      </c>
      <c r="P515" s="4"/>
      <c r="Q515" s="4"/>
      <c r="R515" s="4"/>
      <c r="S515" s="4"/>
      <c r="T515" s="4"/>
      <c r="U515" s="4"/>
      <c r="V515" s="4"/>
      <c r="W515" s="4">
        <v>0</v>
      </c>
      <c r="X515" s="4">
        <v>1</v>
      </c>
      <c r="Y515" s="4">
        <v>0</v>
      </c>
      <c r="Z515" s="4"/>
      <c r="AA515" s="4"/>
      <c r="AB515" s="4"/>
    </row>
    <row r="516" spans="1:206" x14ac:dyDescent="0.2">
      <c r="A516" s="4">
        <v>50</v>
      </c>
      <c r="B516" s="4">
        <v>0</v>
      </c>
      <c r="C516" s="4">
        <v>0</v>
      </c>
      <c r="D516" s="4">
        <v>1</v>
      </c>
      <c r="E516" s="4">
        <v>209</v>
      </c>
      <c r="F516" s="4">
        <f>ROUND(Source!W492,O516)</f>
        <v>0</v>
      </c>
      <c r="G516" s="4" t="s">
        <v>108</v>
      </c>
      <c r="H516" s="4" t="s">
        <v>109</v>
      </c>
      <c r="I516" s="4"/>
      <c r="J516" s="4"/>
      <c r="K516" s="4">
        <v>209</v>
      </c>
      <c r="L516" s="4">
        <v>23</v>
      </c>
      <c r="M516" s="4">
        <v>3</v>
      </c>
      <c r="N516" s="4" t="s">
        <v>3</v>
      </c>
      <c r="O516" s="4">
        <v>2</v>
      </c>
      <c r="P516" s="4"/>
      <c r="Q516" s="4"/>
      <c r="R516" s="4"/>
      <c r="S516" s="4"/>
      <c r="T516" s="4"/>
      <c r="U516" s="4"/>
      <c r="V516" s="4"/>
      <c r="W516" s="4">
        <v>0</v>
      </c>
      <c r="X516" s="4">
        <v>1</v>
      </c>
      <c r="Y516" s="4">
        <v>0</v>
      </c>
      <c r="Z516" s="4"/>
      <c r="AA516" s="4"/>
      <c r="AB516" s="4"/>
    </row>
    <row r="517" spans="1:206" x14ac:dyDescent="0.2">
      <c r="A517" s="4">
        <v>50</v>
      </c>
      <c r="B517" s="4">
        <v>0</v>
      </c>
      <c r="C517" s="4">
        <v>0</v>
      </c>
      <c r="D517" s="4">
        <v>1</v>
      </c>
      <c r="E517" s="4">
        <v>233</v>
      </c>
      <c r="F517" s="4">
        <f>ROUND(Source!BD492,O517)</f>
        <v>0</v>
      </c>
      <c r="G517" s="4" t="s">
        <v>110</v>
      </c>
      <c r="H517" s="4" t="s">
        <v>111</v>
      </c>
      <c r="I517" s="4"/>
      <c r="J517" s="4"/>
      <c r="K517" s="4">
        <v>233</v>
      </c>
      <c r="L517" s="4">
        <v>24</v>
      </c>
      <c r="M517" s="4">
        <v>3</v>
      </c>
      <c r="N517" s="4" t="s">
        <v>3</v>
      </c>
      <c r="O517" s="4">
        <v>2</v>
      </c>
      <c r="P517" s="4"/>
      <c r="Q517" s="4"/>
      <c r="R517" s="4"/>
      <c r="S517" s="4"/>
      <c r="T517" s="4"/>
      <c r="U517" s="4"/>
      <c r="V517" s="4"/>
      <c r="W517" s="4">
        <v>0</v>
      </c>
      <c r="X517" s="4">
        <v>1</v>
      </c>
      <c r="Y517" s="4">
        <v>0</v>
      </c>
      <c r="Z517" s="4"/>
      <c r="AA517" s="4"/>
      <c r="AB517" s="4"/>
    </row>
    <row r="518" spans="1:206" x14ac:dyDescent="0.2">
      <c r="A518" s="4">
        <v>50</v>
      </c>
      <c r="B518" s="4">
        <v>0</v>
      </c>
      <c r="C518" s="4">
        <v>0</v>
      </c>
      <c r="D518" s="4">
        <v>1</v>
      </c>
      <c r="E518" s="4">
        <v>210</v>
      </c>
      <c r="F518" s="4">
        <f>ROUND(Source!X492,O518)</f>
        <v>413901.44</v>
      </c>
      <c r="G518" s="4" t="s">
        <v>112</v>
      </c>
      <c r="H518" s="4" t="s">
        <v>113</v>
      </c>
      <c r="I518" s="4"/>
      <c r="J518" s="4"/>
      <c r="K518" s="4">
        <v>210</v>
      </c>
      <c r="L518" s="4">
        <v>25</v>
      </c>
      <c r="M518" s="4">
        <v>3</v>
      </c>
      <c r="N518" s="4" t="s">
        <v>3</v>
      </c>
      <c r="O518" s="4">
        <v>2</v>
      </c>
      <c r="P518" s="4"/>
      <c r="Q518" s="4"/>
      <c r="R518" s="4"/>
      <c r="S518" s="4"/>
      <c r="T518" s="4"/>
      <c r="U518" s="4"/>
      <c r="V518" s="4"/>
      <c r="W518" s="4">
        <v>413901.44</v>
      </c>
      <c r="X518" s="4">
        <v>1</v>
      </c>
      <c r="Y518" s="4">
        <v>413901.44</v>
      </c>
      <c r="Z518" s="4"/>
      <c r="AA518" s="4"/>
      <c r="AB518" s="4"/>
    </row>
    <row r="519" spans="1:206" x14ac:dyDescent="0.2">
      <c r="A519" s="4">
        <v>50</v>
      </c>
      <c r="B519" s="4">
        <v>0</v>
      </c>
      <c r="C519" s="4">
        <v>0</v>
      </c>
      <c r="D519" s="4">
        <v>1</v>
      </c>
      <c r="E519" s="4">
        <v>211</v>
      </c>
      <c r="F519" s="4">
        <f>ROUND(Source!Y492,O519)</f>
        <v>59128.79</v>
      </c>
      <c r="G519" s="4" t="s">
        <v>114</v>
      </c>
      <c r="H519" s="4" t="s">
        <v>115</v>
      </c>
      <c r="I519" s="4"/>
      <c r="J519" s="4"/>
      <c r="K519" s="4">
        <v>211</v>
      </c>
      <c r="L519" s="4">
        <v>26</v>
      </c>
      <c r="M519" s="4">
        <v>3</v>
      </c>
      <c r="N519" s="4" t="s">
        <v>3</v>
      </c>
      <c r="O519" s="4">
        <v>2</v>
      </c>
      <c r="P519" s="4"/>
      <c r="Q519" s="4"/>
      <c r="R519" s="4"/>
      <c r="S519" s="4"/>
      <c r="T519" s="4"/>
      <c r="U519" s="4"/>
      <c r="V519" s="4"/>
      <c r="W519" s="4">
        <v>59128.79</v>
      </c>
      <c r="X519" s="4">
        <v>1</v>
      </c>
      <c r="Y519" s="4">
        <v>59128.79</v>
      </c>
      <c r="Z519" s="4"/>
      <c r="AA519" s="4"/>
      <c r="AB519" s="4"/>
    </row>
    <row r="520" spans="1:206" x14ac:dyDescent="0.2">
      <c r="A520" s="4">
        <v>50</v>
      </c>
      <c r="B520" s="4">
        <v>0</v>
      </c>
      <c r="C520" s="4">
        <v>0</v>
      </c>
      <c r="D520" s="4">
        <v>1</v>
      </c>
      <c r="E520" s="4">
        <v>224</v>
      </c>
      <c r="F520" s="4">
        <f>ROUND(Source!AR492,O520)</f>
        <v>2116768.7999999998</v>
      </c>
      <c r="G520" s="4" t="s">
        <v>116</v>
      </c>
      <c r="H520" s="4" t="s">
        <v>117</v>
      </c>
      <c r="I520" s="4"/>
      <c r="J520" s="4"/>
      <c r="K520" s="4">
        <v>224</v>
      </c>
      <c r="L520" s="4">
        <v>27</v>
      </c>
      <c r="M520" s="4">
        <v>3</v>
      </c>
      <c r="N520" s="4" t="s">
        <v>3</v>
      </c>
      <c r="O520" s="4">
        <v>2</v>
      </c>
      <c r="P520" s="4"/>
      <c r="Q520" s="4"/>
      <c r="R520" s="4"/>
      <c r="S520" s="4"/>
      <c r="T520" s="4"/>
      <c r="U520" s="4"/>
      <c r="V520" s="4"/>
      <c r="W520" s="4">
        <v>2116768.7999999998</v>
      </c>
      <c r="X520" s="4">
        <v>1</v>
      </c>
      <c r="Y520" s="4">
        <v>2116768.7999999998</v>
      </c>
      <c r="Z520" s="4"/>
      <c r="AA520" s="4"/>
      <c r="AB520" s="4"/>
    </row>
    <row r="522" spans="1:206" x14ac:dyDescent="0.2">
      <c r="A522" s="2">
        <v>51</v>
      </c>
      <c r="B522" s="2">
        <f>B12</f>
        <v>581</v>
      </c>
      <c r="C522" s="2">
        <f>A12</f>
        <v>1</v>
      </c>
      <c r="D522" s="2">
        <f>ROW(A12)</f>
        <v>12</v>
      </c>
      <c r="E522" s="2"/>
      <c r="F522" s="2" t="str">
        <f>IF(F12&lt;&gt;"",F12,"")</f>
        <v>Новый объект</v>
      </c>
      <c r="G522" s="2" t="str">
        <f>IF(G12&lt;&gt;"",G12,"")</f>
        <v>+Текущий ремонт спортзала №1 + раздевалки по адресу: г. Москва, ул. Митинская улица, д. 48, корп. 2</v>
      </c>
      <c r="H522" s="2">
        <v>0</v>
      </c>
      <c r="I522" s="2"/>
      <c r="J522" s="2"/>
      <c r="K522" s="2"/>
      <c r="L522" s="2"/>
      <c r="M522" s="2"/>
      <c r="N522" s="2"/>
      <c r="O522" s="2">
        <f t="shared" ref="O522:T522" si="420">ROUND(O492,2)</f>
        <v>1626320.45</v>
      </c>
      <c r="P522" s="2">
        <f t="shared" si="420"/>
        <v>1011274.7</v>
      </c>
      <c r="Q522" s="2">
        <f t="shared" si="420"/>
        <v>23758.01</v>
      </c>
      <c r="R522" s="2">
        <f t="shared" si="420"/>
        <v>18629.830000000002</v>
      </c>
      <c r="S522" s="2">
        <f t="shared" si="420"/>
        <v>591287.74</v>
      </c>
      <c r="T522" s="2">
        <f t="shared" si="420"/>
        <v>0</v>
      </c>
      <c r="U522" s="2">
        <f>U492</f>
        <v>1979.8973254000002</v>
      </c>
      <c r="V522" s="2">
        <f>V492</f>
        <v>0</v>
      </c>
      <c r="W522" s="2">
        <f>ROUND(W492,2)</f>
        <v>0</v>
      </c>
      <c r="X522" s="2">
        <f>ROUND(X492,2)</f>
        <v>413901.44</v>
      </c>
      <c r="Y522" s="2">
        <f>ROUND(Y492,2)</f>
        <v>59128.79</v>
      </c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>
        <f t="shared" ref="AO522:BD522" si="421">ROUND(AO492,2)</f>
        <v>0</v>
      </c>
      <c r="AP522" s="2">
        <f t="shared" si="421"/>
        <v>0</v>
      </c>
      <c r="AQ522" s="2">
        <f t="shared" si="421"/>
        <v>0</v>
      </c>
      <c r="AR522" s="2">
        <f t="shared" si="421"/>
        <v>2116768.7999999998</v>
      </c>
      <c r="AS522" s="2">
        <f t="shared" si="421"/>
        <v>0</v>
      </c>
      <c r="AT522" s="2">
        <f t="shared" si="421"/>
        <v>0</v>
      </c>
      <c r="AU522" s="2">
        <f t="shared" si="421"/>
        <v>2116768.7999999998</v>
      </c>
      <c r="AV522" s="2">
        <f t="shared" si="421"/>
        <v>1011274.7</v>
      </c>
      <c r="AW522" s="2">
        <f t="shared" si="421"/>
        <v>1011274.7</v>
      </c>
      <c r="AX522" s="2">
        <f t="shared" si="421"/>
        <v>0</v>
      </c>
      <c r="AY522" s="2">
        <f t="shared" si="421"/>
        <v>1011274.7</v>
      </c>
      <c r="AZ522" s="2">
        <f t="shared" si="421"/>
        <v>0</v>
      </c>
      <c r="BA522" s="2">
        <f t="shared" si="421"/>
        <v>0</v>
      </c>
      <c r="BB522" s="2">
        <f t="shared" si="421"/>
        <v>0</v>
      </c>
      <c r="BC522" s="2">
        <f t="shared" si="421"/>
        <v>0</v>
      </c>
      <c r="BD522" s="2">
        <f t="shared" si="421"/>
        <v>0</v>
      </c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>
        <v>0</v>
      </c>
    </row>
    <row r="524" spans="1:206" x14ac:dyDescent="0.2">
      <c r="A524" s="4">
        <v>50</v>
      </c>
      <c r="B524" s="4">
        <v>0</v>
      </c>
      <c r="C524" s="4">
        <v>0</v>
      </c>
      <c r="D524" s="4">
        <v>1</v>
      </c>
      <c r="E524" s="4">
        <v>201</v>
      </c>
      <c r="F524" s="4">
        <f>ROUND(Source!O522,O524)</f>
        <v>1626320.45</v>
      </c>
      <c r="G524" s="4" t="s">
        <v>64</v>
      </c>
      <c r="H524" s="4" t="s">
        <v>65</v>
      </c>
      <c r="I524" s="4"/>
      <c r="J524" s="4"/>
      <c r="K524" s="4">
        <v>201</v>
      </c>
      <c r="L524" s="4">
        <v>1</v>
      </c>
      <c r="M524" s="4">
        <v>3</v>
      </c>
      <c r="N524" s="4" t="s">
        <v>3</v>
      </c>
      <c r="O524" s="4">
        <v>2</v>
      </c>
      <c r="P524" s="4"/>
      <c r="Q524" s="4"/>
      <c r="R524" s="4"/>
      <c r="S524" s="4"/>
      <c r="T524" s="4"/>
      <c r="U524" s="4"/>
      <c r="V524" s="4"/>
      <c r="W524" s="4">
        <v>1626320.45</v>
      </c>
      <c r="X524" s="4">
        <v>1</v>
      </c>
      <c r="Y524" s="4">
        <v>1626320.45</v>
      </c>
      <c r="Z524" s="4"/>
      <c r="AA524" s="4"/>
      <c r="AB524" s="4"/>
    </row>
    <row r="525" spans="1:206" x14ac:dyDescent="0.2">
      <c r="A525" s="4">
        <v>50</v>
      </c>
      <c r="B525" s="4">
        <v>0</v>
      </c>
      <c r="C525" s="4">
        <v>0</v>
      </c>
      <c r="D525" s="4">
        <v>1</v>
      </c>
      <c r="E525" s="4">
        <v>202</v>
      </c>
      <c r="F525" s="4">
        <f>ROUND(Source!P522,O525)</f>
        <v>1011274.7</v>
      </c>
      <c r="G525" s="4" t="s">
        <v>66</v>
      </c>
      <c r="H525" s="4" t="s">
        <v>67</v>
      </c>
      <c r="I525" s="4"/>
      <c r="J525" s="4"/>
      <c r="K525" s="4">
        <v>202</v>
      </c>
      <c r="L525" s="4">
        <v>2</v>
      </c>
      <c r="M525" s="4">
        <v>3</v>
      </c>
      <c r="N525" s="4" t="s">
        <v>3</v>
      </c>
      <c r="O525" s="4">
        <v>2</v>
      </c>
      <c r="P525" s="4"/>
      <c r="Q525" s="4"/>
      <c r="R525" s="4"/>
      <c r="S525" s="4"/>
      <c r="T525" s="4"/>
      <c r="U525" s="4"/>
      <c r="V525" s="4"/>
      <c r="W525" s="4">
        <v>1011274.7</v>
      </c>
      <c r="X525" s="4">
        <v>1</v>
      </c>
      <c r="Y525" s="4">
        <v>1011274.7</v>
      </c>
      <c r="Z525" s="4"/>
      <c r="AA525" s="4"/>
      <c r="AB525" s="4"/>
    </row>
    <row r="526" spans="1:206" x14ac:dyDescent="0.2">
      <c r="A526" s="4">
        <v>50</v>
      </c>
      <c r="B526" s="4">
        <v>0</v>
      </c>
      <c r="C526" s="4">
        <v>0</v>
      </c>
      <c r="D526" s="4">
        <v>1</v>
      </c>
      <c r="E526" s="4">
        <v>222</v>
      </c>
      <c r="F526" s="4">
        <f>ROUND(Source!AO522,O526)</f>
        <v>0</v>
      </c>
      <c r="G526" s="4" t="s">
        <v>68</v>
      </c>
      <c r="H526" s="4" t="s">
        <v>69</v>
      </c>
      <c r="I526" s="4"/>
      <c r="J526" s="4"/>
      <c r="K526" s="4">
        <v>222</v>
      </c>
      <c r="L526" s="4">
        <v>3</v>
      </c>
      <c r="M526" s="4">
        <v>3</v>
      </c>
      <c r="N526" s="4" t="s">
        <v>3</v>
      </c>
      <c r="O526" s="4">
        <v>2</v>
      </c>
      <c r="P526" s="4"/>
      <c r="Q526" s="4"/>
      <c r="R526" s="4"/>
      <c r="S526" s="4"/>
      <c r="T526" s="4"/>
      <c r="U526" s="4"/>
      <c r="V526" s="4"/>
      <c r="W526" s="4">
        <v>0</v>
      </c>
      <c r="X526" s="4">
        <v>1</v>
      </c>
      <c r="Y526" s="4">
        <v>0</v>
      </c>
      <c r="Z526" s="4"/>
      <c r="AA526" s="4"/>
      <c r="AB526" s="4"/>
    </row>
    <row r="527" spans="1:206" x14ac:dyDescent="0.2">
      <c r="A527" s="4">
        <v>50</v>
      </c>
      <c r="B527" s="4">
        <v>0</v>
      </c>
      <c r="C527" s="4">
        <v>0</v>
      </c>
      <c r="D527" s="4">
        <v>1</v>
      </c>
      <c r="E527" s="4">
        <v>225</v>
      </c>
      <c r="F527" s="4">
        <f>ROUND(Source!AV522,O527)</f>
        <v>1011274.7</v>
      </c>
      <c r="G527" s="4" t="s">
        <v>70</v>
      </c>
      <c r="H527" s="4" t="s">
        <v>71</v>
      </c>
      <c r="I527" s="4"/>
      <c r="J527" s="4"/>
      <c r="K527" s="4">
        <v>225</v>
      </c>
      <c r="L527" s="4">
        <v>4</v>
      </c>
      <c r="M527" s="4">
        <v>3</v>
      </c>
      <c r="N527" s="4" t="s">
        <v>3</v>
      </c>
      <c r="O527" s="4">
        <v>2</v>
      </c>
      <c r="P527" s="4"/>
      <c r="Q527" s="4"/>
      <c r="R527" s="4"/>
      <c r="S527" s="4"/>
      <c r="T527" s="4"/>
      <c r="U527" s="4"/>
      <c r="V527" s="4"/>
      <c r="W527" s="4">
        <v>1011274.7</v>
      </c>
      <c r="X527" s="4">
        <v>1</v>
      </c>
      <c r="Y527" s="4">
        <v>1011274.7</v>
      </c>
      <c r="Z527" s="4"/>
      <c r="AA527" s="4"/>
      <c r="AB527" s="4"/>
    </row>
    <row r="528" spans="1:206" x14ac:dyDescent="0.2">
      <c r="A528" s="4">
        <v>50</v>
      </c>
      <c r="B528" s="4">
        <v>0</v>
      </c>
      <c r="C528" s="4">
        <v>0</v>
      </c>
      <c r="D528" s="4">
        <v>1</v>
      </c>
      <c r="E528" s="4">
        <v>226</v>
      </c>
      <c r="F528" s="4">
        <f>ROUND(Source!AW522,O528)</f>
        <v>1011274.7</v>
      </c>
      <c r="G528" s="4" t="s">
        <v>72</v>
      </c>
      <c r="H528" s="4" t="s">
        <v>73</v>
      </c>
      <c r="I528" s="4"/>
      <c r="J528" s="4"/>
      <c r="K528" s="4">
        <v>226</v>
      </c>
      <c r="L528" s="4">
        <v>5</v>
      </c>
      <c r="M528" s="4">
        <v>3</v>
      </c>
      <c r="N528" s="4" t="s">
        <v>3</v>
      </c>
      <c r="O528" s="4">
        <v>2</v>
      </c>
      <c r="P528" s="4"/>
      <c r="Q528" s="4"/>
      <c r="R528" s="4"/>
      <c r="S528" s="4"/>
      <c r="T528" s="4"/>
      <c r="U528" s="4"/>
      <c r="V528" s="4"/>
      <c r="W528" s="4">
        <v>1011274.7</v>
      </c>
      <c r="X528" s="4">
        <v>1</v>
      </c>
      <c r="Y528" s="4">
        <v>1011274.7</v>
      </c>
      <c r="Z528" s="4"/>
      <c r="AA528" s="4"/>
      <c r="AB528" s="4"/>
    </row>
    <row r="529" spans="1:28" x14ac:dyDescent="0.2">
      <c r="A529" s="4">
        <v>50</v>
      </c>
      <c r="B529" s="4">
        <v>0</v>
      </c>
      <c r="C529" s="4">
        <v>0</v>
      </c>
      <c r="D529" s="4">
        <v>1</v>
      </c>
      <c r="E529" s="4">
        <v>227</v>
      </c>
      <c r="F529" s="4">
        <f>ROUND(Source!AX522,O529)</f>
        <v>0</v>
      </c>
      <c r="G529" s="4" t="s">
        <v>74</v>
      </c>
      <c r="H529" s="4" t="s">
        <v>75</v>
      </c>
      <c r="I529" s="4"/>
      <c r="J529" s="4"/>
      <c r="K529" s="4">
        <v>227</v>
      </c>
      <c r="L529" s="4">
        <v>6</v>
      </c>
      <c r="M529" s="4">
        <v>3</v>
      </c>
      <c r="N529" s="4" t="s">
        <v>3</v>
      </c>
      <c r="O529" s="4">
        <v>2</v>
      </c>
      <c r="P529" s="4"/>
      <c r="Q529" s="4"/>
      <c r="R529" s="4"/>
      <c r="S529" s="4"/>
      <c r="T529" s="4"/>
      <c r="U529" s="4"/>
      <c r="V529" s="4"/>
      <c r="W529" s="4">
        <v>0</v>
      </c>
      <c r="X529" s="4">
        <v>1</v>
      </c>
      <c r="Y529" s="4">
        <v>0</v>
      </c>
      <c r="Z529" s="4"/>
      <c r="AA529" s="4"/>
      <c r="AB529" s="4"/>
    </row>
    <row r="530" spans="1:28" x14ac:dyDescent="0.2">
      <c r="A530" s="4">
        <v>50</v>
      </c>
      <c r="B530" s="4">
        <v>0</v>
      </c>
      <c r="C530" s="4">
        <v>0</v>
      </c>
      <c r="D530" s="4">
        <v>1</v>
      </c>
      <c r="E530" s="4">
        <v>228</v>
      </c>
      <c r="F530" s="4">
        <f>ROUND(Source!AY522,O530)</f>
        <v>1011274.7</v>
      </c>
      <c r="G530" s="4" t="s">
        <v>76</v>
      </c>
      <c r="H530" s="4" t="s">
        <v>77</v>
      </c>
      <c r="I530" s="4"/>
      <c r="J530" s="4"/>
      <c r="K530" s="4">
        <v>228</v>
      </c>
      <c r="L530" s="4">
        <v>7</v>
      </c>
      <c r="M530" s="4">
        <v>3</v>
      </c>
      <c r="N530" s="4" t="s">
        <v>3</v>
      </c>
      <c r="O530" s="4">
        <v>2</v>
      </c>
      <c r="P530" s="4"/>
      <c r="Q530" s="4"/>
      <c r="R530" s="4"/>
      <c r="S530" s="4"/>
      <c r="T530" s="4"/>
      <c r="U530" s="4"/>
      <c r="V530" s="4"/>
      <c r="W530" s="4">
        <v>1011274.7</v>
      </c>
      <c r="X530" s="4">
        <v>1</v>
      </c>
      <c r="Y530" s="4">
        <v>1011274.7</v>
      </c>
      <c r="Z530" s="4"/>
      <c r="AA530" s="4"/>
      <c r="AB530" s="4"/>
    </row>
    <row r="531" spans="1:28" x14ac:dyDescent="0.2">
      <c r="A531" s="4">
        <v>50</v>
      </c>
      <c r="B531" s="4">
        <v>0</v>
      </c>
      <c r="C531" s="4">
        <v>0</v>
      </c>
      <c r="D531" s="4">
        <v>1</v>
      </c>
      <c r="E531" s="4">
        <v>216</v>
      </c>
      <c r="F531" s="4">
        <f>ROUND(Source!AP522,O531)</f>
        <v>0</v>
      </c>
      <c r="G531" s="4" t="s">
        <v>78</v>
      </c>
      <c r="H531" s="4" t="s">
        <v>79</v>
      </c>
      <c r="I531" s="4"/>
      <c r="J531" s="4"/>
      <c r="K531" s="4">
        <v>216</v>
      </c>
      <c r="L531" s="4">
        <v>8</v>
      </c>
      <c r="M531" s="4">
        <v>3</v>
      </c>
      <c r="N531" s="4" t="s">
        <v>3</v>
      </c>
      <c r="O531" s="4">
        <v>2</v>
      </c>
      <c r="P531" s="4"/>
      <c r="Q531" s="4"/>
      <c r="R531" s="4"/>
      <c r="S531" s="4"/>
      <c r="T531" s="4"/>
      <c r="U531" s="4"/>
      <c r="V531" s="4"/>
      <c r="W531" s="4">
        <v>0</v>
      </c>
      <c r="X531" s="4">
        <v>1</v>
      </c>
      <c r="Y531" s="4">
        <v>0</v>
      </c>
      <c r="Z531" s="4"/>
      <c r="AA531" s="4"/>
      <c r="AB531" s="4"/>
    </row>
    <row r="532" spans="1:28" x14ac:dyDescent="0.2">
      <c r="A532" s="4">
        <v>50</v>
      </c>
      <c r="B532" s="4">
        <v>0</v>
      </c>
      <c r="C532" s="4">
        <v>0</v>
      </c>
      <c r="D532" s="4">
        <v>1</v>
      </c>
      <c r="E532" s="4">
        <v>223</v>
      </c>
      <c r="F532" s="4">
        <f>ROUND(Source!AQ522,O532)</f>
        <v>0</v>
      </c>
      <c r="G532" s="4" t="s">
        <v>80</v>
      </c>
      <c r="H532" s="4" t="s">
        <v>81</v>
      </c>
      <c r="I532" s="4"/>
      <c r="J532" s="4"/>
      <c r="K532" s="4">
        <v>223</v>
      </c>
      <c r="L532" s="4">
        <v>9</v>
      </c>
      <c r="M532" s="4">
        <v>3</v>
      </c>
      <c r="N532" s="4" t="s">
        <v>3</v>
      </c>
      <c r="O532" s="4">
        <v>2</v>
      </c>
      <c r="P532" s="4"/>
      <c r="Q532" s="4"/>
      <c r="R532" s="4"/>
      <c r="S532" s="4"/>
      <c r="T532" s="4"/>
      <c r="U532" s="4"/>
      <c r="V532" s="4"/>
      <c r="W532" s="4">
        <v>0</v>
      </c>
      <c r="X532" s="4">
        <v>1</v>
      </c>
      <c r="Y532" s="4">
        <v>0</v>
      </c>
      <c r="Z532" s="4"/>
      <c r="AA532" s="4"/>
      <c r="AB532" s="4"/>
    </row>
    <row r="533" spans="1:28" x14ac:dyDescent="0.2">
      <c r="A533" s="4">
        <v>50</v>
      </c>
      <c r="B533" s="4">
        <v>0</v>
      </c>
      <c r="C533" s="4">
        <v>0</v>
      </c>
      <c r="D533" s="4">
        <v>1</v>
      </c>
      <c r="E533" s="4">
        <v>229</v>
      </c>
      <c r="F533" s="4">
        <f>ROUND(Source!AZ522,O533)</f>
        <v>0</v>
      </c>
      <c r="G533" s="4" t="s">
        <v>82</v>
      </c>
      <c r="H533" s="4" t="s">
        <v>83</v>
      </c>
      <c r="I533" s="4"/>
      <c r="J533" s="4"/>
      <c r="K533" s="4">
        <v>229</v>
      </c>
      <c r="L533" s="4">
        <v>10</v>
      </c>
      <c r="M533" s="4">
        <v>3</v>
      </c>
      <c r="N533" s="4" t="s">
        <v>3</v>
      </c>
      <c r="O533" s="4">
        <v>2</v>
      </c>
      <c r="P533" s="4"/>
      <c r="Q533" s="4"/>
      <c r="R533" s="4"/>
      <c r="S533" s="4"/>
      <c r="T533" s="4"/>
      <c r="U533" s="4"/>
      <c r="V533" s="4"/>
      <c r="W533" s="4">
        <v>0</v>
      </c>
      <c r="X533" s="4">
        <v>1</v>
      </c>
      <c r="Y533" s="4">
        <v>0</v>
      </c>
      <c r="Z533" s="4"/>
      <c r="AA533" s="4"/>
      <c r="AB533" s="4"/>
    </row>
    <row r="534" spans="1:28" x14ac:dyDescent="0.2">
      <c r="A534" s="4">
        <v>50</v>
      </c>
      <c r="B534" s="4">
        <v>0</v>
      </c>
      <c r="C534" s="4">
        <v>0</v>
      </c>
      <c r="D534" s="4">
        <v>1</v>
      </c>
      <c r="E534" s="4">
        <v>203</v>
      </c>
      <c r="F534" s="4">
        <f>ROUND(Source!Q522,O534)</f>
        <v>23758.01</v>
      </c>
      <c r="G534" s="4" t="s">
        <v>84</v>
      </c>
      <c r="H534" s="4" t="s">
        <v>85</v>
      </c>
      <c r="I534" s="4"/>
      <c r="J534" s="4"/>
      <c r="K534" s="4">
        <v>203</v>
      </c>
      <c r="L534" s="4">
        <v>11</v>
      </c>
      <c r="M534" s="4">
        <v>3</v>
      </c>
      <c r="N534" s="4" t="s">
        <v>3</v>
      </c>
      <c r="O534" s="4">
        <v>2</v>
      </c>
      <c r="P534" s="4"/>
      <c r="Q534" s="4"/>
      <c r="R534" s="4"/>
      <c r="S534" s="4"/>
      <c r="T534" s="4"/>
      <c r="U534" s="4"/>
      <c r="V534" s="4"/>
      <c r="W534" s="4">
        <v>23758.01</v>
      </c>
      <c r="X534" s="4">
        <v>1</v>
      </c>
      <c r="Y534" s="4">
        <v>23758.01</v>
      </c>
      <c r="Z534" s="4"/>
      <c r="AA534" s="4"/>
      <c r="AB534" s="4"/>
    </row>
    <row r="535" spans="1:28" x14ac:dyDescent="0.2">
      <c r="A535" s="4">
        <v>50</v>
      </c>
      <c r="B535" s="4">
        <v>0</v>
      </c>
      <c r="C535" s="4">
        <v>0</v>
      </c>
      <c r="D535" s="4">
        <v>1</v>
      </c>
      <c r="E535" s="4">
        <v>231</v>
      </c>
      <c r="F535" s="4">
        <f>ROUND(Source!BB522,O535)</f>
        <v>0</v>
      </c>
      <c r="G535" s="4" t="s">
        <v>86</v>
      </c>
      <c r="H535" s="4" t="s">
        <v>87</v>
      </c>
      <c r="I535" s="4"/>
      <c r="J535" s="4"/>
      <c r="K535" s="4">
        <v>231</v>
      </c>
      <c r="L535" s="4">
        <v>12</v>
      </c>
      <c r="M535" s="4">
        <v>3</v>
      </c>
      <c r="N535" s="4" t="s">
        <v>3</v>
      </c>
      <c r="O535" s="4">
        <v>2</v>
      </c>
      <c r="P535" s="4"/>
      <c r="Q535" s="4"/>
      <c r="R535" s="4"/>
      <c r="S535" s="4"/>
      <c r="T535" s="4"/>
      <c r="U535" s="4"/>
      <c r="V535" s="4"/>
      <c r="W535" s="4">
        <v>0</v>
      </c>
      <c r="X535" s="4">
        <v>1</v>
      </c>
      <c r="Y535" s="4">
        <v>0</v>
      </c>
      <c r="Z535" s="4"/>
      <c r="AA535" s="4"/>
      <c r="AB535" s="4"/>
    </row>
    <row r="536" spans="1:28" x14ac:dyDescent="0.2">
      <c r="A536" s="4">
        <v>50</v>
      </c>
      <c r="B536" s="4">
        <v>0</v>
      </c>
      <c r="C536" s="4">
        <v>0</v>
      </c>
      <c r="D536" s="4">
        <v>1</v>
      </c>
      <c r="E536" s="4">
        <v>204</v>
      </c>
      <c r="F536" s="4">
        <f>ROUND(Source!R522,O536)</f>
        <v>18629.830000000002</v>
      </c>
      <c r="G536" s="4" t="s">
        <v>88</v>
      </c>
      <c r="H536" s="4" t="s">
        <v>89</v>
      </c>
      <c r="I536" s="4"/>
      <c r="J536" s="4"/>
      <c r="K536" s="4">
        <v>204</v>
      </c>
      <c r="L536" s="4">
        <v>13</v>
      </c>
      <c r="M536" s="4">
        <v>3</v>
      </c>
      <c r="N536" s="4" t="s">
        <v>3</v>
      </c>
      <c r="O536" s="4">
        <v>2</v>
      </c>
      <c r="P536" s="4"/>
      <c r="Q536" s="4"/>
      <c r="R536" s="4"/>
      <c r="S536" s="4"/>
      <c r="T536" s="4"/>
      <c r="U536" s="4"/>
      <c r="V536" s="4"/>
      <c r="W536" s="4">
        <v>18629.830000000002</v>
      </c>
      <c r="X536" s="4">
        <v>1</v>
      </c>
      <c r="Y536" s="4">
        <v>18629.830000000002</v>
      </c>
      <c r="Z536" s="4"/>
      <c r="AA536" s="4"/>
      <c r="AB536" s="4"/>
    </row>
    <row r="537" spans="1:28" x14ac:dyDescent="0.2">
      <c r="A537" s="4">
        <v>50</v>
      </c>
      <c r="B537" s="4">
        <v>0</v>
      </c>
      <c r="C537" s="4">
        <v>0</v>
      </c>
      <c r="D537" s="4">
        <v>1</v>
      </c>
      <c r="E537" s="4">
        <v>205</v>
      </c>
      <c r="F537" s="4">
        <f>ROUND(Source!S522,O537)</f>
        <v>591287.74</v>
      </c>
      <c r="G537" s="4" t="s">
        <v>90</v>
      </c>
      <c r="H537" s="4" t="s">
        <v>91</v>
      </c>
      <c r="I537" s="4"/>
      <c r="J537" s="4"/>
      <c r="K537" s="4">
        <v>205</v>
      </c>
      <c r="L537" s="4">
        <v>14</v>
      </c>
      <c r="M537" s="4">
        <v>3</v>
      </c>
      <c r="N537" s="4" t="s">
        <v>3</v>
      </c>
      <c r="O537" s="4">
        <v>2</v>
      </c>
      <c r="P537" s="4"/>
      <c r="Q537" s="4"/>
      <c r="R537" s="4"/>
      <c r="S537" s="4"/>
      <c r="T537" s="4"/>
      <c r="U537" s="4"/>
      <c r="V537" s="4"/>
      <c r="W537" s="4">
        <v>591287.74</v>
      </c>
      <c r="X537" s="4">
        <v>1</v>
      </c>
      <c r="Y537" s="4">
        <v>591287.74</v>
      </c>
      <c r="Z537" s="4"/>
      <c r="AA537" s="4"/>
      <c r="AB537" s="4"/>
    </row>
    <row r="538" spans="1:28" x14ac:dyDescent="0.2">
      <c r="A538" s="4">
        <v>50</v>
      </c>
      <c r="B538" s="4">
        <v>0</v>
      </c>
      <c r="C538" s="4">
        <v>0</v>
      </c>
      <c r="D538" s="4">
        <v>1</v>
      </c>
      <c r="E538" s="4">
        <v>232</v>
      </c>
      <c r="F538" s="4">
        <f>ROUND(Source!BC522,O538)</f>
        <v>0</v>
      </c>
      <c r="G538" s="4" t="s">
        <v>92</v>
      </c>
      <c r="H538" s="4" t="s">
        <v>93</v>
      </c>
      <c r="I538" s="4"/>
      <c r="J538" s="4"/>
      <c r="K538" s="4">
        <v>232</v>
      </c>
      <c r="L538" s="4">
        <v>15</v>
      </c>
      <c r="M538" s="4">
        <v>3</v>
      </c>
      <c r="N538" s="4" t="s">
        <v>3</v>
      </c>
      <c r="O538" s="4">
        <v>2</v>
      </c>
      <c r="P538" s="4"/>
      <c r="Q538" s="4"/>
      <c r="R538" s="4"/>
      <c r="S538" s="4"/>
      <c r="T538" s="4"/>
      <c r="U538" s="4"/>
      <c r="V538" s="4"/>
      <c r="W538" s="4">
        <v>0</v>
      </c>
      <c r="X538" s="4">
        <v>1</v>
      </c>
      <c r="Y538" s="4">
        <v>0</v>
      </c>
      <c r="Z538" s="4"/>
      <c r="AA538" s="4"/>
      <c r="AB538" s="4"/>
    </row>
    <row r="539" spans="1:28" x14ac:dyDescent="0.2">
      <c r="A539" s="4">
        <v>50</v>
      </c>
      <c r="B539" s="4">
        <v>0</v>
      </c>
      <c r="C539" s="4">
        <v>0</v>
      </c>
      <c r="D539" s="4">
        <v>1</v>
      </c>
      <c r="E539" s="4">
        <v>214</v>
      </c>
      <c r="F539" s="4">
        <f>ROUND(Source!AS522,O539)</f>
        <v>0</v>
      </c>
      <c r="G539" s="4" t="s">
        <v>94</v>
      </c>
      <c r="H539" s="4" t="s">
        <v>95</v>
      </c>
      <c r="I539" s="4"/>
      <c r="J539" s="4"/>
      <c r="K539" s="4">
        <v>214</v>
      </c>
      <c r="L539" s="4">
        <v>16</v>
      </c>
      <c r="M539" s="4">
        <v>3</v>
      </c>
      <c r="N539" s="4" t="s">
        <v>3</v>
      </c>
      <c r="O539" s="4">
        <v>2</v>
      </c>
      <c r="P539" s="4"/>
      <c r="Q539" s="4"/>
      <c r="R539" s="4"/>
      <c r="S539" s="4"/>
      <c r="T539" s="4"/>
      <c r="U539" s="4"/>
      <c r="V539" s="4"/>
      <c r="W539" s="4">
        <v>0</v>
      </c>
      <c r="X539" s="4">
        <v>1</v>
      </c>
      <c r="Y539" s="4">
        <v>0</v>
      </c>
      <c r="Z539" s="4"/>
      <c r="AA539" s="4"/>
      <c r="AB539" s="4"/>
    </row>
    <row r="540" spans="1:28" x14ac:dyDescent="0.2">
      <c r="A540" s="4">
        <v>50</v>
      </c>
      <c r="B540" s="4">
        <v>0</v>
      </c>
      <c r="C540" s="4">
        <v>0</v>
      </c>
      <c r="D540" s="4">
        <v>1</v>
      </c>
      <c r="E540" s="4">
        <v>215</v>
      </c>
      <c r="F540" s="4">
        <f>ROUND(Source!AT522,O540)</f>
        <v>0</v>
      </c>
      <c r="G540" s="4" t="s">
        <v>96</v>
      </c>
      <c r="H540" s="4" t="s">
        <v>97</v>
      </c>
      <c r="I540" s="4"/>
      <c r="J540" s="4"/>
      <c r="K540" s="4">
        <v>215</v>
      </c>
      <c r="L540" s="4">
        <v>17</v>
      </c>
      <c r="M540" s="4">
        <v>3</v>
      </c>
      <c r="N540" s="4" t="s">
        <v>3</v>
      </c>
      <c r="O540" s="4">
        <v>2</v>
      </c>
      <c r="P540" s="4"/>
      <c r="Q540" s="4"/>
      <c r="R540" s="4"/>
      <c r="S540" s="4"/>
      <c r="T540" s="4"/>
      <c r="U540" s="4"/>
      <c r="V540" s="4"/>
      <c r="W540" s="4">
        <v>0</v>
      </c>
      <c r="X540" s="4">
        <v>1</v>
      </c>
      <c r="Y540" s="4">
        <v>0</v>
      </c>
      <c r="Z540" s="4"/>
      <c r="AA540" s="4"/>
      <c r="AB540" s="4"/>
    </row>
    <row r="541" spans="1:28" x14ac:dyDescent="0.2">
      <c r="A541" s="4">
        <v>50</v>
      </c>
      <c r="B541" s="4">
        <v>0</v>
      </c>
      <c r="C541" s="4">
        <v>0</v>
      </c>
      <c r="D541" s="4">
        <v>1</v>
      </c>
      <c r="E541" s="4">
        <v>217</v>
      </c>
      <c r="F541" s="4">
        <f>ROUND(Source!AU522,O541)</f>
        <v>2116768.7999999998</v>
      </c>
      <c r="G541" s="4" t="s">
        <v>98</v>
      </c>
      <c r="H541" s="4" t="s">
        <v>99</v>
      </c>
      <c r="I541" s="4"/>
      <c r="J541" s="4"/>
      <c r="K541" s="4">
        <v>217</v>
      </c>
      <c r="L541" s="4">
        <v>18</v>
      </c>
      <c r="M541" s="4">
        <v>3</v>
      </c>
      <c r="N541" s="4" t="s">
        <v>3</v>
      </c>
      <c r="O541" s="4">
        <v>2</v>
      </c>
      <c r="P541" s="4"/>
      <c r="Q541" s="4"/>
      <c r="R541" s="4"/>
      <c r="S541" s="4"/>
      <c r="T541" s="4"/>
      <c r="U541" s="4"/>
      <c r="V541" s="4"/>
      <c r="W541" s="4">
        <v>2116768.7999999998</v>
      </c>
      <c r="X541" s="4">
        <v>1</v>
      </c>
      <c r="Y541" s="4">
        <v>2116768.7999999998</v>
      </c>
      <c r="Z541" s="4"/>
      <c r="AA541" s="4"/>
      <c r="AB541" s="4"/>
    </row>
    <row r="542" spans="1:28" x14ac:dyDescent="0.2">
      <c r="A542" s="4">
        <v>50</v>
      </c>
      <c r="B542" s="4">
        <v>0</v>
      </c>
      <c r="C542" s="4">
        <v>0</v>
      </c>
      <c r="D542" s="4">
        <v>1</v>
      </c>
      <c r="E542" s="4">
        <v>230</v>
      </c>
      <c r="F542" s="4">
        <f>ROUND(Source!BA522,O542)</f>
        <v>0</v>
      </c>
      <c r="G542" s="4" t="s">
        <v>100</v>
      </c>
      <c r="H542" s="4" t="s">
        <v>101</v>
      </c>
      <c r="I542" s="4"/>
      <c r="J542" s="4"/>
      <c r="K542" s="4">
        <v>230</v>
      </c>
      <c r="L542" s="4">
        <v>19</v>
      </c>
      <c r="M542" s="4">
        <v>3</v>
      </c>
      <c r="N542" s="4" t="s">
        <v>3</v>
      </c>
      <c r="O542" s="4">
        <v>2</v>
      </c>
      <c r="P542" s="4"/>
      <c r="Q542" s="4"/>
      <c r="R542" s="4"/>
      <c r="S542" s="4"/>
      <c r="T542" s="4"/>
      <c r="U542" s="4"/>
      <c r="V542" s="4"/>
      <c r="W542" s="4">
        <v>0</v>
      </c>
      <c r="X542" s="4">
        <v>1</v>
      </c>
      <c r="Y542" s="4">
        <v>0</v>
      </c>
      <c r="Z542" s="4"/>
      <c r="AA542" s="4"/>
      <c r="AB542" s="4"/>
    </row>
    <row r="543" spans="1:28" x14ac:dyDescent="0.2">
      <c r="A543" s="4">
        <v>50</v>
      </c>
      <c r="B543" s="4">
        <v>0</v>
      </c>
      <c r="C543" s="4">
        <v>0</v>
      </c>
      <c r="D543" s="4">
        <v>1</v>
      </c>
      <c r="E543" s="4">
        <v>206</v>
      </c>
      <c r="F543" s="4">
        <f>ROUND(Source!T522,O543)</f>
        <v>0</v>
      </c>
      <c r="G543" s="4" t="s">
        <v>102</v>
      </c>
      <c r="H543" s="4" t="s">
        <v>103</v>
      </c>
      <c r="I543" s="4"/>
      <c r="J543" s="4"/>
      <c r="K543" s="4">
        <v>206</v>
      </c>
      <c r="L543" s="4">
        <v>20</v>
      </c>
      <c r="M543" s="4">
        <v>3</v>
      </c>
      <c r="N543" s="4" t="s">
        <v>3</v>
      </c>
      <c r="O543" s="4">
        <v>2</v>
      </c>
      <c r="P543" s="4"/>
      <c r="Q543" s="4"/>
      <c r="R543" s="4"/>
      <c r="S543" s="4"/>
      <c r="T543" s="4"/>
      <c r="U543" s="4"/>
      <c r="V543" s="4"/>
      <c r="W543" s="4">
        <v>0</v>
      </c>
      <c r="X543" s="4">
        <v>1</v>
      </c>
      <c r="Y543" s="4">
        <v>0</v>
      </c>
      <c r="Z543" s="4"/>
      <c r="AA543" s="4"/>
      <c r="AB543" s="4"/>
    </row>
    <row r="544" spans="1:28" x14ac:dyDescent="0.2">
      <c r="A544" s="4">
        <v>50</v>
      </c>
      <c r="B544" s="4">
        <v>0</v>
      </c>
      <c r="C544" s="4">
        <v>0</v>
      </c>
      <c r="D544" s="4">
        <v>1</v>
      </c>
      <c r="E544" s="4">
        <v>207</v>
      </c>
      <c r="F544" s="4">
        <f>Source!U522</f>
        <v>1979.8973254000002</v>
      </c>
      <c r="G544" s="4" t="s">
        <v>104</v>
      </c>
      <c r="H544" s="4" t="s">
        <v>105</v>
      </c>
      <c r="I544" s="4"/>
      <c r="J544" s="4"/>
      <c r="K544" s="4">
        <v>207</v>
      </c>
      <c r="L544" s="4">
        <v>21</v>
      </c>
      <c r="M544" s="4">
        <v>3</v>
      </c>
      <c r="N544" s="4" t="s">
        <v>3</v>
      </c>
      <c r="O544" s="4">
        <v>-1</v>
      </c>
      <c r="P544" s="4"/>
      <c r="Q544" s="4"/>
      <c r="R544" s="4"/>
      <c r="S544" s="4"/>
      <c r="T544" s="4"/>
      <c r="U544" s="4"/>
      <c r="V544" s="4"/>
      <c r="W544" s="4">
        <v>1979.8973254000005</v>
      </c>
      <c r="X544" s="4">
        <v>1</v>
      </c>
      <c r="Y544" s="4">
        <v>1979.8973254000005</v>
      </c>
      <c r="Z544" s="4"/>
      <c r="AA544" s="4"/>
      <c r="AB544" s="4"/>
    </row>
    <row r="545" spans="1:28" x14ac:dyDescent="0.2">
      <c r="A545" s="4">
        <v>50</v>
      </c>
      <c r="B545" s="4">
        <v>0</v>
      </c>
      <c r="C545" s="4">
        <v>0</v>
      </c>
      <c r="D545" s="4">
        <v>1</v>
      </c>
      <c r="E545" s="4">
        <v>208</v>
      </c>
      <c r="F545" s="4">
        <f>Source!V522</f>
        <v>0</v>
      </c>
      <c r="G545" s="4" t="s">
        <v>106</v>
      </c>
      <c r="H545" s="4" t="s">
        <v>107</v>
      </c>
      <c r="I545" s="4"/>
      <c r="J545" s="4"/>
      <c r="K545" s="4">
        <v>208</v>
      </c>
      <c r="L545" s="4">
        <v>22</v>
      </c>
      <c r="M545" s="4">
        <v>3</v>
      </c>
      <c r="N545" s="4" t="s">
        <v>3</v>
      </c>
      <c r="O545" s="4">
        <v>-1</v>
      </c>
      <c r="P545" s="4"/>
      <c r="Q545" s="4"/>
      <c r="R545" s="4"/>
      <c r="S545" s="4"/>
      <c r="T545" s="4"/>
      <c r="U545" s="4"/>
      <c r="V545" s="4"/>
      <c r="W545" s="4">
        <v>0</v>
      </c>
      <c r="X545" s="4">
        <v>1</v>
      </c>
      <c r="Y545" s="4">
        <v>0</v>
      </c>
      <c r="Z545" s="4"/>
      <c r="AA545" s="4"/>
      <c r="AB545" s="4"/>
    </row>
    <row r="546" spans="1:28" x14ac:dyDescent="0.2">
      <c r="A546" s="4">
        <v>50</v>
      </c>
      <c r="B546" s="4">
        <v>0</v>
      </c>
      <c r="C546" s="4">
        <v>0</v>
      </c>
      <c r="D546" s="4">
        <v>1</v>
      </c>
      <c r="E546" s="4">
        <v>209</v>
      </c>
      <c r="F546" s="4">
        <f>ROUND(Source!W522,O546)</f>
        <v>0</v>
      </c>
      <c r="G546" s="4" t="s">
        <v>108</v>
      </c>
      <c r="H546" s="4" t="s">
        <v>109</v>
      </c>
      <c r="I546" s="4"/>
      <c r="J546" s="4"/>
      <c r="K546" s="4">
        <v>209</v>
      </c>
      <c r="L546" s="4">
        <v>23</v>
      </c>
      <c r="M546" s="4">
        <v>3</v>
      </c>
      <c r="N546" s="4" t="s">
        <v>3</v>
      </c>
      <c r="O546" s="4">
        <v>2</v>
      </c>
      <c r="P546" s="4"/>
      <c r="Q546" s="4"/>
      <c r="R546" s="4"/>
      <c r="S546" s="4"/>
      <c r="T546" s="4"/>
      <c r="U546" s="4"/>
      <c r="V546" s="4"/>
      <c r="W546" s="4">
        <v>0</v>
      </c>
      <c r="X546" s="4">
        <v>1</v>
      </c>
      <c r="Y546" s="4">
        <v>0</v>
      </c>
      <c r="Z546" s="4"/>
      <c r="AA546" s="4"/>
      <c r="AB546" s="4"/>
    </row>
    <row r="547" spans="1:28" x14ac:dyDescent="0.2">
      <c r="A547" s="4">
        <v>50</v>
      </c>
      <c r="B547" s="4">
        <v>0</v>
      </c>
      <c r="C547" s="4">
        <v>0</v>
      </c>
      <c r="D547" s="4">
        <v>1</v>
      </c>
      <c r="E547" s="4">
        <v>233</v>
      </c>
      <c r="F547" s="4">
        <f>ROUND(Source!BD522,O547)</f>
        <v>0</v>
      </c>
      <c r="G547" s="4" t="s">
        <v>110</v>
      </c>
      <c r="H547" s="4" t="s">
        <v>111</v>
      </c>
      <c r="I547" s="4"/>
      <c r="J547" s="4"/>
      <c r="K547" s="4">
        <v>233</v>
      </c>
      <c r="L547" s="4">
        <v>24</v>
      </c>
      <c r="M547" s="4">
        <v>3</v>
      </c>
      <c r="N547" s="4" t="s">
        <v>3</v>
      </c>
      <c r="O547" s="4">
        <v>2</v>
      </c>
      <c r="P547" s="4"/>
      <c r="Q547" s="4"/>
      <c r="R547" s="4"/>
      <c r="S547" s="4"/>
      <c r="T547" s="4"/>
      <c r="U547" s="4"/>
      <c r="V547" s="4"/>
      <c r="W547" s="4">
        <v>0</v>
      </c>
      <c r="X547" s="4">
        <v>1</v>
      </c>
      <c r="Y547" s="4">
        <v>0</v>
      </c>
      <c r="Z547" s="4"/>
      <c r="AA547" s="4"/>
      <c r="AB547" s="4"/>
    </row>
    <row r="548" spans="1:28" x14ac:dyDescent="0.2">
      <c r="A548" s="4">
        <v>50</v>
      </c>
      <c r="B548" s="4">
        <v>0</v>
      </c>
      <c r="C548" s="4">
        <v>0</v>
      </c>
      <c r="D548" s="4">
        <v>1</v>
      </c>
      <c r="E548" s="4">
        <v>210</v>
      </c>
      <c r="F548" s="4">
        <f>ROUND(Source!X522,O548)</f>
        <v>413901.44</v>
      </c>
      <c r="G548" s="4" t="s">
        <v>112</v>
      </c>
      <c r="H548" s="4" t="s">
        <v>113</v>
      </c>
      <c r="I548" s="4"/>
      <c r="J548" s="4"/>
      <c r="K548" s="4">
        <v>210</v>
      </c>
      <c r="L548" s="4">
        <v>25</v>
      </c>
      <c r="M548" s="4">
        <v>3</v>
      </c>
      <c r="N548" s="4" t="s">
        <v>3</v>
      </c>
      <c r="O548" s="4">
        <v>2</v>
      </c>
      <c r="P548" s="4"/>
      <c r="Q548" s="4"/>
      <c r="R548" s="4"/>
      <c r="S548" s="4"/>
      <c r="T548" s="4"/>
      <c r="U548" s="4"/>
      <c r="V548" s="4"/>
      <c r="W548" s="4">
        <v>413901.44</v>
      </c>
      <c r="X548" s="4">
        <v>1</v>
      </c>
      <c r="Y548" s="4">
        <v>413901.44</v>
      </c>
      <c r="Z548" s="4"/>
      <c r="AA548" s="4"/>
      <c r="AB548" s="4"/>
    </row>
    <row r="549" spans="1:28" x14ac:dyDescent="0.2">
      <c r="A549" s="4">
        <v>50</v>
      </c>
      <c r="B549" s="4">
        <v>0</v>
      </c>
      <c r="C549" s="4">
        <v>0</v>
      </c>
      <c r="D549" s="4">
        <v>1</v>
      </c>
      <c r="E549" s="4">
        <v>211</v>
      </c>
      <c r="F549" s="4">
        <f>ROUND(Source!Y522,O549)</f>
        <v>59128.79</v>
      </c>
      <c r="G549" s="4" t="s">
        <v>114</v>
      </c>
      <c r="H549" s="4" t="s">
        <v>115</v>
      </c>
      <c r="I549" s="4"/>
      <c r="J549" s="4"/>
      <c r="K549" s="4">
        <v>211</v>
      </c>
      <c r="L549" s="4">
        <v>26</v>
      </c>
      <c r="M549" s="4">
        <v>3</v>
      </c>
      <c r="N549" s="4" t="s">
        <v>3</v>
      </c>
      <c r="O549" s="4">
        <v>2</v>
      </c>
      <c r="P549" s="4"/>
      <c r="Q549" s="4"/>
      <c r="R549" s="4"/>
      <c r="S549" s="4"/>
      <c r="T549" s="4"/>
      <c r="U549" s="4"/>
      <c r="V549" s="4"/>
      <c r="W549" s="4">
        <v>59128.79</v>
      </c>
      <c r="X549" s="4">
        <v>1</v>
      </c>
      <c r="Y549" s="4">
        <v>59128.79</v>
      </c>
      <c r="Z549" s="4"/>
      <c r="AA549" s="4"/>
      <c r="AB549" s="4"/>
    </row>
    <row r="550" spans="1:28" x14ac:dyDescent="0.2">
      <c r="A550" s="4">
        <v>50</v>
      </c>
      <c r="B550" s="4">
        <v>0</v>
      </c>
      <c r="C550" s="4">
        <v>0</v>
      </c>
      <c r="D550" s="4">
        <v>1</v>
      </c>
      <c r="E550" s="4">
        <v>224</v>
      </c>
      <c r="F550" s="4">
        <f>ROUND(Source!AR522,O550)</f>
        <v>2116768.7999999998</v>
      </c>
      <c r="G550" s="4" t="s">
        <v>116</v>
      </c>
      <c r="H550" s="4" t="s">
        <v>117</v>
      </c>
      <c r="I550" s="4"/>
      <c r="J550" s="4"/>
      <c r="K550" s="4">
        <v>224</v>
      </c>
      <c r="L550" s="4">
        <v>27</v>
      </c>
      <c r="M550" s="4">
        <v>3</v>
      </c>
      <c r="N550" s="4" t="s">
        <v>3</v>
      </c>
      <c r="O550" s="4">
        <v>2</v>
      </c>
      <c r="P550" s="4"/>
      <c r="Q550" s="4"/>
      <c r="R550" s="4"/>
      <c r="S550" s="4"/>
      <c r="T550" s="4"/>
      <c r="U550" s="4"/>
      <c r="V550" s="4"/>
      <c r="W550" s="4">
        <v>2116768.7999999998</v>
      </c>
      <c r="X550" s="4">
        <v>1</v>
      </c>
      <c r="Y550" s="4">
        <v>2116768.7999999998</v>
      </c>
      <c r="Z550" s="4"/>
      <c r="AA550" s="4"/>
      <c r="AB550" s="4"/>
    </row>
    <row r="551" spans="1:28" x14ac:dyDescent="0.2">
      <c r="A551" s="4">
        <v>50</v>
      </c>
      <c r="B551" s="4">
        <v>1</v>
      </c>
      <c r="C551" s="4">
        <v>0</v>
      </c>
      <c r="D551" s="4">
        <v>2</v>
      </c>
      <c r="E551" s="4">
        <v>0</v>
      </c>
      <c r="F551" s="4">
        <f>ROUND((0.1816+0.13744+0.02606)*9520,O551)</f>
        <v>3285.35</v>
      </c>
      <c r="G551" s="4" t="s">
        <v>17</v>
      </c>
      <c r="H551" s="4" t="s">
        <v>346</v>
      </c>
      <c r="I551" s="4"/>
      <c r="J551" s="4"/>
      <c r="K551" s="4">
        <v>212</v>
      </c>
      <c r="L551" s="4">
        <v>28</v>
      </c>
      <c r="M551" s="4">
        <v>0</v>
      </c>
      <c r="N551" s="4" t="s">
        <v>3</v>
      </c>
      <c r="O551" s="4">
        <v>2</v>
      </c>
      <c r="P551" s="4"/>
      <c r="Q551" s="4"/>
      <c r="R551" s="4"/>
      <c r="S551" s="4"/>
      <c r="T551" s="4"/>
      <c r="U551" s="4"/>
      <c r="V551" s="4"/>
      <c r="W551" s="4">
        <v>3285.35</v>
      </c>
      <c r="X551" s="4">
        <v>1</v>
      </c>
      <c r="Y551" s="4">
        <v>3285.35</v>
      </c>
      <c r="Z551" s="4"/>
      <c r="AA551" s="4"/>
      <c r="AB551" s="4"/>
    </row>
    <row r="552" spans="1:28" x14ac:dyDescent="0.2">
      <c r="A552" s="4">
        <v>50</v>
      </c>
      <c r="B552" s="4">
        <v>1</v>
      </c>
      <c r="C552" s="4">
        <v>0</v>
      </c>
      <c r="D552" s="4">
        <v>2</v>
      </c>
      <c r="E552" s="4">
        <v>0</v>
      </c>
      <c r="F552" s="4">
        <f>ROUND((2.08+0.16)*9520,O552)</f>
        <v>21324.799999999999</v>
      </c>
      <c r="G552" s="4" t="s">
        <v>25</v>
      </c>
      <c r="H552" s="4" t="s">
        <v>347</v>
      </c>
      <c r="I552" s="4"/>
      <c r="J552" s="4"/>
      <c r="K552" s="4">
        <v>212</v>
      </c>
      <c r="L552" s="4">
        <v>29</v>
      </c>
      <c r="M552" s="4">
        <v>0</v>
      </c>
      <c r="N552" s="4" t="s">
        <v>3</v>
      </c>
      <c r="O552" s="4">
        <v>2</v>
      </c>
      <c r="P552" s="4"/>
      <c r="Q552" s="4"/>
      <c r="R552" s="4"/>
      <c r="S552" s="4"/>
      <c r="T552" s="4"/>
      <c r="U552" s="4"/>
      <c r="V552" s="4"/>
      <c r="W552" s="4">
        <v>21324.799999999999</v>
      </c>
      <c r="X552" s="4">
        <v>1</v>
      </c>
      <c r="Y552" s="4">
        <v>21324.799999999999</v>
      </c>
      <c r="Z552" s="4"/>
      <c r="AA552" s="4"/>
      <c r="AB552" s="4"/>
    </row>
    <row r="553" spans="1:28" x14ac:dyDescent="0.2">
      <c r="A553" s="4">
        <v>50</v>
      </c>
      <c r="B553" s="4">
        <v>1</v>
      </c>
      <c r="C553" s="4">
        <v>0</v>
      </c>
      <c r="D553" s="4">
        <v>2</v>
      </c>
      <c r="E553" s="4">
        <v>0</v>
      </c>
      <c r="F553" s="4">
        <f>ROUND(F550-F551-F552,O553)</f>
        <v>2092158.65</v>
      </c>
      <c r="G553" s="4" t="s">
        <v>30</v>
      </c>
      <c r="H553" s="4" t="s">
        <v>348</v>
      </c>
      <c r="I553" s="4"/>
      <c r="J553" s="4"/>
      <c r="K553" s="4">
        <v>212</v>
      </c>
      <c r="L553" s="4">
        <v>30</v>
      </c>
      <c r="M553" s="4">
        <v>0</v>
      </c>
      <c r="N553" s="4" t="s">
        <v>3</v>
      </c>
      <c r="O553" s="4">
        <v>2</v>
      </c>
      <c r="P553" s="4"/>
      <c r="Q553" s="4"/>
      <c r="R553" s="4"/>
      <c r="S553" s="4"/>
      <c r="T553" s="4"/>
      <c r="U553" s="4"/>
      <c r="V553" s="4"/>
      <c r="W553" s="4">
        <v>2092158.65</v>
      </c>
      <c r="X553" s="4">
        <v>1</v>
      </c>
      <c r="Y553" s="4">
        <v>2092158.65</v>
      </c>
      <c r="Z553" s="4"/>
      <c r="AA553" s="4"/>
      <c r="AB553" s="4"/>
    </row>
    <row r="554" spans="1:28" x14ac:dyDescent="0.2">
      <c r="A554" s="4">
        <v>50</v>
      </c>
      <c r="B554" s="4">
        <v>1</v>
      </c>
      <c r="C554" s="4">
        <v>0</v>
      </c>
      <c r="D554" s="4">
        <v>2</v>
      </c>
      <c r="E554" s="4">
        <v>0</v>
      </c>
      <c r="F554" s="4">
        <f>ROUND(F553*0.2,O554)</f>
        <v>418431.73</v>
      </c>
      <c r="G554" s="4" t="s">
        <v>35</v>
      </c>
      <c r="H554" s="4" t="s">
        <v>349</v>
      </c>
      <c r="I554" s="4"/>
      <c r="J554" s="4"/>
      <c r="K554" s="4">
        <v>212</v>
      </c>
      <c r="L554" s="4">
        <v>31</v>
      </c>
      <c r="M554" s="4">
        <v>0</v>
      </c>
      <c r="N554" s="4" t="s">
        <v>3</v>
      </c>
      <c r="O554" s="4">
        <v>2</v>
      </c>
      <c r="P554" s="4"/>
      <c r="Q554" s="4"/>
      <c r="R554" s="4"/>
      <c r="S554" s="4"/>
      <c r="T554" s="4"/>
      <c r="U554" s="4"/>
      <c r="V554" s="4"/>
      <c r="W554" s="4">
        <v>418431.73</v>
      </c>
      <c r="X554" s="4">
        <v>1</v>
      </c>
      <c r="Y554" s="4">
        <v>418431.73</v>
      </c>
      <c r="Z554" s="4"/>
      <c r="AA554" s="4"/>
      <c r="AB554" s="4"/>
    </row>
    <row r="555" spans="1:28" x14ac:dyDescent="0.2">
      <c r="A555" s="4">
        <v>50</v>
      </c>
      <c r="B555" s="4">
        <v>1</v>
      </c>
      <c r="C555" s="4">
        <v>0</v>
      </c>
      <c r="D555" s="4">
        <v>2</v>
      </c>
      <c r="E555" s="4">
        <v>0</v>
      </c>
      <c r="F555" s="4">
        <f>ROUND(F553+F554,O555)</f>
        <v>2510590.38</v>
      </c>
      <c r="G555" s="4" t="s">
        <v>39</v>
      </c>
      <c r="H555" s="4" t="s">
        <v>116</v>
      </c>
      <c r="I555" s="4"/>
      <c r="J555" s="4"/>
      <c r="K555" s="4">
        <v>212</v>
      </c>
      <c r="L555" s="4">
        <v>32</v>
      </c>
      <c r="M555" s="4">
        <v>0</v>
      </c>
      <c r="N555" s="4" t="s">
        <v>3</v>
      </c>
      <c r="O555" s="4">
        <v>2</v>
      </c>
      <c r="P555" s="4"/>
      <c r="Q555" s="4"/>
      <c r="R555" s="4"/>
      <c r="S555" s="4"/>
      <c r="T555" s="4"/>
      <c r="U555" s="4"/>
      <c r="V555" s="4"/>
      <c r="W555" s="4">
        <v>2510590.38</v>
      </c>
      <c r="X555" s="4">
        <v>1</v>
      </c>
      <c r="Y555" s="4">
        <v>2510590.38</v>
      </c>
      <c r="Z555" s="4"/>
      <c r="AA555" s="4"/>
      <c r="AB555" s="4"/>
    </row>
    <row r="557" spans="1:28" x14ac:dyDescent="0.2">
      <c r="A557" s="5">
        <v>61</v>
      </c>
      <c r="B557" s="5"/>
      <c r="C557" s="5"/>
      <c r="D557" s="5"/>
      <c r="E557" s="5"/>
      <c r="F557" s="5">
        <v>3</v>
      </c>
      <c r="G557" s="5" t="s">
        <v>350</v>
      </c>
      <c r="H557" s="5" t="s">
        <v>351</v>
      </c>
    </row>
    <row r="558" spans="1:28" x14ac:dyDescent="0.2">
      <c r="A558" s="5">
        <v>61</v>
      </c>
      <c r="B558" s="5"/>
      <c r="C558" s="5"/>
      <c r="D558" s="5"/>
      <c r="E558" s="5"/>
      <c r="F558" s="5">
        <v>2.9</v>
      </c>
      <c r="G558" s="5" t="s">
        <v>352</v>
      </c>
      <c r="H558" s="5" t="s">
        <v>351</v>
      </c>
    </row>
    <row r="559" spans="1:28" x14ac:dyDescent="0.2">
      <c r="A559" s="5">
        <v>61</v>
      </c>
      <c r="B559" s="5"/>
      <c r="C559" s="5"/>
      <c r="D559" s="5"/>
      <c r="E559" s="5"/>
      <c r="F559" s="5">
        <v>21</v>
      </c>
      <c r="G559" s="5" t="s">
        <v>353</v>
      </c>
      <c r="H559" s="5" t="s">
        <v>351</v>
      </c>
    </row>
    <row r="560" spans="1:28" x14ac:dyDescent="0.2">
      <c r="A560" s="5">
        <v>61</v>
      </c>
      <c r="B560" s="5"/>
      <c r="C560" s="5"/>
      <c r="D560" s="5"/>
      <c r="E560" s="5"/>
      <c r="F560" s="5">
        <v>10.8</v>
      </c>
      <c r="G560" s="5" t="s">
        <v>354</v>
      </c>
      <c r="H560" s="5" t="s">
        <v>351</v>
      </c>
    </row>
    <row r="561" spans="1:8" x14ac:dyDescent="0.2">
      <c r="A561" s="5">
        <v>61</v>
      </c>
      <c r="B561" s="5"/>
      <c r="C561" s="5"/>
      <c r="D561" s="5"/>
      <c r="E561" s="5"/>
      <c r="F561" s="5">
        <v>34.799999999999997</v>
      </c>
      <c r="G561" s="5" t="s">
        <v>355</v>
      </c>
      <c r="H561" s="5" t="s">
        <v>351</v>
      </c>
    </row>
    <row r="562" spans="1:8" x14ac:dyDescent="0.2">
      <c r="A562" s="5">
        <v>61</v>
      </c>
      <c r="B562" s="5"/>
      <c r="C562" s="5"/>
      <c r="D562" s="5"/>
      <c r="E562" s="5"/>
      <c r="F562" s="5">
        <v>2.73</v>
      </c>
      <c r="G562" s="5" t="s">
        <v>356</v>
      </c>
      <c r="H562" s="5" t="s">
        <v>351</v>
      </c>
    </row>
    <row r="563" spans="1:8" x14ac:dyDescent="0.2">
      <c r="A563" s="5">
        <v>61</v>
      </c>
      <c r="B563" s="5"/>
      <c r="C563" s="5"/>
      <c r="D563" s="5"/>
      <c r="E563" s="5"/>
      <c r="F563" s="5">
        <v>0.82</v>
      </c>
      <c r="G563" s="5" t="s">
        <v>357</v>
      </c>
      <c r="H563" s="5" t="s">
        <v>351</v>
      </c>
    </row>
    <row r="564" spans="1:8" x14ac:dyDescent="0.2">
      <c r="A564" s="5">
        <v>61</v>
      </c>
      <c r="B564" s="5"/>
      <c r="C564" s="5"/>
      <c r="D564" s="5"/>
      <c r="E564" s="5"/>
      <c r="F564" s="5">
        <v>2.5</v>
      </c>
      <c r="G564" s="5" t="s">
        <v>358</v>
      </c>
      <c r="H564" s="5" t="s">
        <v>351</v>
      </c>
    </row>
    <row r="565" spans="1:8" x14ac:dyDescent="0.2">
      <c r="A565" s="5">
        <v>61</v>
      </c>
      <c r="B565" s="5"/>
      <c r="C565" s="5"/>
      <c r="D565" s="5"/>
      <c r="E565" s="5"/>
      <c r="F565" s="5">
        <v>13.6</v>
      </c>
      <c r="G565" s="5" t="s">
        <v>359</v>
      </c>
      <c r="H565" s="5" t="s">
        <v>351</v>
      </c>
    </row>
    <row r="566" spans="1:8" x14ac:dyDescent="0.2">
      <c r="A566" s="5">
        <v>61</v>
      </c>
      <c r="B566" s="5"/>
      <c r="C566" s="5"/>
      <c r="D566" s="5"/>
      <c r="E566" s="5"/>
      <c r="F566" s="5">
        <v>0</v>
      </c>
      <c r="G566" s="5" t="s">
        <v>360</v>
      </c>
      <c r="H566" s="5" t="s">
        <v>351</v>
      </c>
    </row>
    <row r="567" spans="1:8" x14ac:dyDescent="0.2">
      <c r="A567" s="5">
        <v>61</v>
      </c>
      <c r="B567" s="5"/>
      <c r="C567" s="5"/>
      <c r="D567" s="5"/>
      <c r="E567" s="5"/>
      <c r="F567" s="5">
        <v>12</v>
      </c>
      <c r="G567" s="5" t="s">
        <v>361</v>
      </c>
      <c r="H567" s="5" t="s">
        <v>351</v>
      </c>
    </row>
    <row r="568" spans="1:8" x14ac:dyDescent="0.2">
      <c r="A568" s="5">
        <v>61</v>
      </c>
      <c r="B568" s="5"/>
      <c r="C568" s="5"/>
      <c r="D568" s="5"/>
      <c r="E568" s="5"/>
      <c r="F568" s="5">
        <v>2</v>
      </c>
      <c r="G568" s="5" t="s">
        <v>362</v>
      </c>
      <c r="H568" s="5" t="s">
        <v>351</v>
      </c>
    </row>
    <row r="569" spans="1:8" x14ac:dyDescent="0.2">
      <c r="A569" s="5">
        <v>61</v>
      </c>
      <c r="B569" s="5"/>
      <c r="C569" s="5"/>
      <c r="D569" s="5"/>
      <c r="E569" s="5"/>
      <c r="F569" s="5">
        <v>1</v>
      </c>
      <c r="G569" s="5" t="s">
        <v>363</v>
      </c>
      <c r="H569" s="5" t="s">
        <v>351</v>
      </c>
    </row>
    <row r="570" spans="1:8" x14ac:dyDescent="0.2">
      <c r="A570" s="5">
        <v>61</v>
      </c>
      <c r="B570" s="5"/>
      <c r="C570" s="5"/>
      <c r="D570" s="5"/>
      <c r="E570" s="5"/>
      <c r="F570" s="5">
        <v>0</v>
      </c>
      <c r="G570" s="5" t="s">
        <v>364</v>
      </c>
      <c r="H570" s="5" t="s">
        <v>351</v>
      </c>
    </row>
    <row r="571" spans="1:8" x14ac:dyDescent="0.2">
      <c r="A571" s="5">
        <v>61</v>
      </c>
      <c r="B571" s="5"/>
      <c r="C571" s="5"/>
      <c r="D571" s="5"/>
      <c r="E571" s="5"/>
      <c r="F571" s="5">
        <v>2.73</v>
      </c>
      <c r="G571" s="5" t="s">
        <v>365</v>
      </c>
      <c r="H571" s="5" t="s">
        <v>351</v>
      </c>
    </row>
    <row r="572" spans="1:8" x14ac:dyDescent="0.2">
      <c r="A572" s="5">
        <v>61</v>
      </c>
      <c r="B572" s="5"/>
      <c r="C572" s="5"/>
      <c r="D572" s="5"/>
      <c r="E572" s="5"/>
      <c r="F572" s="5">
        <v>5.89</v>
      </c>
      <c r="G572" s="5" t="s">
        <v>366</v>
      </c>
      <c r="H572" s="5" t="s">
        <v>351</v>
      </c>
    </row>
    <row r="573" spans="1:8" x14ac:dyDescent="0.2">
      <c r="A573" s="5">
        <v>61</v>
      </c>
      <c r="B573" s="5"/>
      <c r="C573" s="5"/>
      <c r="D573" s="5"/>
      <c r="E573" s="5"/>
      <c r="F573" s="5">
        <v>13.6</v>
      </c>
      <c r="G573" s="5" t="s">
        <v>367</v>
      </c>
      <c r="H573" s="5" t="s">
        <v>351</v>
      </c>
    </row>
    <row r="574" spans="1:8" x14ac:dyDescent="0.2">
      <c r="A574" s="5">
        <v>61</v>
      </c>
      <c r="B574" s="5"/>
      <c r="C574" s="5"/>
      <c r="D574" s="5"/>
      <c r="E574" s="5"/>
      <c r="F574" s="5">
        <v>15.46</v>
      </c>
      <c r="G574" s="5" t="s">
        <v>368</v>
      </c>
      <c r="H574" s="5" t="s">
        <v>351</v>
      </c>
    </row>
    <row r="575" spans="1:8" x14ac:dyDescent="0.2">
      <c r="A575" s="5">
        <v>61</v>
      </c>
      <c r="B575" s="5"/>
      <c r="C575" s="5"/>
      <c r="D575" s="5"/>
      <c r="E575" s="5"/>
      <c r="F575" s="5">
        <v>3.86</v>
      </c>
      <c r="G575" s="5" t="s">
        <v>369</v>
      </c>
      <c r="H575" s="5" t="s">
        <v>370</v>
      </c>
    </row>
    <row r="576" spans="1:8" x14ac:dyDescent="0.2">
      <c r="A576" s="5">
        <v>61</v>
      </c>
      <c r="B576" s="5"/>
      <c r="C576" s="5"/>
      <c r="D576" s="5"/>
      <c r="E576" s="5"/>
      <c r="F576" s="5">
        <v>3.77</v>
      </c>
      <c r="G576" s="5" t="s">
        <v>371</v>
      </c>
      <c r="H576" s="5" t="s">
        <v>372</v>
      </c>
    </row>
    <row r="579" spans="1:15" x14ac:dyDescent="0.2">
      <c r="A579">
        <v>-1</v>
      </c>
    </row>
    <row r="581" spans="1:15" x14ac:dyDescent="0.2">
      <c r="A581" s="3">
        <v>75</v>
      </c>
      <c r="B581" s="3" t="s">
        <v>373</v>
      </c>
      <c r="C581" s="3">
        <v>2024</v>
      </c>
      <c r="D581" s="3">
        <v>0</v>
      </c>
      <c r="E581" s="3">
        <v>1</v>
      </c>
      <c r="F581" s="3">
        <v>0</v>
      </c>
      <c r="G581" s="3">
        <v>0</v>
      </c>
      <c r="H581" s="3">
        <v>1</v>
      </c>
      <c r="I581" s="3">
        <v>0</v>
      </c>
      <c r="J581" s="3">
        <v>3</v>
      </c>
      <c r="K581" s="3">
        <v>78</v>
      </c>
      <c r="L581" s="3">
        <v>30</v>
      </c>
      <c r="M581" s="3">
        <v>0</v>
      </c>
      <c r="N581" s="3">
        <v>72192302</v>
      </c>
      <c r="O581" s="3">
        <v>1</v>
      </c>
    </row>
    <row r="585" spans="1:15" x14ac:dyDescent="0.2">
      <c r="A585">
        <v>65</v>
      </c>
      <c r="C585">
        <v>1</v>
      </c>
      <c r="D585">
        <v>0</v>
      </c>
      <c r="E585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374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62169</v>
      </c>
      <c r="M1">
        <v>10</v>
      </c>
      <c r="N1">
        <v>11</v>
      </c>
      <c r="O1">
        <v>8</v>
      </c>
      <c r="P1">
        <v>0</v>
      </c>
      <c r="Q1">
        <v>0</v>
      </c>
    </row>
    <row r="12" spans="1:133" x14ac:dyDescent="0.2">
      <c r="A12" s="1">
        <v>1</v>
      </c>
      <c r="B12" s="1">
        <v>56</v>
      </c>
      <c r="C12" s="1">
        <v>0</v>
      </c>
      <c r="D12" s="1"/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2</v>
      </c>
      <c r="N12" s="1"/>
      <c r="O12" s="1">
        <v>0</v>
      </c>
      <c r="P12" s="1">
        <v>0</v>
      </c>
      <c r="Q12" s="1">
        <v>0</v>
      </c>
      <c r="R12" s="1">
        <v>108</v>
      </c>
      <c r="S12" s="1"/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1</v>
      </c>
      <c r="BU12" s="1">
        <v>0</v>
      </c>
      <c r="BV12" s="1">
        <v>1</v>
      </c>
      <c r="BW12" s="1">
        <v>0</v>
      </c>
      <c r="BX12" s="1">
        <v>0</v>
      </c>
      <c r="BY12" s="1" t="s">
        <v>8</v>
      </c>
      <c r="BZ12" s="1" t="s">
        <v>9</v>
      </c>
      <c r="CA12" s="1" t="s">
        <v>10</v>
      </c>
      <c r="CB12" s="1" t="s">
        <v>10</v>
      </c>
      <c r="CC12" s="1" t="s">
        <v>10</v>
      </c>
      <c r="CD12" s="1" t="s">
        <v>10</v>
      </c>
      <c r="CE12" s="1" t="s">
        <v>11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0</v>
      </c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72192302</v>
      </c>
      <c r="E14" s="1">
        <v>0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6">
        <v>3</v>
      </c>
      <c r="B16" s="6">
        <v>0</v>
      </c>
      <c r="C16" s="6" t="s">
        <v>3</v>
      </c>
      <c r="D16" s="6" t="s">
        <v>12</v>
      </c>
      <c r="E16" s="7">
        <f>ROUND((Source!F509)/1000,2)</f>
        <v>0</v>
      </c>
      <c r="F16" s="7">
        <f>ROUND((Source!F510)/1000,2)</f>
        <v>0</v>
      </c>
      <c r="G16" s="7">
        <f>ROUND((Source!F501)/1000,2)</f>
        <v>0</v>
      </c>
      <c r="H16" s="7">
        <f>ROUND((Source!F511)/1000+(Source!F512)/1000,2)</f>
        <v>2116.77</v>
      </c>
      <c r="I16" s="7">
        <f>E16+F16+G16+H16</f>
        <v>2116.77</v>
      </c>
      <c r="J16" s="7">
        <f>ROUND((Source!F507+Source!F506)/1000,2)</f>
        <v>609.91999999999996</v>
      </c>
      <c r="AI16" s="6">
        <v>0</v>
      </c>
      <c r="AJ16" s="6">
        <v>0</v>
      </c>
      <c r="AK16" s="6" t="s">
        <v>3</v>
      </c>
      <c r="AL16" s="6" t="s">
        <v>3</v>
      </c>
      <c r="AM16" s="6" t="s">
        <v>3</v>
      </c>
      <c r="AN16" s="6">
        <v>0</v>
      </c>
      <c r="AO16" s="6" t="s">
        <v>3</v>
      </c>
      <c r="AP16" s="6" t="s">
        <v>3</v>
      </c>
      <c r="AT16" s="7">
        <v>1626320.45</v>
      </c>
      <c r="AU16" s="7">
        <v>1011274.7</v>
      </c>
      <c r="AV16" s="7">
        <v>0</v>
      </c>
      <c r="AW16" s="7">
        <v>0</v>
      </c>
      <c r="AX16" s="7">
        <v>0</v>
      </c>
      <c r="AY16" s="7">
        <v>23758.01</v>
      </c>
      <c r="AZ16" s="7">
        <v>18629.830000000002</v>
      </c>
      <c r="BA16" s="7">
        <v>591287.74</v>
      </c>
      <c r="BB16" s="7">
        <v>0</v>
      </c>
      <c r="BC16" s="7">
        <v>0</v>
      </c>
      <c r="BD16" s="7">
        <v>2116768.7999999998</v>
      </c>
      <c r="BE16" s="7">
        <v>0</v>
      </c>
      <c r="BF16" s="7">
        <v>1979.8973254000005</v>
      </c>
      <c r="BG16" s="7">
        <v>0</v>
      </c>
      <c r="BH16" s="7">
        <v>0</v>
      </c>
      <c r="BI16" s="7">
        <v>413901.44</v>
      </c>
      <c r="BJ16" s="7">
        <v>59128.79</v>
      </c>
      <c r="BK16" s="7">
        <v>2116768.7999999998</v>
      </c>
    </row>
    <row r="18" spans="1:19" x14ac:dyDescent="0.2">
      <c r="A18">
        <v>51</v>
      </c>
      <c r="E18" s="5">
        <f>SUMIF(A16:A17,3,E16:E17)</f>
        <v>0</v>
      </c>
      <c r="F18" s="5">
        <f>SUMIF(A16:A17,3,F16:F17)</f>
        <v>0</v>
      </c>
      <c r="G18" s="5">
        <f>SUMIF(A16:A17,3,G16:G17)</f>
        <v>0</v>
      </c>
      <c r="H18" s="5">
        <f>SUMIF(A16:A17,3,H16:H17)</f>
        <v>2116.77</v>
      </c>
      <c r="I18" s="5">
        <f>SUMIF(A16:A17,3,I16:I17)</f>
        <v>2116.77</v>
      </c>
      <c r="J18" s="5">
        <f>SUMIF(A16:A17,3,J16:J17)</f>
        <v>609.91999999999996</v>
      </c>
      <c r="K18" s="5"/>
      <c r="L18" s="5"/>
      <c r="M18" s="5"/>
      <c r="N18" s="5"/>
      <c r="O18" s="5"/>
      <c r="P18" s="5"/>
      <c r="Q18" s="5"/>
      <c r="R18" s="5"/>
      <c r="S18" s="5"/>
    </row>
    <row r="20" spans="1:19" x14ac:dyDescent="0.2">
      <c r="A20" s="4">
        <v>50</v>
      </c>
      <c r="B20" s="4">
        <v>0</v>
      </c>
      <c r="C20" s="4">
        <v>0</v>
      </c>
      <c r="D20" s="4">
        <v>1</v>
      </c>
      <c r="E20" s="4">
        <v>201</v>
      </c>
      <c r="F20" s="4">
        <v>1626320.45</v>
      </c>
      <c r="G20" s="4" t="s">
        <v>64</v>
      </c>
      <c r="H20" s="4" t="s">
        <v>65</v>
      </c>
      <c r="I20" s="4"/>
      <c r="J20" s="4"/>
      <c r="K20" s="4">
        <v>201</v>
      </c>
      <c r="L20" s="4">
        <v>1</v>
      </c>
      <c r="M20" s="4">
        <v>3</v>
      </c>
      <c r="N20" s="4" t="s">
        <v>3</v>
      </c>
      <c r="O20" s="4">
        <v>2</v>
      </c>
      <c r="P20" s="4"/>
    </row>
    <row r="21" spans="1:19" x14ac:dyDescent="0.2">
      <c r="A21" s="4">
        <v>50</v>
      </c>
      <c r="B21" s="4">
        <v>0</v>
      </c>
      <c r="C21" s="4">
        <v>0</v>
      </c>
      <c r="D21" s="4">
        <v>1</v>
      </c>
      <c r="E21" s="4">
        <v>202</v>
      </c>
      <c r="F21" s="4">
        <v>1011274.7</v>
      </c>
      <c r="G21" s="4" t="s">
        <v>66</v>
      </c>
      <c r="H21" s="4" t="s">
        <v>67</v>
      </c>
      <c r="I21" s="4"/>
      <c r="J21" s="4"/>
      <c r="K21" s="4">
        <v>202</v>
      </c>
      <c r="L21" s="4">
        <v>2</v>
      </c>
      <c r="M21" s="4">
        <v>3</v>
      </c>
      <c r="N21" s="4" t="s">
        <v>3</v>
      </c>
      <c r="O21" s="4">
        <v>2</v>
      </c>
      <c r="P21" s="4"/>
    </row>
    <row r="22" spans="1:19" x14ac:dyDescent="0.2">
      <c r="A22" s="4">
        <v>50</v>
      </c>
      <c r="B22" s="4">
        <v>0</v>
      </c>
      <c r="C22" s="4">
        <v>0</v>
      </c>
      <c r="D22" s="4">
        <v>1</v>
      </c>
      <c r="E22" s="4">
        <v>222</v>
      </c>
      <c r="F22" s="4">
        <v>0</v>
      </c>
      <c r="G22" s="4" t="s">
        <v>68</v>
      </c>
      <c r="H22" s="4" t="s">
        <v>69</v>
      </c>
      <c r="I22" s="4"/>
      <c r="J22" s="4"/>
      <c r="K22" s="4">
        <v>222</v>
      </c>
      <c r="L22" s="4">
        <v>3</v>
      </c>
      <c r="M22" s="4">
        <v>3</v>
      </c>
      <c r="N22" s="4" t="s">
        <v>3</v>
      </c>
      <c r="O22" s="4">
        <v>2</v>
      </c>
      <c r="P22" s="4"/>
    </row>
    <row r="23" spans="1:19" x14ac:dyDescent="0.2">
      <c r="A23" s="4">
        <v>50</v>
      </c>
      <c r="B23" s="4">
        <v>0</v>
      </c>
      <c r="C23" s="4">
        <v>0</v>
      </c>
      <c r="D23" s="4">
        <v>1</v>
      </c>
      <c r="E23" s="4">
        <v>225</v>
      </c>
      <c r="F23" s="4">
        <v>1011274.7</v>
      </c>
      <c r="G23" s="4" t="s">
        <v>70</v>
      </c>
      <c r="H23" s="4" t="s">
        <v>71</v>
      </c>
      <c r="I23" s="4"/>
      <c r="J23" s="4"/>
      <c r="K23" s="4">
        <v>225</v>
      </c>
      <c r="L23" s="4">
        <v>4</v>
      </c>
      <c r="M23" s="4">
        <v>3</v>
      </c>
      <c r="N23" s="4" t="s">
        <v>3</v>
      </c>
      <c r="O23" s="4">
        <v>2</v>
      </c>
      <c r="P23" s="4"/>
    </row>
    <row r="24" spans="1:19" x14ac:dyDescent="0.2">
      <c r="A24" s="4">
        <v>50</v>
      </c>
      <c r="B24" s="4">
        <v>0</v>
      </c>
      <c r="C24" s="4">
        <v>0</v>
      </c>
      <c r="D24" s="4">
        <v>1</v>
      </c>
      <c r="E24" s="4">
        <v>226</v>
      </c>
      <c r="F24" s="4">
        <v>1011274.7</v>
      </c>
      <c r="G24" s="4" t="s">
        <v>72</v>
      </c>
      <c r="H24" s="4" t="s">
        <v>73</v>
      </c>
      <c r="I24" s="4"/>
      <c r="J24" s="4"/>
      <c r="K24" s="4">
        <v>226</v>
      </c>
      <c r="L24" s="4">
        <v>5</v>
      </c>
      <c r="M24" s="4">
        <v>3</v>
      </c>
      <c r="N24" s="4" t="s">
        <v>3</v>
      </c>
      <c r="O24" s="4">
        <v>2</v>
      </c>
      <c r="P24" s="4"/>
    </row>
    <row r="25" spans="1:19" x14ac:dyDescent="0.2">
      <c r="A25" s="4">
        <v>50</v>
      </c>
      <c r="B25" s="4">
        <v>0</v>
      </c>
      <c r="C25" s="4">
        <v>0</v>
      </c>
      <c r="D25" s="4">
        <v>1</v>
      </c>
      <c r="E25" s="4">
        <v>227</v>
      </c>
      <c r="F25" s="4">
        <v>0</v>
      </c>
      <c r="G25" s="4" t="s">
        <v>74</v>
      </c>
      <c r="H25" s="4" t="s">
        <v>75</v>
      </c>
      <c r="I25" s="4"/>
      <c r="J25" s="4"/>
      <c r="K25" s="4">
        <v>227</v>
      </c>
      <c r="L25" s="4">
        <v>6</v>
      </c>
      <c r="M25" s="4">
        <v>3</v>
      </c>
      <c r="N25" s="4" t="s">
        <v>3</v>
      </c>
      <c r="O25" s="4">
        <v>2</v>
      </c>
      <c r="P25" s="4"/>
    </row>
    <row r="26" spans="1:19" x14ac:dyDescent="0.2">
      <c r="A26" s="4">
        <v>50</v>
      </c>
      <c r="B26" s="4">
        <v>0</v>
      </c>
      <c r="C26" s="4">
        <v>0</v>
      </c>
      <c r="D26" s="4">
        <v>1</v>
      </c>
      <c r="E26" s="4">
        <v>228</v>
      </c>
      <c r="F26" s="4">
        <v>1011274.7</v>
      </c>
      <c r="G26" s="4" t="s">
        <v>76</v>
      </c>
      <c r="H26" s="4" t="s">
        <v>77</v>
      </c>
      <c r="I26" s="4"/>
      <c r="J26" s="4"/>
      <c r="K26" s="4">
        <v>228</v>
      </c>
      <c r="L26" s="4">
        <v>7</v>
      </c>
      <c r="M26" s="4">
        <v>3</v>
      </c>
      <c r="N26" s="4" t="s">
        <v>3</v>
      </c>
      <c r="O26" s="4">
        <v>2</v>
      </c>
      <c r="P26" s="4"/>
    </row>
    <row r="27" spans="1:19" x14ac:dyDescent="0.2">
      <c r="A27" s="4">
        <v>50</v>
      </c>
      <c r="B27" s="4">
        <v>0</v>
      </c>
      <c r="C27" s="4">
        <v>0</v>
      </c>
      <c r="D27" s="4">
        <v>1</v>
      </c>
      <c r="E27" s="4">
        <v>216</v>
      </c>
      <c r="F27" s="4">
        <v>0</v>
      </c>
      <c r="G27" s="4" t="s">
        <v>78</v>
      </c>
      <c r="H27" s="4" t="s">
        <v>79</v>
      </c>
      <c r="I27" s="4"/>
      <c r="J27" s="4"/>
      <c r="K27" s="4">
        <v>216</v>
      </c>
      <c r="L27" s="4">
        <v>8</v>
      </c>
      <c r="M27" s="4">
        <v>3</v>
      </c>
      <c r="N27" s="4" t="s">
        <v>3</v>
      </c>
      <c r="O27" s="4">
        <v>2</v>
      </c>
      <c r="P27" s="4"/>
    </row>
    <row r="28" spans="1:19" x14ac:dyDescent="0.2">
      <c r="A28" s="4">
        <v>50</v>
      </c>
      <c r="B28" s="4">
        <v>0</v>
      </c>
      <c r="C28" s="4">
        <v>0</v>
      </c>
      <c r="D28" s="4">
        <v>1</v>
      </c>
      <c r="E28" s="4">
        <v>223</v>
      </c>
      <c r="F28" s="4">
        <v>0</v>
      </c>
      <c r="G28" s="4" t="s">
        <v>80</v>
      </c>
      <c r="H28" s="4" t="s">
        <v>81</v>
      </c>
      <c r="I28" s="4"/>
      <c r="J28" s="4"/>
      <c r="K28" s="4">
        <v>223</v>
      </c>
      <c r="L28" s="4">
        <v>9</v>
      </c>
      <c r="M28" s="4">
        <v>3</v>
      </c>
      <c r="N28" s="4" t="s">
        <v>3</v>
      </c>
      <c r="O28" s="4">
        <v>2</v>
      </c>
      <c r="P28" s="4"/>
    </row>
    <row r="29" spans="1:19" x14ac:dyDescent="0.2">
      <c r="A29" s="4">
        <v>50</v>
      </c>
      <c r="B29" s="4">
        <v>0</v>
      </c>
      <c r="C29" s="4">
        <v>0</v>
      </c>
      <c r="D29" s="4">
        <v>1</v>
      </c>
      <c r="E29" s="4">
        <v>229</v>
      </c>
      <c r="F29" s="4">
        <v>0</v>
      </c>
      <c r="G29" s="4" t="s">
        <v>82</v>
      </c>
      <c r="H29" s="4" t="s">
        <v>83</v>
      </c>
      <c r="I29" s="4"/>
      <c r="J29" s="4"/>
      <c r="K29" s="4">
        <v>229</v>
      </c>
      <c r="L29" s="4">
        <v>10</v>
      </c>
      <c r="M29" s="4">
        <v>3</v>
      </c>
      <c r="N29" s="4" t="s">
        <v>3</v>
      </c>
      <c r="O29" s="4">
        <v>2</v>
      </c>
      <c r="P29" s="4"/>
    </row>
    <row r="30" spans="1:19" x14ac:dyDescent="0.2">
      <c r="A30" s="4">
        <v>50</v>
      </c>
      <c r="B30" s="4">
        <v>0</v>
      </c>
      <c r="C30" s="4">
        <v>0</v>
      </c>
      <c r="D30" s="4">
        <v>1</v>
      </c>
      <c r="E30" s="4">
        <v>203</v>
      </c>
      <c r="F30" s="4">
        <v>23758.01</v>
      </c>
      <c r="G30" s="4" t="s">
        <v>84</v>
      </c>
      <c r="H30" s="4" t="s">
        <v>85</v>
      </c>
      <c r="I30" s="4"/>
      <c r="J30" s="4"/>
      <c r="K30" s="4">
        <v>203</v>
      </c>
      <c r="L30" s="4">
        <v>11</v>
      </c>
      <c r="M30" s="4">
        <v>3</v>
      </c>
      <c r="N30" s="4" t="s">
        <v>3</v>
      </c>
      <c r="O30" s="4">
        <v>2</v>
      </c>
      <c r="P30" s="4"/>
    </row>
    <row r="31" spans="1:19" x14ac:dyDescent="0.2">
      <c r="A31" s="4">
        <v>50</v>
      </c>
      <c r="B31" s="4">
        <v>0</v>
      </c>
      <c r="C31" s="4">
        <v>0</v>
      </c>
      <c r="D31" s="4">
        <v>1</v>
      </c>
      <c r="E31" s="4">
        <v>231</v>
      </c>
      <c r="F31" s="4">
        <v>0</v>
      </c>
      <c r="G31" s="4" t="s">
        <v>86</v>
      </c>
      <c r="H31" s="4" t="s">
        <v>87</v>
      </c>
      <c r="I31" s="4"/>
      <c r="J31" s="4"/>
      <c r="K31" s="4">
        <v>231</v>
      </c>
      <c r="L31" s="4">
        <v>12</v>
      </c>
      <c r="M31" s="4">
        <v>3</v>
      </c>
      <c r="N31" s="4" t="s">
        <v>3</v>
      </c>
      <c r="O31" s="4">
        <v>2</v>
      </c>
      <c r="P31" s="4"/>
    </row>
    <row r="32" spans="1:19" x14ac:dyDescent="0.2">
      <c r="A32" s="4">
        <v>50</v>
      </c>
      <c r="B32" s="4">
        <v>0</v>
      </c>
      <c r="C32" s="4">
        <v>0</v>
      </c>
      <c r="D32" s="4">
        <v>1</v>
      </c>
      <c r="E32" s="4">
        <v>204</v>
      </c>
      <c r="F32" s="4">
        <v>18629.830000000002</v>
      </c>
      <c r="G32" s="4" t="s">
        <v>88</v>
      </c>
      <c r="H32" s="4" t="s">
        <v>89</v>
      </c>
      <c r="I32" s="4"/>
      <c r="J32" s="4"/>
      <c r="K32" s="4">
        <v>204</v>
      </c>
      <c r="L32" s="4">
        <v>13</v>
      </c>
      <c r="M32" s="4">
        <v>3</v>
      </c>
      <c r="N32" s="4" t="s">
        <v>3</v>
      </c>
      <c r="O32" s="4">
        <v>2</v>
      </c>
      <c r="P32" s="4"/>
    </row>
    <row r="33" spans="1:16" x14ac:dyDescent="0.2">
      <c r="A33" s="4">
        <v>50</v>
      </c>
      <c r="B33" s="4">
        <v>0</v>
      </c>
      <c r="C33" s="4">
        <v>0</v>
      </c>
      <c r="D33" s="4">
        <v>1</v>
      </c>
      <c r="E33" s="4">
        <v>205</v>
      </c>
      <c r="F33" s="4">
        <v>591287.74</v>
      </c>
      <c r="G33" s="4" t="s">
        <v>90</v>
      </c>
      <c r="H33" s="4" t="s">
        <v>91</v>
      </c>
      <c r="I33" s="4"/>
      <c r="J33" s="4"/>
      <c r="K33" s="4">
        <v>205</v>
      </c>
      <c r="L33" s="4">
        <v>14</v>
      </c>
      <c r="M33" s="4">
        <v>3</v>
      </c>
      <c r="N33" s="4" t="s">
        <v>3</v>
      </c>
      <c r="O33" s="4">
        <v>2</v>
      </c>
      <c r="P33" s="4"/>
    </row>
    <row r="34" spans="1:16" x14ac:dyDescent="0.2">
      <c r="A34" s="4">
        <v>50</v>
      </c>
      <c r="B34" s="4">
        <v>0</v>
      </c>
      <c r="C34" s="4">
        <v>0</v>
      </c>
      <c r="D34" s="4">
        <v>1</v>
      </c>
      <c r="E34" s="4">
        <v>232</v>
      </c>
      <c r="F34" s="4">
        <v>0</v>
      </c>
      <c r="G34" s="4" t="s">
        <v>92</v>
      </c>
      <c r="H34" s="4" t="s">
        <v>93</v>
      </c>
      <c r="I34" s="4"/>
      <c r="J34" s="4"/>
      <c r="K34" s="4">
        <v>232</v>
      </c>
      <c r="L34" s="4">
        <v>15</v>
      </c>
      <c r="M34" s="4">
        <v>3</v>
      </c>
      <c r="N34" s="4" t="s">
        <v>3</v>
      </c>
      <c r="O34" s="4">
        <v>2</v>
      </c>
      <c r="P34" s="4"/>
    </row>
    <row r="35" spans="1:16" x14ac:dyDescent="0.2">
      <c r="A35" s="4">
        <v>50</v>
      </c>
      <c r="B35" s="4">
        <v>0</v>
      </c>
      <c r="C35" s="4">
        <v>0</v>
      </c>
      <c r="D35" s="4">
        <v>1</v>
      </c>
      <c r="E35" s="4">
        <v>214</v>
      </c>
      <c r="F35" s="4">
        <v>0</v>
      </c>
      <c r="G35" s="4" t="s">
        <v>94</v>
      </c>
      <c r="H35" s="4" t="s">
        <v>95</v>
      </c>
      <c r="I35" s="4"/>
      <c r="J35" s="4"/>
      <c r="K35" s="4">
        <v>214</v>
      </c>
      <c r="L35" s="4">
        <v>16</v>
      </c>
      <c r="M35" s="4">
        <v>3</v>
      </c>
      <c r="N35" s="4" t="s">
        <v>3</v>
      </c>
      <c r="O35" s="4">
        <v>2</v>
      </c>
      <c r="P35" s="4"/>
    </row>
    <row r="36" spans="1:16" x14ac:dyDescent="0.2">
      <c r="A36" s="4">
        <v>50</v>
      </c>
      <c r="B36" s="4">
        <v>0</v>
      </c>
      <c r="C36" s="4">
        <v>0</v>
      </c>
      <c r="D36" s="4">
        <v>1</v>
      </c>
      <c r="E36" s="4">
        <v>215</v>
      </c>
      <c r="F36" s="4">
        <v>0</v>
      </c>
      <c r="G36" s="4" t="s">
        <v>96</v>
      </c>
      <c r="H36" s="4" t="s">
        <v>97</v>
      </c>
      <c r="I36" s="4"/>
      <c r="J36" s="4"/>
      <c r="K36" s="4">
        <v>215</v>
      </c>
      <c r="L36" s="4">
        <v>17</v>
      </c>
      <c r="M36" s="4">
        <v>3</v>
      </c>
      <c r="N36" s="4" t="s">
        <v>3</v>
      </c>
      <c r="O36" s="4">
        <v>2</v>
      </c>
      <c r="P36" s="4"/>
    </row>
    <row r="37" spans="1:16" x14ac:dyDescent="0.2">
      <c r="A37" s="4">
        <v>50</v>
      </c>
      <c r="B37" s="4">
        <v>0</v>
      </c>
      <c r="C37" s="4">
        <v>0</v>
      </c>
      <c r="D37" s="4">
        <v>1</v>
      </c>
      <c r="E37" s="4">
        <v>217</v>
      </c>
      <c r="F37" s="4">
        <v>2116768.7999999998</v>
      </c>
      <c r="G37" s="4" t="s">
        <v>98</v>
      </c>
      <c r="H37" s="4" t="s">
        <v>99</v>
      </c>
      <c r="I37" s="4"/>
      <c r="J37" s="4"/>
      <c r="K37" s="4">
        <v>217</v>
      </c>
      <c r="L37" s="4">
        <v>18</v>
      </c>
      <c r="M37" s="4">
        <v>3</v>
      </c>
      <c r="N37" s="4" t="s">
        <v>3</v>
      </c>
      <c r="O37" s="4">
        <v>2</v>
      </c>
      <c r="P37" s="4"/>
    </row>
    <row r="38" spans="1:16" x14ac:dyDescent="0.2">
      <c r="A38" s="4">
        <v>50</v>
      </c>
      <c r="B38" s="4">
        <v>0</v>
      </c>
      <c r="C38" s="4">
        <v>0</v>
      </c>
      <c r="D38" s="4">
        <v>1</v>
      </c>
      <c r="E38" s="4">
        <v>230</v>
      </c>
      <c r="F38" s="4">
        <v>0</v>
      </c>
      <c r="G38" s="4" t="s">
        <v>100</v>
      </c>
      <c r="H38" s="4" t="s">
        <v>101</v>
      </c>
      <c r="I38" s="4"/>
      <c r="J38" s="4"/>
      <c r="K38" s="4">
        <v>230</v>
      </c>
      <c r="L38" s="4">
        <v>19</v>
      </c>
      <c r="M38" s="4">
        <v>3</v>
      </c>
      <c r="N38" s="4" t="s">
        <v>3</v>
      </c>
      <c r="O38" s="4">
        <v>2</v>
      </c>
      <c r="P38" s="4"/>
    </row>
    <row r="39" spans="1:16" x14ac:dyDescent="0.2">
      <c r="A39" s="4">
        <v>50</v>
      </c>
      <c r="B39" s="4">
        <v>0</v>
      </c>
      <c r="C39" s="4">
        <v>0</v>
      </c>
      <c r="D39" s="4">
        <v>1</v>
      </c>
      <c r="E39" s="4">
        <v>206</v>
      </c>
      <c r="F39" s="4">
        <v>0</v>
      </c>
      <c r="G39" s="4" t="s">
        <v>102</v>
      </c>
      <c r="H39" s="4" t="s">
        <v>103</v>
      </c>
      <c r="I39" s="4"/>
      <c r="J39" s="4"/>
      <c r="K39" s="4">
        <v>206</v>
      </c>
      <c r="L39" s="4">
        <v>20</v>
      </c>
      <c r="M39" s="4">
        <v>3</v>
      </c>
      <c r="N39" s="4" t="s">
        <v>3</v>
      </c>
      <c r="O39" s="4">
        <v>2</v>
      </c>
      <c r="P39" s="4"/>
    </row>
    <row r="40" spans="1:16" x14ac:dyDescent="0.2">
      <c r="A40" s="4">
        <v>50</v>
      </c>
      <c r="B40" s="4">
        <v>0</v>
      </c>
      <c r="C40" s="4">
        <v>0</v>
      </c>
      <c r="D40" s="4">
        <v>1</v>
      </c>
      <c r="E40" s="4">
        <v>207</v>
      </c>
      <c r="F40" s="4">
        <v>1979.8973254000005</v>
      </c>
      <c r="G40" s="4" t="s">
        <v>104</v>
      </c>
      <c r="H40" s="4" t="s">
        <v>105</v>
      </c>
      <c r="I40" s="4"/>
      <c r="J40" s="4"/>
      <c r="K40" s="4">
        <v>207</v>
      </c>
      <c r="L40" s="4">
        <v>21</v>
      </c>
      <c r="M40" s="4">
        <v>3</v>
      </c>
      <c r="N40" s="4" t="s">
        <v>3</v>
      </c>
      <c r="O40" s="4">
        <v>-1</v>
      </c>
      <c r="P40" s="4"/>
    </row>
    <row r="41" spans="1:16" x14ac:dyDescent="0.2">
      <c r="A41" s="4">
        <v>50</v>
      </c>
      <c r="B41" s="4">
        <v>0</v>
      </c>
      <c r="C41" s="4">
        <v>0</v>
      </c>
      <c r="D41" s="4">
        <v>1</v>
      </c>
      <c r="E41" s="4">
        <v>208</v>
      </c>
      <c r="F41" s="4">
        <v>0</v>
      </c>
      <c r="G41" s="4" t="s">
        <v>106</v>
      </c>
      <c r="H41" s="4" t="s">
        <v>107</v>
      </c>
      <c r="I41" s="4"/>
      <c r="J41" s="4"/>
      <c r="K41" s="4">
        <v>208</v>
      </c>
      <c r="L41" s="4">
        <v>22</v>
      </c>
      <c r="M41" s="4">
        <v>3</v>
      </c>
      <c r="N41" s="4" t="s">
        <v>3</v>
      </c>
      <c r="O41" s="4">
        <v>-1</v>
      </c>
      <c r="P41" s="4"/>
    </row>
    <row r="42" spans="1:16" x14ac:dyDescent="0.2">
      <c r="A42" s="4">
        <v>50</v>
      </c>
      <c r="B42" s="4">
        <v>0</v>
      </c>
      <c r="C42" s="4">
        <v>0</v>
      </c>
      <c r="D42" s="4">
        <v>1</v>
      </c>
      <c r="E42" s="4">
        <v>209</v>
      </c>
      <c r="F42" s="4">
        <v>0</v>
      </c>
      <c r="G42" s="4" t="s">
        <v>108</v>
      </c>
      <c r="H42" s="4" t="s">
        <v>109</v>
      </c>
      <c r="I42" s="4"/>
      <c r="J42" s="4"/>
      <c r="K42" s="4">
        <v>209</v>
      </c>
      <c r="L42" s="4">
        <v>23</v>
      </c>
      <c r="M42" s="4">
        <v>3</v>
      </c>
      <c r="N42" s="4" t="s">
        <v>3</v>
      </c>
      <c r="O42" s="4">
        <v>2</v>
      </c>
      <c r="P42" s="4"/>
    </row>
    <row r="43" spans="1:16" x14ac:dyDescent="0.2">
      <c r="A43" s="4">
        <v>50</v>
      </c>
      <c r="B43" s="4">
        <v>0</v>
      </c>
      <c r="C43" s="4">
        <v>0</v>
      </c>
      <c r="D43" s="4">
        <v>1</v>
      </c>
      <c r="E43" s="4">
        <v>233</v>
      </c>
      <c r="F43" s="4">
        <v>0</v>
      </c>
      <c r="G43" s="4" t="s">
        <v>110</v>
      </c>
      <c r="H43" s="4" t="s">
        <v>111</v>
      </c>
      <c r="I43" s="4"/>
      <c r="J43" s="4"/>
      <c r="K43" s="4">
        <v>233</v>
      </c>
      <c r="L43" s="4">
        <v>24</v>
      </c>
      <c r="M43" s="4">
        <v>3</v>
      </c>
      <c r="N43" s="4" t="s">
        <v>3</v>
      </c>
      <c r="O43" s="4">
        <v>2</v>
      </c>
      <c r="P43" s="4"/>
    </row>
    <row r="44" spans="1:16" x14ac:dyDescent="0.2">
      <c r="A44" s="4">
        <v>50</v>
      </c>
      <c r="B44" s="4">
        <v>0</v>
      </c>
      <c r="C44" s="4">
        <v>0</v>
      </c>
      <c r="D44" s="4">
        <v>1</v>
      </c>
      <c r="E44" s="4">
        <v>210</v>
      </c>
      <c r="F44" s="4">
        <v>413901.44</v>
      </c>
      <c r="G44" s="4" t="s">
        <v>112</v>
      </c>
      <c r="H44" s="4" t="s">
        <v>113</v>
      </c>
      <c r="I44" s="4"/>
      <c r="J44" s="4"/>
      <c r="K44" s="4">
        <v>210</v>
      </c>
      <c r="L44" s="4">
        <v>25</v>
      </c>
      <c r="M44" s="4">
        <v>3</v>
      </c>
      <c r="N44" s="4" t="s">
        <v>3</v>
      </c>
      <c r="O44" s="4">
        <v>2</v>
      </c>
      <c r="P44" s="4"/>
    </row>
    <row r="45" spans="1:16" x14ac:dyDescent="0.2">
      <c r="A45" s="4">
        <v>50</v>
      </c>
      <c r="B45" s="4">
        <v>0</v>
      </c>
      <c r="C45" s="4">
        <v>0</v>
      </c>
      <c r="D45" s="4">
        <v>1</v>
      </c>
      <c r="E45" s="4">
        <v>211</v>
      </c>
      <c r="F45" s="4">
        <v>59128.79</v>
      </c>
      <c r="G45" s="4" t="s">
        <v>114</v>
      </c>
      <c r="H45" s="4" t="s">
        <v>115</v>
      </c>
      <c r="I45" s="4"/>
      <c r="J45" s="4"/>
      <c r="K45" s="4">
        <v>211</v>
      </c>
      <c r="L45" s="4">
        <v>26</v>
      </c>
      <c r="M45" s="4">
        <v>3</v>
      </c>
      <c r="N45" s="4" t="s">
        <v>3</v>
      </c>
      <c r="O45" s="4">
        <v>2</v>
      </c>
      <c r="P45" s="4"/>
    </row>
    <row r="46" spans="1:16" x14ac:dyDescent="0.2">
      <c r="A46" s="4">
        <v>50</v>
      </c>
      <c r="B46" s="4">
        <v>0</v>
      </c>
      <c r="C46" s="4">
        <v>0</v>
      </c>
      <c r="D46" s="4">
        <v>1</v>
      </c>
      <c r="E46" s="4">
        <v>224</v>
      </c>
      <c r="F46" s="4">
        <v>2116768.7999999998</v>
      </c>
      <c r="G46" s="4" t="s">
        <v>116</v>
      </c>
      <c r="H46" s="4" t="s">
        <v>117</v>
      </c>
      <c r="I46" s="4"/>
      <c r="J46" s="4"/>
      <c r="K46" s="4">
        <v>224</v>
      </c>
      <c r="L46" s="4">
        <v>27</v>
      </c>
      <c r="M46" s="4">
        <v>3</v>
      </c>
      <c r="N46" s="4" t="s">
        <v>3</v>
      </c>
      <c r="O46" s="4">
        <v>2</v>
      </c>
      <c r="P46" s="4"/>
    </row>
    <row r="47" spans="1:16" x14ac:dyDescent="0.2">
      <c r="A47" s="4">
        <v>50</v>
      </c>
      <c r="B47" s="4">
        <v>1</v>
      </c>
      <c r="C47" s="4">
        <v>0</v>
      </c>
      <c r="D47" s="4">
        <v>2</v>
      </c>
      <c r="E47" s="4">
        <v>0</v>
      </c>
      <c r="F47" s="4">
        <v>3285.35</v>
      </c>
      <c r="G47" s="4" t="s">
        <v>17</v>
      </c>
      <c r="H47" s="4" t="s">
        <v>346</v>
      </c>
      <c r="I47" s="4"/>
      <c r="J47" s="4"/>
      <c r="K47" s="4">
        <v>212</v>
      </c>
      <c r="L47" s="4">
        <v>28</v>
      </c>
      <c r="M47" s="4">
        <v>0</v>
      </c>
      <c r="N47" s="4" t="s">
        <v>3</v>
      </c>
      <c r="O47" s="4">
        <v>2</v>
      </c>
      <c r="P47" s="4"/>
    </row>
    <row r="48" spans="1:16" x14ac:dyDescent="0.2">
      <c r="A48" s="4">
        <v>50</v>
      </c>
      <c r="B48" s="4">
        <v>1</v>
      </c>
      <c r="C48" s="4">
        <v>0</v>
      </c>
      <c r="D48" s="4">
        <v>2</v>
      </c>
      <c r="E48" s="4">
        <v>0</v>
      </c>
      <c r="F48" s="4">
        <v>21324.799999999999</v>
      </c>
      <c r="G48" s="4" t="s">
        <v>25</v>
      </c>
      <c r="H48" s="4" t="s">
        <v>347</v>
      </c>
      <c r="I48" s="4"/>
      <c r="J48" s="4"/>
      <c r="K48" s="4">
        <v>212</v>
      </c>
      <c r="L48" s="4">
        <v>29</v>
      </c>
      <c r="M48" s="4">
        <v>0</v>
      </c>
      <c r="N48" s="4" t="s">
        <v>3</v>
      </c>
      <c r="O48" s="4">
        <v>2</v>
      </c>
      <c r="P48" s="4"/>
    </row>
    <row r="49" spans="1:16" x14ac:dyDescent="0.2">
      <c r="A49" s="4">
        <v>50</v>
      </c>
      <c r="B49" s="4">
        <v>1</v>
      </c>
      <c r="C49" s="4">
        <v>0</v>
      </c>
      <c r="D49" s="4">
        <v>2</v>
      </c>
      <c r="E49" s="4">
        <v>0</v>
      </c>
      <c r="F49" s="4">
        <v>2092158.65</v>
      </c>
      <c r="G49" s="4" t="s">
        <v>30</v>
      </c>
      <c r="H49" s="4" t="s">
        <v>348</v>
      </c>
      <c r="I49" s="4"/>
      <c r="J49" s="4"/>
      <c r="K49" s="4">
        <v>212</v>
      </c>
      <c r="L49" s="4">
        <v>30</v>
      </c>
      <c r="M49" s="4">
        <v>0</v>
      </c>
      <c r="N49" s="4" t="s">
        <v>3</v>
      </c>
      <c r="O49" s="4">
        <v>2</v>
      </c>
      <c r="P49" s="4"/>
    </row>
    <row r="50" spans="1:16" x14ac:dyDescent="0.2">
      <c r="A50" s="4">
        <v>50</v>
      </c>
      <c r="B50" s="4">
        <v>1</v>
      </c>
      <c r="C50" s="4">
        <v>0</v>
      </c>
      <c r="D50" s="4">
        <v>2</v>
      </c>
      <c r="E50" s="4">
        <v>0</v>
      </c>
      <c r="F50" s="4">
        <v>418431.73</v>
      </c>
      <c r="G50" s="4" t="s">
        <v>35</v>
      </c>
      <c r="H50" s="4" t="s">
        <v>349</v>
      </c>
      <c r="I50" s="4"/>
      <c r="J50" s="4"/>
      <c r="K50" s="4">
        <v>212</v>
      </c>
      <c r="L50" s="4">
        <v>31</v>
      </c>
      <c r="M50" s="4">
        <v>0</v>
      </c>
      <c r="N50" s="4" t="s">
        <v>3</v>
      </c>
      <c r="O50" s="4">
        <v>2</v>
      </c>
      <c r="P50" s="4"/>
    </row>
    <row r="51" spans="1:16" x14ac:dyDescent="0.2">
      <c r="A51" s="4">
        <v>50</v>
      </c>
      <c r="B51" s="4">
        <v>1</v>
      </c>
      <c r="C51" s="4">
        <v>0</v>
      </c>
      <c r="D51" s="4">
        <v>2</v>
      </c>
      <c r="E51" s="4">
        <v>0</v>
      </c>
      <c r="F51" s="4">
        <v>2510590.38</v>
      </c>
      <c r="G51" s="4" t="s">
        <v>39</v>
      </c>
      <c r="H51" s="4" t="s">
        <v>116</v>
      </c>
      <c r="I51" s="4"/>
      <c r="J51" s="4"/>
      <c r="K51" s="4">
        <v>212</v>
      </c>
      <c r="L51" s="4">
        <v>32</v>
      </c>
      <c r="M51" s="4">
        <v>0</v>
      </c>
      <c r="N51" s="4" t="s">
        <v>3</v>
      </c>
      <c r="O51" s="4">
        <v>2</v>
      </c>
      <c r="P51" s="4"/>
    </row>
    <row r="53" spans="1:16" x14ac:dyDescent="0.2">
      <c r="A53">
        <v>-1</v>
      </c>
    </row>
    <row r="56" spans="1:16" x14ac:dyDescent="0.2">
      <c r="A56" s="3">
        <v>75</v>
      </c>
      <c r="B56" s="3" t="s">
        <v>373</v>
      </c>
      <c r="C56" s="3">
        <v>2024</v>
      </c>
      <c r="D56" s="3">
        <v>0</v>
      </c>
      <c r="E56" s="3">
        <v>1</v>
      </c>
      <c r="F56" s="3">
        <v>0</v>
      </c>
      <c r="G56" s="3">
        <v>0</v>
      </c>
      <c r="H56" s="3">
        <v>1</v>
      </c>
      <c r="I56" s="3">
        <v>0</v>
      </c>
      <c r="J56" s="3">
        <v>3</v>
      </c>
      <c r="K56" s="3">
        <v>78</v>
      </c>
      <c r="L56" s="3">
        <v>30</v>
      </c>
      <c r="M56" s="3">
        <v>0</v>
      </c>
      <c r="N56" s="3">
        <v>72192302</v>
      </c>
      <c r="O56" s="3">
        <v>1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2.75" x14ac:dyDescent="0.2"/>
  <cols>
    <col min="1" max="256" width="9.14062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ROW(Source!A32)</f>
        <v>32</v>
      </c>
      <c r="B1">
        <v>72192303</v>
      </c>
      <c r="C1">
        <v>71587957</v>
      </c>
      <c r="D1">
        <v>71757693</v>
      </c>
      <c r="E1">
        <v>35</v>
      </c>
      <c r="F1">
        <v>1</v>
      </c>
      <c r="G1">
        <v>35</v>
      </c>
      <c r="H1">
        <v>1</v>
      </c>
      <c r="I1" t="s">
        <v>375</v>
      </c>
      <c r="J1" t="s">
        <v>3</v>
      </c>
      <c r="K1" t="s">
        <v>376</v>
      </c>
      <c r="L1">
        <v>1191</v>
      </c>
      <c r="N1">
        <v>1013</v>
      </c>
      <c r="O1" t="s">
        <v>377</v>
      </c>
      <c r="P1" t="s">
        <v>377</v>
      </c>
      <c r="Q1">
        <v>1</v>
      </c>
      <c r="X1">
        <v>2.78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3</v>
      </c>
      <c r="AG1">
        <v>2.78</v>
      </c>
      <c r="AH1">
        <v>3</v>
      </c>
      <c r="AI1">
        <v>-1</v>
      </c>
      <c r="AJ1" t="s">
        <v>3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ROW(Source!A32)</f>
        <v>32</v>
      </c>
      <c r="B2">
        <v>72192304</v>
      </c>
      <c r="C2">
        <v>71587957</v>
      </c>
      <c r="D2">
        <v>71771187</v>
      </c>
      <c r="E2">
        <v>1</v>
      </c>
      <c r="F2">
        <v>1</v>
      </c>
      <c r="G2">
        <v>35</v>
      </c>
      <c r="H2">
        <v>2</v>
      </c>
      <c r="I2" t="s">
        <v>378</v>
      </c>
      <c r="J2" t="s">
        <v>379</v>
      </c>
      <c r="K2" t="s">
        <v>380</v>
      </c>
      <c r="L2">
        <v>1368</v>
      </c>
      <c r="N2">
        <v>1011</v>
      </c>
      <c r="O2" t="s">
        <v>381</v>
      </c>
      <c r="P2" t="s">
        <v>381</v>
      </c>
      <c r="Q2">
        <v>1</v>
      </c>
      <c r="X2">
        <v>0.34</v>
      </c>
      <c r="Y2">
        <v>0</v>
      </c>
      <c r="Z2">
        <v>5.27</v>
      </c>
      <c r="AA2">
        <v>0.01</v>
      </c>
      <c r="AB2">
        <v>0</v>
      </c>
      <c r="AC2">
        <v>0</v>
      </c>
      <c r="AD2">
        <v>1</v>
      </c>
      <c r="AE2">
        <v>0</v>
      </c>
      <c r="AF2" t="s">
        <v>3</v>
      </c>
      <c r="AG2">
        <v>0.34</v>
      </c>
      <c r="AH2">
        <v>3</v>
      </c>
      <c r="AI2">
        <v>-1</v>
      </c>
      <c r="AJ2" t="s">
        <v>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ROW(Source!A33)</f>
        <v>33</v>
      </c>
      <c r="B3">
        <v>72192305</v>
      </c>
      <c r="C3">
        <v>71587960</v>
      </c>
      <c r="D3">
        <v>71757693</v>
      </c>
      <c r="E3">
        <v>35</v>
      </c>
      <c r="F3">
        <v>1</v>
      </c>
      <c r="G3">
        <v>35</v>
      </c>
      <c r="H3">
        <v>1</v>
      </c>
      <c r="I3" t="s">
        <v>375</v>
      </c>
      <c r="J3" t="s">
        <v>3</v>
      </c>
      <c r="K3" t="s">
        <v>376</v>
      </c>
      <c r="L3">
        <v>1191</v>
      </c>
      <c r="N3">
        <v>1013</v>
      </c>
      <c r="O3" t="s">
        <v>377</v>
      </c>
      <c r="P3" t="s">
        <v>377</v>
      </c>
      <c r="Q3">
        <v>1</v>
      </c>
      <c r="X3">
        <v>0.6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3</v>
      </c>
      <c r="AG3">
        <v>0.6</v>
      </c>
      <c r="AH3">
        <v>3</v>
      </c>
      <c r="AI3">
        <v>-1</v>
      </c>
      <c r="AJ3" t="s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ROW(Source!A34)</f>
        <v>34</v>
      </c>
      <c r="B4">
        <v>72192306</v>
      </c>
      <c r="C4">
        <v>71587962</v>
      </c>
      <c r="D4">
        <v>71757693</v>
      </c>
      <c r="E4">
        <v>35</v>
      </c>
      <c r="F4">
        <v>1</v>
      </c>
      <c r="G4">
        <v>35</v>
      </c>
      <c r="H4">
        <v>1</v>
      </c>
      <c r="I4" t="s">
        <v>375</v>
      </c>
      <c r="J4" t="s">
        <v>3</v>
      </c>
      <c r="K4" t="s">
        <v>376</v>
      </c>
      <c r="L4">
        <v>1191</v>
      </c>
      <c r="N4">
        <v>1013</v>
      </c>
      <c r="O4" t="s">
        <v>377</v>
      </c>
      <c r="P4" t="s">
        <v>377</v>
      </c>
      <c r="Q4">
        <v>1</v>
      </c>
      <c r="X4">
        <v>120.59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 t="s">
        <v>3</v>
      </c>
      <c r="AG4">
        <v>120.59</v>
      </c>
      <c r="AH4">
        <v>3</v>
      </c>
      <c r="AI4">
        <v>-1</v>
      </c>
      <c r="AJ4" t="s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ROW(Source!A34)</f>
        <v>34</v>
      </c>
      <c r="B5">
        <v>72192307</v>
      </c>
      <c r="C5">
        <v>71587962</v>
      </c>
      <c r="D5">
        <v>71770214</v>
      </c>
      <c r="E5">
        <v>35</v>
      </c>
      <c r="F5">
        <v>1</v>
      </c>
      <c r="G5">
        <v>35</v>
      </c>
      <c r="H5">
        <v>3</v>
      </c>
      <c r="I5" t="s">
        <v>36</v>
      </c>
      <c r="J5" t="s">
        <v>3</v>
      </c>
      <c r="K5" t="s">
        <v>37</v>
      </c>
      <c r="L5">
        <v>1348</v>
      </c>
      <c r="N5">
        <v>1009</v>
      </c>
      <c r="O5" t="s">
        <v>38</v>
      </c>
      <c r="P5" t="s">
        <v>38</v>
      </c>
      <c r="Q5">
        <v>1000</v>
      </c>
      <c r="X5">
        <v>8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3</v>
      </c>
      <c r="AG5">
        <v>8</v>
      </c>
      <c r="AH5">
        <v>3</v>
      </c>
      <c r="AI5">
        <v>-1</v>
      </c>
      <c r="AJ5" t="s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ROW(Source!A36)</f>
        <v>36</v>
      </c>
      <c r="B6">
        <v>72192308</v>
      </c>
      <c r="C6">
        <v>71588029</v>
      </c>
      <c r="D6">
        <v>71757693</v>
      </c>
      <c r="E6">
        <v>35</v>
      </c>
      <c r="F6">
        <v>1</v>
      </c>
      <c r="G6">
        <v>35</v>
      </c>
      <c r="H6">
        <v>1</v>
      </c>
      <c r="I6" t="s">
        <v>375</v>
      </c>
      <c r="J6" t="s">
        <v>3</v>
      </c>
      <c r="K6" t="s">
        <v>376</v>
      </c>
      <c r="L6">
        <v>1191</v>
      </c>
      <c r="N6">
        <v>1013</v>
      </c>
      <c r="O6" t="s">
        <v>377</v>
      </c>
      <c r="P6" t="s">
        <v>377</v>
      </c>
      <c r="Q6">
        <v>1</v>
      </c>
      <c r="X6">
        <v>12.77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3</v>
      </c>
      <c r="AG6">
        <v>12.77</v>
      </c>
      <c r="AH6">
        <v>3</v>
      </c>
      <c r="AI6">
        <v>-1</v>
      </c>
      <c r="AJ6" t="s">
        <v>3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ROW(Source!A36)</f>
        <v>36</v>
      </c>
      <c r="B7">
        <v>72192309</v>
      </c>
      <c r="C7">
        <v>71588029</v>
      </c>
      <c r="D7">
        <v>71772016</v>
      </c>
      <c r="E7">
        <v>1</v>
      </c>
      <c r="F7">
        <v>1</v>
      </c>
      <c r="G7">
        <v>35</v>
      </c>
      <c r="H7">
        <v>3</v>
      </c>
      <c r="I7" t="s">
        <v>382</v>
      </c>
      <c r="J7" t="s">
        <v>383</v>
      </c>
      <c r="K7" t="s">
        <v>384</v>
      </c>
      <c r="L7">
        <v>1348</v>
      </c>
      <c r="N7">
        <v>1009</v>
      </c>
      <c r="O7" t="s">
        <v>38</v>
      </c>
      <c r="P7" t="s">
        <v>38</v>
      </c>
      <c r="Q7">
        <v>1000</v>
      </c>
      <c r="X7">
        <v>8.9999999999999993E-3</v>
      </c>
      <c r="Y7">
        <v>96442.75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3</v>
      </c>
      <c r="AG7">
        <v>8.9999999999999993E-3</v>
      </c>
      <c r="AH7">
        <v>3</v>
      </c>
      <c r="AI7">
        <v>-1</v>
      </c>
      <c r="AJ7" t="s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ROW(Source!A36)</f>
        <v>36</v>
      </c>
      <c r="B8">
        <v>72192310</v>
      </c>
      <c r="C8">
        <v>71588029</v>
      </c>
      <c r="D8">
        <v>71773722</v>
      </c>
      <c r="E8">
        <v>1</v>
      </c>
      <c r="F8">
        <v>1</v>
      </c>
      <c r="G8">
        <v>35</v>
      </c>
      <c r="H8">
        <v>3</v>
      </c>
      <c r="I8" t="s">
        <v>385</v>
      </c>
      <c r="J8" t="s">
        <v>386</v>
      </c>
      <c r="K8" t="s">
        <v>387</v>
      </c>
      <c r="L8">
        <v>1327</v>
      </c>
      <c r="N8">
        <v>1005</v>
      </c>
      <c r="O8" t="s">
        <v>28</v>
      </c>
      <c r="P8" t="s">
        <v>28</v>
      </c>
      <c r="Q8">
        <v>1</v>
      </c>
      <c r="X8">
        <v>33.99</v>
      </c>
      <c r="Y8">
        <v>15.35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3</v>
      </c>
      <c r="AG8">
        <v>33.99</v>
      </c>
      <c r="AH8">
        <v>3</v>
      </c>
      <c r="AI8">
        <v>-1</v>
      </c>
      <c r="AJ8" t="s">
        <v>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ROW(Source!A37)</f>
        <v>37</v>
      </c>
      <c r="B9">
        <v>72192311</v>
      </c>
      <c r="C9">
        <v>71588037</v>
      </c>
      <c r="D9">
        <v>71757693</v>
      </c>
      <c r="E9">
        <v>35</v>
      </c>
      <c r="F9">
        <v>1</v>
      </c>
      <c r="G9">
        <v>35</v>
      </c>
      <c r="H9">
        <v>1</v>
      </c>
      <c r="I9" t="s">
        <v>375</v>
      </c>
      <c r="J9" t="s">
        <v>3</v>
      </c>
      <c r="K9" t="s">
        <v>376</v>
      </c>
      <c r="L9">
        <v>1191</v>
      </c>
      <c r="N9">
        <v>1013</v>
      </c>
      <c r="O9" t="s">
        <v>377</v>
      </c>
      <c r="P9" t="s">
        <v>377</v>
      </c>
      <c r="Q9">
        <v>1</v>
      </c>
      <c r="X9">
        <v>49.34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3</v>
      </c>
      <c r="AG9">
        <v>49.34</v>
      </c>
      <c r="AH9">
        <v>3</v>
      </c>
      <c r="AI9">
        <v>-1</v>
      </c>
      <c r="AJ9" t="s">
        <v>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ROW(Source!A37)</f>
        <v>37</v>
      </c>
      <c r="B10">
        <v>72192312</v>
      </c>
      <c r="C10">
        <v>71588037</v>
      </c>
      <c r="D10">
        <v>71770715</v>
      </c>
      <c r="E10">
        <v>1</v>
      </c>
      <c r="F10">
        <v>1</v>
      </c>
      <c r="G10">
        <v>35</v>
      </c>
      <c r="H10">
        <v>2</v>
      </c>
      <c r="I10" t="s">
        <v>388</v>
      </c>
      <c r="J10" t="s">
        <v>389</v>
      </c>
      <c r="K10" t="s">
        <v>390</v>
      </c>
      <c r="L10">
        <v>1368</v>
      </c>
      <c r="N10">
        <v>1011</v>
      </c>
      <c r="O10" t="s">
        <v>381</v>
      </c>
      <c r="P10" t="s">
        <v>381</v>
      </c>
      <c r="Q10">
        <v>1</v>
      </c>
      <c r="X10">
        <v>4.7</v>
      </c>
      <c r="Y10">
        <v>0</v>
      </c>
      <c r="Z10">
        <v>6.33</v>
      </c>
      <c r="AA10">
        <v>0.18</v>
      </c>
      <c r="AB10">
        <v>0</v>
      </c>
      <c r="AC10">
        <v>0</v>
      </c>
      <c r="AD10">
        <v>1</v>
      </c>
      <c r="AE10">
        <v>0</v>
      </c>
      <c r="AF10" t="s">
        <v>3</v>
      </c>
      <c r="AG10">
        <v>4.7</v>
      </c>
      <c r="AH10">
        <v>3</v>
      </c>
      <c r="AI10">
        <v>-1</v>
      </c>
      <c r="AJ10" t="s">
        <v>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ROW(Source!A37)</f>
        <v>37</v>
      </c>
      <c r="B11">
        <v>72192313</v>
      </c>
      <c r="C11">
        <v>71588037</v>
      </c>
      <c r="D11">
        <v>71771510</v>
      </c>
      <c r="E11">
        <v>1</v>
      </c>
      <c r="F11">
        <v>1</v>
      </c>
      <c r="G11">
        <v>35</v>
      </c>
      <c r="H11">
        <v>3</v>
      </c>
      <c r="I11" t="s">
        <v>391</v>
      </c>
      <c r="J11" t="s">
        <v>392</v>
      </c>
      <c r="K11" t="s">
        <v>393</v>
      </c>
      <c r="L11">
        <v>1339</v>
      </c>
      <c r="N11">
        <v>1007</v>
      </c>
      <c r="O11" t="s">
        <v>394</v>
      </c>
      <c r="P11" t="s">
        <v>394</v>
      </c>
      <c r="Q11">
        <v>1</v>
      </c>
      <c r="X11">
        <v>2.82</v>
      </c>
      <c r="Y11">
        <v>79.62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3</v>
      </c>
      <c r="AG11">
        <v>2.82</v>
      </c>
      <c r="AH11">
        <v>3</v>
      </c>
      <c r="AI11">
        <v>-1</v>
      </c>
      <c r="AJ11" t="s">
        <v>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ROW(Source!A37)</f>
        <v>37</v>
      </c>
      <c r="B12">
        <v>72192314</v>
      </c>
      <c r="C12">
        <v>71588037</v>
      </c>
      <c r="D12">
        <v>71771502</v>
      </c>
      <c r="E12">
        <v>1</v>
      </c>
      <c r="F12">
        <v>1</v>
      </c>
      <c r="G12">
        <v>35</v>
      </c>
      <c r="H12">
        <v>3</v>
      </c>
      <c r="I12" t="s">
        <v>395</v>
      </c>
      <c r="J12" t="s">
        <v>396</v>
      </c>
      <c r="K12" t="s">
        <v>397</v>
      </c>
      <c r="L12">
        <v>1339</v>
      </c>
      <c r="N12">
        <v>1007</v>
      </c>
      <c r="O12" t="s">
        <v>394</v>
      </c>
      <c r="P12" t="s">
        <v>394</v>
      </c>
      <c r="Q12">
        <v>1</v>
      </c>
      <c r="X12">
        <v>0.44</v>
      </c>
      <c r="Y12">
        <v>715.78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3</v>
      </c>
      <c r="AG12">
        <v>0.44</v>
      </c>
      <c r="AH12">
        <v>3</v>
      </c>
      <c r="AI12">
        <v>-1</v>
      </c>
      <c r="AJ12" t="s">
        <v>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ROW(Source!A37)</f>
        <v>37</v>
      </c>
      <c r="B13">
        <v>72192315</v>
      </c>
      <c r="C13">
        <v>71588037</v>
      </c>
      <c r="D13">
        <v>71770214</v>
      </c>
      <c r="E13">
        <v>35</v>
      </c>
      <c r="F13">
        <v>1</v>
      </c>
      <c r="G13">
        <v>35</v>
      </c>
      <c r="H13">
        <v>3</v>
      </c>
      <c r="I13" t="s">
        <v>36</v>
      </c>
      <c r="J13" t="s">
        <v>3</v>
      </c>
      <c r="K13" t="s">
        <v>37</v>
      </c>
      <c r="L13">
        <v>1348</v>
      </c>
      <c r="N13">
        <v>1009</v>
      </c>
      <c r="O13" t="s">
        <v>38</v>
      </c>
      <c r="P13" t="s">
        <v>38</v>
      </c>
      <c r="Q13">
        <v>1000</v>
      </c>
      <c r="X13">
        <v>0.45400000000000001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3</v>
      </c>
      <c r="AG13">
        <v>0.45400000000000001</v>
      </c>
      <c r="AH13">
        <v>3</v>
      </c>
      <c r="AI13">
        <v>-1</v>
      </c>
      <c r="AJ13" t="s">
        <v>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ROW(Source!A39)</f>
        <v>39</v>
      </c>
      <c r="B14">
        <v>72192316</v>
      </c>
      <c r="C14">
        <v>71588045</v>
      </c>
      <c r="D14">
        <v>71757693</v>
      </c>
      <c r="E14">
        <v>35</v>
      </c>
      <c r="F14">
        <v>1</v>
      </c>
      <c r="G14">
        <v>35</v>
      </c>
      <c r="H14">
        <v>1</v>
      </c>
      <c r="I14" t="s">
        <v>375</v>
      </c>
      <c r="J14" t="s">
        <v>3</v>
      </c>
      <c r="K14" t="s">
        <v>376</v>
      </c>
      <c r="L14">
        <v>1191</v>
      </c>
      <c r="N14">
        <v>1013</v>
      </c>
      <c r="O14" t="s">
        <v>377</v>
      </c>
      <c r="P14" t="s">
        <v>377</v>
      </c>
      <c r="Q14">
        <v>1</v>
      </c>
      <c r="X14">
        <v>0.19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 t="s">
        <v>3</v>
      </c>
      <c r="AG14">
        <v>0.19</v>
      </c>
      <c r="AH14">
        <v>3</v>
      </c>
      <c r="AI14">
        <v>-1</v>
      </c>
      <c r="AJ14" t="s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ROW(Source!A40)</f>
        <v>40</v>
      </c>
      <c r="B15">
        <v>72192317</v>
      </c>
      <c r="C15">
        <v>71588047</v>
      </c>
      <c r="D15">
        <v>71757693</v>
      </c>
      <c r="E15">
        <v>35</v>
      </c>
      <c r="F15">
        <v>1</v>
      </c>
      <c r="G15">
        <v>35</v>
      </c>
      <c r="H15">
        <v>1</v>
      </c>
      <c r="I15" t="s">
        <v>375</v>
      </c>
      <c r="J15" t="s">
        <v>3</v>
      </c>
      <c r="K15" t="s">
        <v>376</v>
      </c>
      <c r="L15">
        <v>1191</v>
      </c>
      <c r="N15">
        <v>1013</v>
      </c>
      <c r="O15" t="s">
        <v>377</v>
      </c>
      <c r="P15" t="s">
        <v>377</v>
      </c>
      <c r="Q15">
        <v>1</v>
      </c>
      <c r="X15">
        <v>133.4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 t="s">
        <v>58</v>
      </c>
      <c r="AG15">
        <v>26.68</v>
      </c>
      <c r="AH15">
        <v>3</v>
      </c>
      <c r="AI15">
        <v>-1</v>
      </c>
      <c r="AJ15" t="s">
        <v>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ROW(Source!A40)</f>
        <v>40</v>
      </c>
      <c r="B16">
        <v>72192318</v>
      </c>
      <c r="C16">
        <v>71588047</v>
      </c>
      <c r="D16">
        <v>71770384</v>
      </c>
      <c r="E16">
        <v>1</v>
      </c>
      <c r="F16">
        <v>1</v>
      </c>
      <c r="G16">
        <v>35</v>
      </c>
      <c r="H16">
        <v>2</v>
      </c>
      <c r="I16" t="s">
        <v>398</v>
      </c>
      <c r="J16" t="s">
        <v>399</v>
      </c>
      <c r="K16" t="s">
        <v>400</v>
      </c>
      <c r="L16">
        <v>1368</v>
      </c>
      <c r="N16">
        <v>1011</v>
      </c>
      <c r="O16" t="s">
        <v>381</v>
      </c>
      <c r="P16" t="s">
        <v>381</v>
      </c>
      <c r="Q16">
        <v>1</v>
      </c>
      <c r="X16">
        <v>29</v>
      </c>
      <c r="Y16">
        <v>0</v>
      </c>
      <c r="Z16">
        <v>32.86</v>
      </c>
      <c r="AA16">
        <v>1.68</v>
      </c>
      <c r="AB16">
        <v>0</v>
      </c>
      <c r="AC16">
        <v>0</v>
      </c>
      <c r="AD16">
        <v>1</v>
      </c>
      <c r="AE16">
        <v>0</v>
      </c>
      <c r="AF16" t="s">
        <v>58</v>
      </c>
      <c r="AG16">
        <v>5.8</v>
      </c>
      <c r="AH16">
        <v>3</v>
      </c>
      <c r="AI16">
        <v>-1</v>
      </c>
      <c r="AJ16" t="s">
        <v>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ROW(Source!A40)</f>
        <v>40</v>
      </c>
      <c r="B17">
        <v>72192319</v>
      </c>
      <c r="C17">
        <v>71588047</v>
      </c>
      <c r="D17">
        <v>71772305</v>
      </c>
      <c r="E17">
        <v>1</v>
      </c>
      <c r="F17">
        <v>1</v>
      </c>
      <c r="G17">
        <v>35</v>
      </c>
      <c r="H17">
        <v>3</v>
      </c>
      <c r="I17" t="s">
        <v>401</v>
      </c>
      <c r="J17" t="s">
        <v>402</v>
      </c>
      <c r="K17" t="s">
        <v>403</v>
      </c>
      <c r="L17">
        <v>1348</v>
      </c>
      <c r="N17">
        <v>1009</v>
      </c>
      <c r="O17" t="s">
        <v>38</v>
      </c>
      <c r="P17" t="s">
        <v>38</v>
      </c>
      <c r="Q17">
        <v>1000</v>
      </c>
      <c r="X17">
        <v>6.0000000000000001E-3</v>
      </c>
      <c r="Y17">
        <v>169525.77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57</v>
      </c>
      <c r="AG17">
        <v>0</v>
      </c>
      <c r="AH17">
        <v>3</v>
      </c>
      <c r="AI17">
        <v>-1</v>
      </c>
      <c r="AJ17" t="s">
        <v>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ROW(Source!A40)</f>
        <v>40</v>
      </c>
      <c r="B18">
        <v>72192320</v>
      </c>
      <c r="C18">
        <v>71588047</v>
      </c>
      <c r="D18">
        <v>71773175</v>
      </c>
      <c r="E18">
        <v>1</v>
      </c>
      <c r="F18">
        <v>1</v>
      </c>
      <c r="G18">
        <v>35</v>
      </c>
      <c r="H18">
        <v>3</v>
      </c>
      <c r="I18" t="s">
        <v>404</v>
      </c>
      <c r="J18" t="s">
        <v>405</v>
      </c>
      <c r="K18" t="s">
        <v>406</v>
      </c>
      <c r="L18">
        <v>1348</v>
      </c>
      <c r="N18">
        <v>1009</v>
      </c>
      <c r="O18" t="s">
        <v>38</v>
      </c>
      <c r="P18" t="s">
        <v>38</v>
      </c>
      <c r="Q18">
        <v>1000</v>
      </c>
      <c r="X18">
        <v>3.0000000000000001E-3</v>
      </c>
      <c r="Y18">
        <v>116329.32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57</v>
      </c>
      <c r="AG18">
        <v>0</v>
      </c>
      <c r="AH18">
        <v>3</v>
      </c>
      <c r="AI18">
        <v>-1</v>
      </c>
      <c r="AJ18" t="s">
        <v>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ROW(Source!A40)</f>
        <v>40</v>
      </c>
      <c r="B19">
        <v>72192321</v>
      </c>
      <c r="C19">
        <v>71588047</v>
      </c>
      <c r="D19">
        <v>71775397</v>
      </c>
      <c r="E19">
        <v>1</v>
      </c>
      <c r="F19">
        <v>1</v>
      </c>
      <c r="G19">
        <v>35</v>
      </c>
      <c r="H19">
        <v>3</v>
      </c>
      <c r="I19" t="s">
        <v>407</v>
      </c>
      <c r="J19" t="s">
        <v>408</v>
      </c>
      <c r="K19" t="s">
        <v>409</v>
      </c>
      <c r="L19">
        <v>1348</v>
      </c>
      <c r="N19">
        <v>1009</v>
      </c>
      <c r="O19" t="s">
        <v>38</v>
      </c>
      <c r="P19" t="s">
        <v>38</v>
      </c>
      <c r="Q19">
        <v>1000</v>
      </c>
      <c r="X19">
        <v>1</v>
      </c>
      <c r="Y19">
        <v>139438.91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57</v>
      </c>
      <c r="AG19">
        <v>0</v>
      </c>
      <c r="AH19">
        <v>3</v>
      </c>
      <c r="AI19">
        <v>-1</v>
      </c>
      <c r="AJ19" t="s">
        <v>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ROW(Source!A41)</f>
        <v>41</v>
      </c>
      <c r="B20">
        <v>72192322</v>
      </c>
      <c r="C20">
        <v>71588053</v>
      </c>
      <c r="D20">
        <v>71757693</v>
      </c>
      <c r="E20">
        <v>35</v>
      </c>
      <c r="F20">
        <v>1</v>
      </c>
      <c r="G20">
        <v>35</v>
      </c>
      <c r="H20">
        <v>1</v>
      </c>
      <c r="I20" t="s">
        <v>375</v>
      </c>
      <c r="J20" t="s">
        <v>3</v>
      </c>
      <c r="K20" t="s">
        <v>376</v>
      </c>
      <c r="L20">
        <v>1191</v>
      </c>
      <c r="N20">
        <v>1013</v>
      </c>
      <c r="O20" t="s">
        <v>377</v>
      </c>
      <c r="P20" t="s">
        <v>377</v>
      </c>
      <c r="Q20">
        <v>1</v>
      </c>
      <c r="X20">
        <v>154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1</v>
      </c>
      <c r="AF20" t="s">
        <v>3</v>
      </c>
      <c r="AG20">
        <v>154</v>
      </c>
      <c r="AH20">
        <v>3</v>
      </c>
      <c r="AI20">
        <v>-1</v>
      </c>
      <c r="AJ20" t="s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ROW(Source!A41)</f>
        <v>41</v>
      </c>
      <c r="B21">
        <v>72192323</v>
      </c>
      <c r="C21">
        <v>71588053</v>
      </c>
      <c r="D21">
        <v>71770609</v>
      </c>
      <c r="E21">
        <v>1</v>
      </c>
      <c r="F21">
        <v>1</v>
      </c>
      <c r="G21">
        <v>35</v>
      </c>
      <c r="H21">
        <v>2</v>
      </c>
      <c r="I21" t="s">
        <v>410</v>
      </c>
      <c r="J21" t="s">
        <v>411</v>
      </c>
      <c r="K21" t="s">
        <v>412</v>
      </c>
      <c r="L21">
        <v>1368</v>
      </c>
      <c r="N21">
        <v>1011</v>
      </c>
      <c r="O21" t="s">
        <v>381</v>
      </c>
      <c r="P21" t="s">
        <v>381</v>
      </c>
      <c r="Q21">
        <v>1</v>
      </c>
      <c r="X21">
        <v>75</v>
      </c>
      <c r="Y21">
        <v>0</v>
      </c>
      <c r="Z21">
        <v>584.66999999999996</v>
      </c>
      <c r="AA21">
        <v>448.39</v>
      </c>
      <c r="AB21">
        <v>0</v>
      </c>
      <c r="AC21">
        <v>0</v>
      </c>
      <c r="AD21">
        <v>1</v>
      </c>
      <c r="AE21">
        <v>0</v>
      </c>
      <c r="AF21" t="s">
        <v>3</v>
      </c>
      <c r="AG21">
        <v>75</v>
      </c>
      <c r="AH21">
        <v>3</v>
      </c>
      <c r="AI21">
        <v>-1</v>
      </c>
      <c r="AJ21" t="s">
        <v>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ROW(Source!A41)</f>
        <v>41</v>
      </c>
      <c r="B22">
        <v>72192324</v>
      </c>
      <c r="C22">
        <v>71588053</v>
      </c>
      <c r="D22">
        <v>71771185</v>
      </c>
      <c r="E22">
        <v>1</v>
      </c>
      <c r="F22">
        <v>1</v>
      </c>
      <c r="G22">
        <v>35</v>
      </c>
      <c r="H22">
        <v>2</v>
      </c>
      <c r="I22" t="s">
        <v>413</v>
      </c>
      <c r="J22" t="s">
        <v>414</v>
      </c>
      <c r="K22" t="s">
        <v>415</v>
      </c>
      <c r="L22">
        <v>1368</v>
      </c>
      <c r="N22">
        <v>1011</v>
      </c>
      <c r="O22" t="s">
        <v>381</v>
      </c>
      <c r="P22" t="s">
        <v>381</v>
      </c>
      <c r="Q22">
        <v>1</v>
      </c>
      <c r="X22">
        <v>150</v>
      </c>
      <c r="Y22">
        <v>0</v>
      </c>
      <c r="Z22">
        <v>6.02</v>
      </c>
      <c r="AA22">
        <v>0.02</v>
      </c>
      <c r="AB22">
        <v>0</v>
      </c>
      <c r="AC22">
        <v>0</v>
      </c>
      <c r="AD22">
        <v>1</v>
      </c>
      <c r="AE22">
        <v>0</v>
      </c>
      <c r="AF22" t="s">
        <v>3</v>
      </c>
      <c r="AG22">
        <v>150</v>
      </c>
      <c r="AH22">
        <v>3</v>
      </c>
      <c r="AI22">
        <v>-1</v>
      </c>
      <c r="AJ22" t="s">
        <v>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ROW(Source!A77)</f>
        <v>77</v>
      </c>
      <c r="B23">
        <v>72192325</v>
      </c>
      <c r="C23">
        <v>71588115</v>
      </c>
      <c r="D23">
        <v>71757693</v>
      </c>
      <c r="E23">
        <v>35</v>
      </c>
      <c r="F23">
        <v>1</v>
      </c>
      <c r="G23">
        <v>35</v>
      </c>
      <c r="H23">
        <v>1</v>
      </c>
      <c r="I23" t="s">
        <v>375</v>
      </c>
      <c r="J23" t="s">
        <v>3</v>
      </c>
      <c r="K23" t="s">
        <v>376</v>
      </c>
      <c r="L23">
        <v>1191</v>
      </c>
      <c r="N23">
        <v>1013</v>
      </c>
      <c r="O23" t="s">
        <v>377</v>
      </c>
      <c r="P23" t="s">
        <v>377</v>
      </c>
      <c r="Q23">
        <v>1</v>
      </c>
      <c r="X23">
        <v>63.94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 t="s">
        <v>3</v>
      </c>
      <c r="AG23">
        <v>63.94</v>
      </c>
      <c r="AH23">
        <v>3</v>
      </c>
      <c r="AI23">
        <v>-1</v>
      </c>
      <c r="AJ23" t="s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ROW(Source!A77)</f>
        <v>77</v>
      </c>
      <c r="B24">
        <v>72192326</v>
      </c>
      <c r="C24">
        <v>71588115</v>
      </c>
      <c r="D24">
        <v>71770528</v>
      </c>
      <c r="E24">
        <v>1</v>
      </c>
      <c r="F24">
        <v>1</v>
      </c>
      <c r="G24">
        <v>35</v>
      </c>
      <c r="H24">
        <v>2</v>
      </c>
      <c r="I24" t="s">
        <v>416</v>
      </c>
      <c r="J24" t="s">
        <v>417</v>
      </c>
      <c r="K24" t="s">
        <v>418</v>
      </c>
      <c r="L24">
        <v>1368</v>
      </c>
      <c r="N24">
        <v>1011</v>
      </c>
      <c r="O24" t="s">
        <v>381</v>
      </c>
      <c r="P24" t="s">
        <v>381</v>
      </c>
      <c r="Q24">
        <v>1</v>
      </c>
      <c r="X24">
        <v>5.12</v>
      </c>
      <c r="Y24">
        <v>0</v>
      </c>
      <c r="Z24">
        <v>461.4</v>
      </c>
      <c r="AA24">
        <v>409.44</v>
      </c>
      <c r="AB24">
        <v>0</v>
      </c>
      <c r="AC24">
        <v>0</v>
      </c>
      <c r="AD24">
        <v>1</v>
      </c>
      <c r="AE24">
        <v>0</v>
      </c>
      <c r="AF24" t="s">
        <v>3</v>
      </c>
      <c r="AG24">
        <v>5.12</v>
      </c>
      <c r="AH24">
        <v>3</v>
      </c>
      <c r="AI24">
        <v>-1</v>
      </c>
      <c r="AJ24" t="s">
        <v>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ROW(Source!A77)</f>
        <v>77</v>
      </c>
      <c r="B25">
        <v>72192327</v>
      </c>
      <c r="C25">
        <v>71588115</v>
      </c>
      <c r="D25">
        <v>71773291</v>
      </c>
      <c r="E25">
        <v>1</v>
      </c>
      <c r="F25">
        <v>1</v>
      </c>
      <c r="G25">
        <v>35</v>
      </c>
      <c r="H25">
        <v>3</v>
      </c>
      <c r="I25" t="s">
        <v>419</v>
      </c>
      <c r="J25" t="s">
        <v>420</v>
      </c>
      <c r="K25" t="s">
        <v>421</v>
      </c>
      <c r="L25">
        <v>1339</v>
      </c>
      <c r="N25">
        <v>1007</v>
      </c>
      <c r="O25" t="s">
        <v>394</v>
      </c>
      <c r="P25" t="s">
        <v>394</v>
      </c>
      <c r="Q25">
        <v>1</v>
      </c>
      <c r="X25">
        <v>9.4799999999999995E-2</v>
      </c>
      <c r="Y25">
        <v>42.44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3</v>
      </c>
      <c r="AG25">
        <v>9.4799999999999995E-2</v>
      </c>
      <c r="AH25">
        <v>3</v>
      </c>
      <c r="AI25">
        <v>-1</v>
      </c>
      <c r="AJ25" t="s">
        <v>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ROW(Source!A77)</f>
        <v>77</v>
      </c>
      <c r="B26">
        <v>72192328</v>
      </c>
      <c r="C26">
        <v>71588115</v>
      </c>
      <c r="D26">
        <v>71773591</v>
      </c>
      <c r="E26">
        <v>1</v>
      </c>
      <c r="F26">
        <v>1</v>
      </c>
      <c r="G26">
        <v>35</v>
      </c>
      <c r="H26">
        <v>3</v>
      </c>
      <c r="I26" t="s">
        <v>422</v>
      </c>
      <c r="J26" t="s">
        <v>423</v>
      </c>
      <c r="K26" t="s">
        <v>424</v>
      </c>
      <c r="L26">
        <v>1327</v>
      </c>
      <c r="N26">
        <v>1005</v>
      </c>
      <c r="O26" t="s">
        <v>28</v>
      </c>
      <c r="P26" t="s">
        <v>28</v>
      </c>
      <c r="Q26">
        <v>1</v>
      </c>
      <c r="X26">
        <v>2.64</v>
      </c>
      <c r="Y26">
        <v>525.41999999999996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3</v>
      </c>
      <c r="AG26">
        <v>2.64</v>
      </c>
      <c r="AH26">
        <v>3</v>
      </c>
      <c r="AI26">
        <v>-1</v>
      </c>
      <c r="AJ26" t="s">
        <v>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ROW(Source!A77)</f>
        <v>77</v>
      </c>
      <c r="B27">
        <v>72192329</v>
      </c>
      <c r="C27">
        <v>71588115</v>
      </c>
      <c r="D27">
        <v>71774360</v>
      </c>
      <c r="E27">
        <v>1</v>
      </c>
      <c r="F27">
        <v>1</v>
      </c>
      <c r="G27">
        <v>35</v>
      </c>
      <c r="H27">
        <v>3</v>
      </c>
      <c r="I27" t="s">
        <v>425</v>
      </c>
      <c r="J27" t="s">
        <v>426</v>
      </c>
      <c r="K27" t="s">
        <v>427</v>
      </c>
      <c r="L27">
        <v>1339</v>
      </c>
      <c r="N27">
        <v>1007</v>
      </c>
      <c r="O27" t="s">
        <v>394</v>
      </c>
      <c r="P27" t="s">
        <v>394</v>
      </c>
      <c r="Q27">
        <v>1</v>
      </c>
      <c r="X27">
        <v>0.224</v>
      </c>
      <c r="Y27">
        <v>3817.03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3</v>
      </c>
      <c r="AG27">
        <v>0.224</v>
      </c>
      <c r="AH27">
        <v>3</v>
      </c>
      <c r="AI27">
        <v>-1</v>
      </c>
      <c r="AJ27" t="s">
        <v>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ROW(Source!A77)</f>
        <v>77</v>
      </c>
      <c r="B28">
        <v>72192330</v>
      </c>
      <c r="C28">
        <v>71588115</v>
      </c>
      <c r="D28">
        <v>71774354</v>
      </c>
      <c r="E28">
        <v>1</v>
      </c>
      <c r="F28">
        <v>1</v>
      </c>
      <c r="G28">
        <v>35</v>
      </c>
      <c r="H28">
        <v>3</v>
      </c>
      <c r="I28" t="s">
        <v>428</v>
      </c>
      <c r="J28" t="s">
        <v>429</v>
      </c>
      <c r="K28" t="s">
        <v>430</v>
      </c>
      <c r="L28">
        <v>1339</v>
      </c>
      <c r="N28">
        <v>1007</v>
      </c>
      <c r="O28" t="s">
        <v>394</v>
      </c>
      <c r="P28" t="s">
        <v>394</v>
      </c>
      <c r="Q28">
        <v>1</v>
      </c>
      <c r="X28">
        <v>1.1200000000000001</v>
      </c>
      <c r="Y28">
        <v>3944.53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3</v>
      </c>
      <c r="AG28">
        <v>1.1200000000000001</v>
      </c>
      <c r="AH28">
        <v>3</v>
      </c>
      <c r="AI28">
        <v>-1</v>
      </c>
      <c r="AJ28" t="s">
        <v>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ROW(Source!A77)</f>
        <v>77</v>
      </c>
      <c r="B29">
        <v>72192331</v>
      </c>
      <c r="C29">
        <v>71588115</v>
      </c>
      <c r="D29">
        <v>71774437</v>
      </c>
      <c r="E29">
        <v>1</v>
      </c>
      <c r="F29">
        <v>1</v>
      </c>
      <c r="G29">
        <v>35</v>
      </c>
      <c r="H29">
        <v>3</v>
      </c>
      <c r="I29" t="s">
        <v>431</v>
      </c>
      <c r="J29" t="s">
        <v>432</v>
      </c>
      <c r="K29" t="s">
        <v>433</v>
      </c>
      <c r="L29">
        <v>1348</v>
      </c>
      <c r="N29">
        <v>1009</v>
      </c>
      <c r="O29" t="s">
        <v>38</v>
      </c>
      <c r="P29" t="s">
        <v>38</v>
      </c>
      <c r="Q29">
        <v>1000</v>
      </c>
      <c r="X29">
        <v>0.44800000000000001</v>
      </c>
      <c r="Y29">
        <v>10609.81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3</v>
      </c>
      <c r="AG29">
        <v>0.44800000000000001</v>
      </c>
      <c r="AH29">
        <v>3</v>
      </c>
      <c r="AI29">
        <v>-1</v>
      </c>
      <c r="AJ29" t="s">
        <v>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ROW(Source!A77)</f>
        <v>77</v>
      </c>
      <c r="B30">
        <v>72192332</v>
      </c>
      <c r="C30">
        <v>71588115</v>
      </c>
      <c r="D30">
        <v>71774442</v>
      </c>
      <c r="E30">
        <v>1</v>
      </c>
      <c r="F30">
        <v>1</v>
      </c>
      <c r="G30">
        <v>35</v>
      </c>
      <c r="H30">
        <v>3</v>
      </c>
      <c r="I30" t="s">
        <v>434</v>
      </c>
      <c r="J30" t="s">
        <v>435</v>
      </c>
      <c r="K30" t="s">
        <v>436</v>
      </c>
      <c r="L30">
        <v>1348</v>
      </c>
      <c r="N30">
        <v>1009</v>
      </c>
      <c r="O30" t="s">
        <v>38</v>
      </c>
      <c r="P30" t="s">
        <v>38</v>
      </c>
      <c r="Q30">
        <v>1000</v>
      </c>
      <c r="X30">
        <v>8.9599999999999999E-2</v>
      </c>
      <c r="Y30">
        <v>9743.9699999999993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3</v>
      </c>
      <c r="AG30">
        <v>8.9599999999999999E-2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ROW(Source!A78)</f>
        <v>78</v>
      </c>
      <c r="B31">
        <v>72192333</v>
      </c>
      <c r="C31">
        <v>71588133</v>
      </c>
      <c r="D31">
        <v>71757693</v>
      </c>
      <c r="E31">
        <v>35</v>
      </c>
      <c r="F31">
        <v>1</v>
      </c>
      <c r="G31">
        <v>35</v>
      </c>
      <c r="H31">
        <v>1</v>
      </c>
      <c r="I31" t="s">
        <v>375</v>
      </c>
      <c r="J31" t="s">
        <v>3</v>
      </c>
      <c r="K31" t="s">
        <v>376</v>
      </c>
      <c r="L31">
        <v>1191</v>
      </c>
      <c r="N31">
        <v>1013</v>
      </c>
      <c r="O31" t="s">
        <v>377</v>
      </c>
      <c r="P31" t="s">
        <v>377</v>
      </c>
      <c r="Q31">
        <v>1</v>
      </c>
      <c r="X31">
        <v>5.35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 t="s">
        <v>3</v>
      </c>
      <c r="AG31">
        <v>5.35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ROW(Source!A78)</f>
        <v>78</v>
      </c>
      <c r="B32">
        <v>72192334</v>
      </c>
      <c r="C32">
        <v>71588133</v>
      </c>
      <c r="D32">
        <v>71771216</v>
      </c>
      <c r="E32">
        <v>1</v>
      </c>
      <c r="F32">
        <v>1</v>
      </c>
      <c r="G32">
        <v>35</v>
      </c>
      <c r="H32">
        <v>2</v>
      </c>
      <c r="I32" t="s">
        <v>437</v>
      </c>
      <c r="J32" t="s">
        <v>438</v>
      </c>
      <c r="K32" t="s">
        <v>439</v>
      </c>
      <c r="L32">
        <v>1368</v>
      </c>
      <c r="N32">
        <v>1011</v>
      </c>
      <c r="O32" t="s">
        <v>381</v>
      </c>
      <c r="P32" t="s">
        <v>381</v>
      </c>
      <c r="Q32">
        <v>1</v>
      </c>
      <c r="X32">
        <v>0.04</v>
      </c>
      <c r="Y32">
        <v>0</v>
      </c>
      <c r="Z32">
        <v>10.56</v>
      </c>
      <c r="AA32">
        <v>0.16</v>
      </c>
      <c r="AB32">
        <v>0</v>
      </c>
      <c r="AC32">
        <v>0</v>
      </c>
      <c r="AD32">
        <v>1</v>
      </c>
      <c r="AE32">
        <v>0</v>
      </c>
      <c r="AF32" t="s">
        <v>3</v>
      </c>
      <c r="AG32">
        <v>0.04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ROW(Source!A78)</f>
        <v>78</v>
      </c>
      <c r="B33">
        <v>72192335</v>
      </c>
      <c r="C33">
        <v>71588133</v>
      </c>
      <c r="D33">
        <v>71771654</v>
      </c>
      <c r="E33">
        <v>1</v>
      </c>
      <c r="F33">
        <v>1</v>
      </c>
      <c r="G33">
        <v>35</v>
      </c>
      <c r="H33">
        <v>3</v>
      </c>
      <c r="I33" t="s">
        <v>440</v>
      </c>
      <c r="J33" t="s">
        <v>441</v>
      </c>
      <c r="K33" t="s">
        <v>442</v>
      </c>
      <c r="L33">
        <v>1296</v>
      </c>
      <c r="N33">
        <v>1002</v>
      </c>
      <c r="O33" t="s">
        <v>443</v>
      </c>
      <c r="P33" t="s">
        <v>443</v>
      </c>
      <c r="Q33">
        <v>1</v>
      </c>
      <c r="X33">
        <v>10.3</v>
      </c>
      <c r="Y33">
        <v>105.2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3</v>
      </c>
      <c r="AG33">
        <v>10.3</v>
      </c>
      <c r="AH33">
        <v>3</v>
      </c>
      <c r="AI33">
        <v>-1</v>
      </c>
      <c r="AJ33" t="s">
        <v>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ROW(Source!A79)</f>
        <v>79</v>
      </c>
      <c r="B34">
        <v>72192336</v>
      </c>
      <c r="C34">
        <v>71588143</v>
      </c>
      <c r="D34">
        <v>71757693</v>
      </c>
      <c r="E34">
        <v>35</v>
      </c>
      <c r="F34">
        <v>1</v>
      </c>
      <c r="G34">
        <v>35</v>
      </c>
      <c r="H34">
        <v>1</v>
      </c>
      <c r="I34" t="s">
        <v>375</v>
      </c>
      <c r="J34" t="s">
        <v>3</v>
      </c>
      <c r="K34" t="s">
        <v>376</v>
      </c>
      <c r="L34">
        <v>1191</v>
      </c>
      <c r="N34">
        <v>1013</v>
      </c>
      <c r="O34" t="s">
        <v>377</v>
      </c>
      <c r="P34" t="s">
        <v>377</v>
      </c>
      <c r="Q34">
        <v>1</v>
      </c>
      <c r="X34">
        <v>42.17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 t="s">
        <v>3</v>
      </c>
      <c r="AG34">
        <v>42.17</v>
      </c>
      <c r="AH34">
        <v>3</v>
      </c>
      <c r="AI34">
        <v>-1</v>
      </c>
      <c r="AJ34" t="s">
        <v>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ROW(Source!A79)</f>
        <v>79</v>
      </c>
      <c r="B35">
        <v>72192337</v>
      </c>
      <c r="C35">
        <v>71588143</v>
      </c>
      <c r="D35">
        <v>71773080</v>
      </c>
      <c r="E35">
        <v>1</v>
      </c>
      <c r="F35">
        <v>1</v>
      </c>
      <c r="G35">
        <v>35</v>
      </c>
      <c r="H35">
        <v>3</v>
      </c>
      <c r="I35" t="s">
        <v>444</v>
      </c>
      <c r="J35" t="s">
        <v>445</v>
      </c>
      <c r="K35" t="s">
        <v>446</v>
      </c>
      <c r="L35">
        <v>1346</v>
      </c>
      <c r="N35">
        <v>1009</v>
      </c>
      <c r="O35" t="s">
        <v>447</v>
      </c>
      <c r="P35" t="s">
        <v>447</v>
      </c>
      <c r="Q35">
        <v>1</v>
      </c>
      <c r="X35">
        <v>0.31</v>
      </c>
      <c r="Y35">
        <v>29.29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3</v>
      </c>
      <c r="AG35">
        <v>0.31</v>
      </c>
      <c r="AH35">
        <v>3</v>
      </c>
      <c r="AI35">
        <v>-1</v>
      </c>
      <c r="AJ35" t="s">
        <v>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ROW(Source!A79)</f>
        <v>79</v>
      </c>
      <c r="B36">
        <v>72192338</v>
      </c>
      <c r="C36">
        <v>71588143</v>
      </c>
      <c r="D36">
        <v>71773291</v>
      </c>
      <c r="E36">
        <v>1</v>
      </c>
      <c r="F36">
        <v>1</v>
      </c>
      <c r="G36">
        <v>35</v>
      </c>
      <c r="H36">
        <v>3</v>
      </c>
      <c r="I36" t="s">
        <v>419</v>
      </c>
      <c r="J36" t="s">
        <v>420</v>
      </c>
      <c r="K36" t="s">
        <v>421</v>
      </c>
      <c r="L36">
        <v>1339</v>
      </c>
      <c r="N36">
        <v>1007</v>
      </c>
      <c r="O36" t="s">
        <v>394</v>
      </c>
      <c r="P36" t="s">
        <v>394</v>
      </c>
      <c r="Q36">
        <v>1</v>
      </c>
      <c r="X36">
        <v>6.0000000000000001E-3</v>
      </c>
      <c r="Y36">
        <v>42.44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3</v>
      </c>
      <c r="AG36">
        <v>6.0000000000000001E-3</v>
      </c>
      <c r="AH36">
        <v>3</v>
      </c>
      <c r="AI36">
        <v>-1</v>
      </c>
      <c r="AJ36" t="s">
        <v>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ROW(Source!A79)</f>
        <v>79</v>
      </c>
      <c r="B37">
        <v>72192339</v>
      </c>
      <c r="C37">
        <v>71588143</v>
      </c>
      <c r="D37">
        <v>71773642</v>
      </c>
      <c r="E37">
        <v>1</v>
      </c>
      <c r="F37">
        <v>1</v>
      </c>
      <c r="G37">
        <v>35</v>
      </c>
      <c r="H37">
        <v>3</v>
      </c>
      <c r="I37" t="s">
        <v>448</v>
      </c>
      <c r="J37" t="s">
        <v>449</v>
      </c>
      <c r="K37" t="s">
        <v>450</v>
      </c>
      <c r="L37">
        <v>1327</v>
      </c>
      <c r="N37">
        <v>1005</v>
      </c>
      <c r="O37" t="s">
        <v>28</v>
      </c>
      <c r="P37" t="s">
        <v>28</v>
      </c>
      <c r="Q37">
        <v>1</v>
      </c>
      <c r="X37">
        <v>0.8</v>
      </c>
      <c r="Y37">
        <v>459.29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3</v>
      </c>
      <c r="AG37">
        <v>0.8</v>
      </c>
      <c r="AH37">
        <v>3</v>
      </c>
      <c r="AI37">
        <v>-1</v>
      </c>
      <c r="AJ37" t="s">
        <v>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ROW(Source!A79)</f>
        <v>79</v>
      </c>
      <c r="B38">
        <v>72192340</v>
      </c>
      <c r="C38">
        <v>71588143</v>
      </c>
      <c r="D38">
        <v>71773658</v>
      </c>
      <c r="E38">
        <v>1</v>
      </c>
      <c r="F38">
        <v>1</v>
      </c>
      <c r="G38">
        <v>35</v>
      </c>
      <c r="H38">
        <v>3</v>
      </c>
      <c r="I38" t="s">
        <v>451</v>
      </c>
      <c r="J38" t="s">
        <v>452</v>
      </c>
      <c r="K38" t="s">
        <v>453</v>
      </c>
      <c r="L38">
        <v>1348</v>
      </c>
      <c r="N38">
        <v>1009</v>
      </c>
      <c r="O38" t="s">
        <v>38</v>
      </c>
      <c r="P38" t="s">
        <v>38</v>
      </c>
      <c r="Q38">
        <v>1000</v>
      </c>
      <c r="X38">
        <v>5.0999999999999997E-2</v>
      </c>
      <c r="Y38">
        <v>91730.92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3</v>
      </c>
      <c r="AG38">
        <v>5.0999999999999997E-2</v>
      </c>
      <c r="AH38">
        <v>3</v>
      </c>
      <c r="AI38">
        <v>-1</v>
      </c>
      <c r="AJ38" t="s">
        <v>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ROW(Source!A79)</f>
        <v>79</v>
      </c>
      <c r="B39">
        <v>72192341</v>
      </c>
      <c r="C39">
        <v>71588143</v>
      </c>
      <c r="D39">
        <v>71771857</v>
      </c>
      <c r="E39">
        <v>1</v>
      </c>
      <c r="F39">
        <v>1</v>
      </c>
      <c r="G39">
        <v>35</v>
      </c>
      <c r="H39">
        <v>3</v>
      </c>
      <c r="I39" t="s">
        <v>454</v>
      </c>
      <c r="J39" t="s">
        <v>455</v>
      </c>
      <c r="K39" t="s">
        <v>456</v>
      </c>
      <c r="L39">
        <v>1346</v>
      </c>
      <c r="N39">
        <v>1009</v>
      </c>
      <c r="O39" t="s">
        <v>447</v>
      </c>
      <c r="P39" t="s">
        <v>447</v>
      </c>
      <c r="Q39">
        <v>1</v>
      </c>
      <c r="X39">
        <v>24.2</v>
      </c>
      <c r="Y39">
        <v>159.59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3</v>
      </c>
      <c r="AG39">
        <v>24.2</v>
      </c>
      <c r="AH39">
        <v>3</v>
      </c>
      <c r="AI39">
        <v>-1</v>
      </c>
      <c r="AJ39" t="s">
        <v>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ROW(Source!A79)</f>
        <v>79</v>
      </c>
      <c r="B40">
        <v>72192342</v>
      </c>
      <c r="C40">
        <v>71588143</v>
      </c>
      <c r="D40">
        <v>71771859</v>
      </c>
      <c r="E40">
        <v>1</v>
      </c>
      <c r="F40">
        <v>1</v>
      </c>
      <c r="G40">
        <v>35</v>
      </c>
      <c r="H40">
        <v>3</v>
      </c>
      <c r="I40" t="s">
        <v>457</v>
      </c>
      <c r="J40" t="s">
        <v>458</v>
      </c>
      <c r="K40" t="s">
        <v>459</v>
      </c>
      <c r="L40">
        <v>1346</v>
      </c>
      <c r="N40">
        <v>1009</v>
      </c>
      <c r="O40" t="s">
        <v>447</v>
      </c>
      <c r="P40" t="s">
        <v>447</v>
      </c>
      <c r="Q40">
        <v>1</v>
      </c>
      <c r="X40">
        <v>10.4</v>
      </c>
      <c r="Y40">
        <v>87.7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3</v>
      </c>
      <c r="AG40">
        <v>10.4</v>
      </c>
      <c r="AH40">
        <v>3</v>
      </c>
      <c r="AI40">
        <v>-1</v>
      </c>
      <c r="AJ40" t="s">
        <v>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ROW(Source!A80)</f>
        <v>80</v>
      </c>
      <c r="B41">
        <v>72192343</v>
      </c>
      <c r="C41">
        <v>71588158</v>
      </c>
      <c r="D41">
        <v>71757693</v>
      </c>
      <c r="E41">
        <v>35</v>
      </c>
      <c r="F41">
        <v>1</v>
      </c>
      <c r="G41">
        <v>35</v>
      </c>
      <c r="H41">
        <v>1</v>
      </c>
      <c r="I41" t="s">
        <v>375</v>
      </c>
      <c r="J41" t="s">
        <v>3</v>
      </c>
      <c r="K41" t="s">
        <v>376</v>
      </c>
      <c r="L41">
        <v>1191</v>
      </c>
      <c r="N41">
        <v>1013</v>
      </c>
      <c r="O41" t="s">
        <v>377</v>
      </c>
      <c r="P41" t="s">
        <v>377</v>
      </c>
      <c r="Q41">
        <v>1</v>
      </c>
      <c r="X41">
        <v>87.17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 t="s">
        <v>3</v>
      </c>
      <c r="AG41">
        <v>87.17</v>
      </c>
      <c r="AH41">
        <v>3</v>
      </c>
      <c r="AI41">
        <v>-1</v>
      </c>
      <c r="AJ41" t="s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ROW(Source!A80)</f>
        <v>80</v>
      </c>
      <c r="B42">
        <v>72192344</v>
      </c>
      <c r="C42">
        <v>71588158</v>
      </c>
      <c r="D42">
        <v>71771949</v>
      </c>
      <c r="E42">
        <v>1</v>
      </c>
      <c r="F42">
        <v>1</v>
      </c>
      <c r="G42">
        <v>35</v>
      </c>
      <c r="H42">
        <v>3</v>
      </c>
      <c r="I42" t="s">
        <v>460</v>
      </c>
      <c r="J42" t="s">
        <v>461</v>
      </c>
      <c r="K42" t="s">
        <v>462</v>
      </c>
      <c r="L42">
        <v>1339</v>
      </c>
      <c r="N42">
        <v>1007</v>
      </c>
      <c r="O42" t="s">
        <v>394</v>
      </c>
      <c r="P42" t="s">
        <v>394</v>
      </c>
      <c r="Q42">
        <v>1</v>
      </c>
      <c r="X42">
        <v>8.0000000000000002E-3</v>
      </c>
      <c r="Y42">
        <v>8098.45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3</v>
      </c>
      <c r="AG42">
        <v>8.0000000000000002E-3</v>
      </c>
      <c r="AH42">
        <v>3</v>
      </c>
      <c r="AI42">
        <v>-1</v>
      </c>
      <c r="AJ42" t="s">
        <v>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ROW(Source!A81)</f>
        <v>81</v>
      </c>
      <c r="B43">
        <v>72192345</v>
      </c>
      <c r="C43">
        <v>71588120</v>
      </c>
      <c r="D43">
        <v>71757693</v>
      </c>
      <c r="E43">
        <v>35</v>
      </c>
      <c r="F43">
        <v>1</v>
      </c>
      <c r="G43">
        <v>35</v>
      </c>
      <c r="H43">
        <v>1</v>
      </c>
      <c r="I43" t="s">
        <v>375</v>
      </c>
      <c r="J43" t="s">
        <v>3</v>
      </c>
      <c r="K43" t="s">
        <v>376</v>
      </c>
      <c r="L43">
        <v>1191</v>
      </c>
      <c r="N43">
        <v>1013</v>
      </c>
      <c r="O43" t="s">
        <v>377</v>
      </c>
      <c r="P43" t="s">
        <v>377</v>
      </c>
      <c r="Q43">
        <v>1</v>
      </c>
      <c r="X43">
        <v>68.2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 t="s">
        <v>3</v>
      </c>
      <c r="AG43">
        <v>68.2</v>
      </c>
      <c r="AH43">
        <v>3</v>
      </c>
      <c r="AI43">
        <v>-1</v>
      </c>
      <c r="AJ43" t="s">
        <v>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ROW(Source!A81)</f>
        <v>81</v>
      </c>
      <c r="B44">
        <v>72192346</v>
      </c>
      <c r="C44">
        <v>71588120</v>
      </c>
      <c r="D44">
        <v>71770528</v>
      </c>
      <c r="E44">
        <v>1</v>
      </c>
      <c r="F44">
        <v>1</v>
      </c>
      <c r="G44">
        <v>35</v>
      </c>
      <c r="H44">
        <v>2</v>
      </c>
      <c r="I44" t="s">
        <v>416</v>
      </c>
      <c r="J44" t="s">
        <v>417</v>
      </c>
      <c r="K44" t="s">
        <v>418</v>
      </c>
      <c r="L44">
        <v>1368</v>
      </c>
      <c r="N44">
        <v>1011</v>
      </c>
      <c r="O44" t="s">
        <v>381</v>
      </c>
      <c r="P44" t="s">
        <v>381</v>
      </c>
      <c r="Q44">
        <v>1</v>
      </c>
      <c r="X44">
        <v>5.12</v>
      </c>
      <c r="Y44">
        <v>0</v>
      </c>
      <c r="Z44">
        <v>461.4</v>
      </c>
      <c r="AA44">
        <v>409.44</v>
      </c>
      <c r="AB44">
        <v>0</v>
      </c>
      <c r="AC44">
        <v>0</v>
      </c>
      <c r="AD44">
        <v>1</v>
      </c>
      <c r="AE44">
        <v>0</v>
      </c>
      <c r="AF44" t="s">
        <v>3</v>
      </c>
      <c r="AG44">
        <v>5.12</v>
      </c>
      <c r="AH44">
        <v>3</v>
      </c>
      <c r="AI44">
        <v>-1</v>
      </c>
      <c r="AJ44" t="s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ROW(Source!A81)</f>
        <v>81</v>
      </c>
      <c r="B45">
        <v>72192347</v>
      </c>
      <c r="C45">
        <v>71588120</v>
      </c>
      <c r="D45">
        <v>71773291</v>
      </c>
      <c r="E45">
        <v>1</v>
      </c>
      <c r="F45">
        <v>1</v>
      </c>
      <c r="G45">
        <v>35</v>
      </c>
      <c r="H45">
        <v>3</v>
      </c>
      <c r="I45" t="s">
        <v>419</v>
      </c>
      <c r="J45" t="s">
        <v>420</v>
      </c>
      <c r="K45" t="s">
        <v>421</v>
      </c>
      <c r="L45">
        <v>1339</v>
      </c>
      <c r="N45">
        <v>1007</v>
      </c>
      <c r="O45" t="s">
        <v>394</v>
      </c>
      <c r="P45" t="s">
        <v>394</v>
      </c>
      <c r="Q45">
        <v>1</v>
      </c>
      <c r="X45">
        <v>8.0079999999999998E-2</v>
      </c>
      <c r="Y45">
        <v>42.44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3</v>
      </c>
      <c r="AG45">
        <v>8.0079999999999998E-2</v>
      </c>
      <c r="AH45">
        <v>3</v>
      </c>
      <c r="AI45">
        <v>-1</v>
      </c>
      <c r="AJ45" t="s">
        <v>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ROW(Source!A81)</f>
        <v>81</v>
      </c>
      <c r="B46">
        <v>72192348</v>
      </c>
      <c r="C46">
        <v>71588120</v>
      </c>
      <c r="D46">
        <v>71773591</v>
      </c>
      <c r="E46">
        <v>1</v>
      </c>
      <c r="F46">
        <v>1</v>
      </c>
      <c r="G46">
        <v>35</v>
      </c>
      <c r="H46">
        <v>3</v>
      </c>
      <c r="I46" t="s">
        <v>422</v>
      </c>
      <c r="J46" t="s">
        <v>423</v>
      </c>
      <c r="K46" t="s">
        <v>424</v>
      </c>
      <c r="L46">
        <v>1327</v>
      </c>
      <c r="N46">
        <v>1005</v>
      </c>
      <c r="O46" t="s">
        <v>28</v>
      </c>
      <c r="P46" t="s">
        <v>28</v>
      </c>
      <c r="Q46">
        <v>1</v>
      </c>
      <c r="X46">
        <v>2.64</v>
      </c>
      <c r="Y46">
        <v>525.41999999999996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3</v>
      </c>
      <c r="AG46">
        <v>2.64</v>
      </c>
      <c r="AH46">
        <v>3</v>
      </c>
      <c r="AI46">
        <v>-1</v>
      </c>
      <c r="AJ46" t="s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ROW(Source!A81)</f>
        <v>81</v>
      </c>
      <c r="B47">
        <v>72192349</v>
      </c>
      <c r="C47">
        <v>71588120</v>
      </c>
      <c r="D47">
        <v>71774354</v>
      </c>
      <c r="E47">
        <v>1</v>
      </c>
      <c r="F47">
        <v>1</v>
      </c>
      <c r="G47">
        <v>35</v>
      </c>
      <c r="H47">
        <v>3</v>
      </c>
      <c r="I47" t="s">
        <v>428</v>
      </c>
      <c r="J47" t="s">
        <v>429</v>
      </c>
      <c r="K47" t="s">
        <v>430</v>
      </c>
      <c r="L47">
        <v>1339</v>
      </c>
      <c r="N47">
        <v>1007</v>
      </c>
      <c r="O47" t="s">
        <v>394</v>
      </c>
      <c r="P47" t="s">
        <v>394</v>
      </c>
      <c r="Q47">
        <v>1</v>
      </c>
      <c r="X47">
        <v>1.1439999999999999</v>
      </c>
      <c r="Y47">
        <v>3944.53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3</v>
      </c>
      <c r="AG47">
        <v>1.1439999999999999</v>
      </c>
      <c r="AH47">
        <v>3</v>
      </c>
      <c r="AI47">
        <v>-1</v>
      </c>
      <c r="AJ47" t="s">
        <v>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ROW(Source!A81)</f>
        <v>81</v>
      </c>
      <c r="B48">
        <v>72192350</v>
      </c>
      <c r="C48">
        <v>71588120</v>
      </c>
      <c r="D48">
        <v>71774437</v>
      </c>
      <c r="E48">
        <v>1</v>
      </c>
      <c r="F48">
        <v>1</v>
      </c>
      <c r="G48">
        <v>35</v>
      </c>
      <c r="H48">
        <v>3</v>
      </c>
      <c r="I48" t="s">
        <v>431</v>
      </c>
      <c r="J48" t="s">
        <v>432</v>
      </c>
      <c r="K48" t="s">
        <v>433</v>
      </c>
      <c r="L48">
        <v>1348</v>
      </c>
      <c r="N48">
        <v>1009</v>
      </c>
      <c r="O48" t="s">
        <v>38</v>
      </c>
      <c r="P48" t="s">
        <v>38</v>
      </c>
      <c r="Q48">
        <v>1000</v>
      </c>
      <c r="X48">
        <v>0.45760000000000001</v>
      </c>
      <c r="Y48">
        <v>10609.81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3</v>
      </c>
      <c r="AG48">
        <v>0.45760000000000001</v>
      </c>
      <c r="AH48">
        <v>3</v>
      </c>
      <c r="AI48">
        <v>-1</v>
      </c>
      <c r="AJ48" t="s">
        <v>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ROW(Source!A82)</f>
        <v>82</v>
      </c>
      <c r="B49">
        <v>72192351</v>
      </c>
      <c r="C49">
        <v>71588129</v>
      </c>
      <c r="D49">
        <v>71757693</v>
      </c>
      <c r="E49">
        <v>35</v>
      </c>
      <c r="F49">
        <v>1</v>
      </c>
      <c r="G49">
        <v>35</v>
      </c>
      <c r="H49">
        <v>1</v>
      </c>
      <c r="I49" t="s">
        <v>375</v>
      </c>
      <c r="J49" t="s">
        <v>3</v>
      </c>
      <c r="K49" t="s">
        <v>376</v>
      </c>
      <c r="L49">
        <v>1191</v>
      </c>
      <c r="N49">
        <v>1013</v>
      </c>
      <c r="O49" t="s">
        <v>377</v>
      </c>
      <c r="P49" t="s">
        <v>377</v>
      </c>
      <c r="Q49">
        <v>1</v>
      </c>
      <c r="X49">
        <v>6.53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 t="s">
        <v>3</v>
      </c>
      <c r="AG49">
        <v>6.53</v>
      </c>
      <c r="AH49">
        <v>3</v>
      </c>
      <c r="AI49">
        <v>-1</v>
      </c>
      <c r="AJ49" t="s">
        <v>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ROW(Source!A82)</f>
        <v>82</v>
      </c>
      <c r="B50">
        <v>72192352</v>
      </c>
      <c r="C50">
        <v>71588129</v>
      </c>
      <c r="D50">
        <v>71771216</v>
      </c>
      <c r="E50">
        <v>1</v>
      </c>
      <c r="F50">
        <v>1</v>
      </c>
      <c r="G50">
        <v>35</v>
      </c>
      <c r="H50">
        <v>2</v>
      </c>
      <c r="I50" t="s">
        <v>437</v>
      </c>
      <c r="J50" t="s">
        <v>438</v>
      </c>
      <c r="K50" t="s">
        <v>439</v>
      </c>
      <c r="L50">
        <v>1368</v>
      </c>
      <c r="N50">
        <v>1011</v>
      </c>
      <c r="O50" t="s">
        <v>381</v>
      </c>
      <c r="P50" t="s">
        <v>381</v>
      </c>
      <c r="Q50">
        <v>1</v>
      </c>
      <c r="X50">
        <v>0.04</v>
      </c>
      <c r="Y50">
        <v>0</v>
      </c>
      <c r="Z50">
        <v>10.56</v>
      </c>
      <c r="AA50">
        <v>0.16</v>
      </c>
      <c r="AB50">
        <v>0</v>
      </c>
      <c r="AC50">
        <v>0</v>
      </c>
      <c r="AD50">
        <v>1</v>
      </c>
      <c r="AE50">
        <v>0</v>
      </c>
      <c r="AF50" t="s">
        <v>3</v>
      </c>
      <c r="AG50">
        <v>0.04</v>
      </c>
      <c r="AH50">
        <v>3</v>
      </c>
      <c r="AI50">
        <v>-1</v>
      </c>
      <c r="AJ50" t="s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ROW(Source!A82)</f>
        <v>82</v>
      </c>
      <c r="B51">
        <v>72192353</v>
      </c>
      <c r="C51">
        <v>71588129</v>
      </c>
      <c r="D51">
        <v>71771654</v>
      </c>
      <c r="E51">
        <v>1</v>
      </c>
      <c r="F51">
        <v>1</v>
      </c>
      <c r="G51">
        <v>35</v>
      </c>
      <c r="H51">
        <v>3</v>
      </c>
      <c r="I51" t="s">
        <v>440</v>
      </c>
      <c r="J51" t="s">
        <v>441</v>
      </c>
      <c r="K51" t="s">
        <v>442</v>
      </c>
      <c r="L51">
        <v>1296</v>
      </c>
      <c r="N51">
        <v>1002</v>
      </c>
      <c r="O51" t="s">
        <v>443</v>
      </c>
      <c r="P51" t="s">
        <v>443</v>
      </c>
      <c r="Q51">
        <v>1</v>
      </c>
      <c r="X51">
        <v>10.3</v>
      </c>
      <c r="Y51">
        <v>105.2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3</v>
      </c>
      <c r="AG51">
        <v>10.3</v>
      </c>
      <c r="AH51">
        <v>3</v>
      </c>
      <c r="AI51">
        <v>-1</v>
      </c>
      <c r="AJ51" t="s">
        <v>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ROW(Source!A83)</f>
        <v>83</v>
      </c>
      <c r="B52">
        <v>72192354</v>
      </c>
      <c r="C52">
        <v>71588178</v>
      </c>
      <c r="D52">
        <v>71757693</v>
      </c>
      <c r="E52">
        <v>35</v>
      </c>
      <c r="F52">
        <v>1</v>
      </c>
      <c r="G52">
        <v>35</v>
      </c>
      <c r="H52">
        <v>1</v>
      </c>
      <c r="I52" t="s">
        <v>375</v>
      </c>
      <c r="J52" t="s">
        <v>3</v>
      </c>
      <c r="K52" t="s">
        <v>376</v>
      </c>
      <c r="L52">
        <v>1191</v>
      </c>
      <c r="N52">
        <v>1013</v>
      </c>
      <c r="O52" t="s">
        <v>377</v>
      </c>
      <c r="P52" t="s">
        <v>377</v>
      </c>
      <c r="Q52">
        <v>1</v>
      </c>
      <c r="X52">
        <v>54.37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1</v>
      </c>
      <c r="AF52" t="s">
        <v>3</v>
      </c>
      <c r="AG52">
        <v>54.37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ROW(Source!A83)</f>
        <v>83</v>
      </c>
      <c r="B53">
        <v>72192355</v>
      </c>
      <c r="C53">
        <v>71588178</v>
      </c>
      <c r="D53">
        <v>71773080</v>
      </c>
      <c r="E53">
        <v>1</v>
      </c>
      <c r="F53">
        <v>1</v>
      </c>
      <c r="G53">
        <v>35</v>
      </c>
      <c r="H53">
        <v>3</v>
      </c>
      <c r="I53" t="s">
        <v>444</v>
      </c>
      <c r="J53" t="s">
        <v>445</v>
      </c>
      <c r="K53" t="s">
        <v>446</v>
      </c>
      <c r="L53">
        <v>1346</v>
      </c>
      <c r="N53">
        <v>1009</v>
      </c>
      <c r="O53" t="s">
        <v>447</v>
      </c>
      <c r="P53" t="s">
        <v>447</v>
      </c>
      <c r="Q53">
        <v>1</v>
      </c>
      <c r="X53">
        <v>0.31</v>
      </c>
      <c r="Y53">
        <v>29.29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3</v>
      </c>
      <c r="AG53">
        <v>0.31</v>
      </c>
      <c r="AH53">
        <v>3</v>
      </c>
      <c r="AI53">
        <v>-1</v>
      </c>
      <c r="AJ53" t="s">
        <v>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ROW(Source!A83)</f>
        <v>83</v>
      </c>
      <c r="B54">
        <v>72192356</v>
      </c>
      <c r="C54">
        <v>71588178</v>
      </c>
      <c r="D54">
        <v>71773291</v>
      </c>
      <c r="E54">
        <v>1</v>
      </c>
      <c r="F54">
        <v>1</v>
      </c>
      <c r="G54">
        <v>35</v>
      </c>
      <c r="H54">
        <v>3</v>
      </c>
      <c r="I54" t="s">
        <v>419</v>
      </c>
      <c r="J54" t="s">
        <v>420</v>
      </c>
      <c r="K54" t="s">
        <v>421</v>
      </c>
      <c r="L54">
        <v>1339</v>
      </c>
      <c r="N54">
        <v>1007</v>
      </c>
      <c r="O54" t="s">
        <v>394</v>
      </c>
      <c r="P54" t="s">
        <v>394</v>
      </c>
      <c r="Q54">
        <v>1</v>
      </c>
      <c r="X54">
        <v>6.0000000000000001E-3</v>
      </c>
      <c r="Y54">
        <v>42.44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3</v>
      </c>
      <c r="AG54">
        <v>6.0000000000000001E-3</v>
      </c>
      <c r="AH54">
        <v>3</v>
      </c>
      <c r="AI54">
        <v>-1</v>
      </c>
      <c r="AJ54" t="s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ROW(Source!A83)</f>
        <v>83</v>
      </c>
      <c r="B55">
        <v>72192357</v>
      </c>
      <c r="C55">
        <v>71588178</v>
      </c>
      <c r="D55">
        <v>71773642</v>
      </c>
      <c r="E55">
        <v>1</v>
      </c>
      <c r="F55">
        <v>1</v>
      </c>
      <c r="G55">
        <v>35</v>
      </c>
      <c r="H55">
        <v>3</v>
      </c>
      <c r="I55" t="s">
        <v>448</v>
      </c>
      <c r="J55" t="s">
        <v>449</v>
      </c>
      <c r="K55" t="s">
        <v>450</v>
      </c>
      <c r="L55">
        <v>1327</v>
      </c>
      <c r="N55">
        <v>1005</v>
      </c>
      <c r="O55" t="s">
        <v>28</v>
      </c>
      <c r="P55" t="s">
        <v>28</v>
      </c>
      <c r="Q55">
        <v>1</v>
      </c>
      <c r="X55">
        <v>0.8</v>
      </c>
      <c r="Y55">
        <v>459.29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3</v>
      </c>
      <c r="AG55">
        <v>0.8</v>
      </c>
      <c r="AH55">
        <v>3</v>
      </c>
      <c r="AI55">
        <v>-1</v>
      </c>
      <c r="AJ55" t="s">
        <v>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ROW(Source!A83)</f>
        <v>83</v>
      </c>
      <c r="B56">
        <v>72192358</v>
      </c>
      <c r="C56">
        <v>71588178</v>
      </c>
      <c r="D56">
        <v>71773658</v>
      </c>
      <c r="E56">
        <v>1</v>
      </c>
      <c r="F56">
        <v>1</v>
      </c>
      <c r="G56">
        <v>35</v>
      </c>
      <c r="H56">
        <v>3</v>
      </c>
      <c r="I56" t="s">
        <v>451</v>
      </c>
      <c r="J56" t="s">
        <v>452</v>
      </c>
      <c r="K56" t="s">
        <v>453</v>
      </c>
      <c r="L56">
        <v>1348</v>
      </c>
      <c r="N56">
        <v>1009</v>
      </c>
      <c r="O56" t="s">
        <v>38</v>
      </c>
      <c r="P56" t="s">
        <v>38</v>
      </c>
      <c r="Q56">
        <v>1000</v>
      </c>
      <c r="X56">
        <v>5.5E-2</v>
      </c>
      <c r="Y56">
        <v>91730.92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 t="s">
        <v>3</v>
      </c>
      <c r="AG56">
        <v>5.5E-2</v>
      </c>
      <c r="AH56">
        <v>3</v>
      </c>
      <c r="AI56">
        <v>-1</v>
      </c>
      <c r="AJ56" t="s">
        <v>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ROW(Source!A83)</f>
        <v>83</v>
      </c>
      <c r="B57">
        <v>72192359</v>
      </c>
      <c r="C57">
        <v>71588178</v>
      </c>
      <c r="D57">
        <v>71771857</v>
      </c>
      <c r="E57">
        <v>1</v>
      </c>
      <c r="F57">
        <v>1</v>
      </c>
      <c r="G57">
        <v>35</v>
      </c>
      <c r="H57">
        <v>3</v>
      </c>
      <c r="I57" t="s">
        <v>454</v>
      </c>
      <c r="J57" t="s">
        <v>455</v>
      </c>
      <c r="K57" t="s">
        <v>456</v>
      </c>
      <c r="L57">
        <v>1346</v>
      </c>
      <c r="N57">
        <v>1009</v>
      </c>
      <c r="O57" t="s">
        <v>447</v>
      </c>
      <c r="P57" t="s">
        <v>447</v>
      </c>
      <c r="Q57">
        <v>1</v>
      </c>
      <c r="X57">
        <v>26.6</v>
      </c>
      <c r="Y57">
        <v>159.59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3</v>
      </c>
      <c r="AG57">
        <v>26.6</v>
      </c>
      <c r="AH57">
        <v>3</v>
      </c>
      <c r="AI57">
        <v>-1</v>
      </c>
      <c r="AJ57" t="s">
        <v>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ROW(Source!A83)</f>
        <v>83</v>
      </c>
      <c r="B58">
        <v>72192360</v>
      </c>
      <c r="C58">
        <v>71588178</v>
      </c>
      <c r="D58">
        <v>71771859</v>
      </c>
      <c r="E58">
        <v>1</v>
      </c>
      <c r="F58">
        <v>1</v>
      </c>
      <c r="G58">
        <v>35</v>
      </c>
      <c r="H58">
        <v>3</v>
      </c>
      <c r="I58" t="s">
        <v>457</v>
      </c>
      <c r="J58" t="s">
        <v>458</v>
      </c>
      <c r="K58" t="s">
        <v>459</v>
      </c>
      <c r="L58">
        <v>1346</v>
      </c>
      <c r="N58">
        <v>1009</v>
      </c>
      <c r="O58" t="s">
        <v>447</v>
      </c>
      <c r="P58" t="s">
        <v>447</v>
      </c>
      <c r="Q58">
        <v>1</v>
      </c>
      <c r="X58">
        <v>11.4</v>
      </c>
      <c r="Y58">
        <v>87.7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3</v>
      </c>
      <c r="AG58">
        <v>11.4</v>
      </c>
      <c r="AH58">
        <v>3</v>
      </c>
      <c r="AI58">
        <v>-1</v>
      </c>
      <c r="AJ58" t="s">
        <v>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ROW(Source!A84)</f>
        <v>84</v>
      </c>
      <c r="B59">
        <v>72192361</v>
      </c>
      <c r="C59">
        <v>71588193</v>
      </c>
      <c r="D59">
        <v>71757693</v>
      </c>
      <c r="E59">
        <v>35</v>
      </c>
      <c r="F59">
        <v>1</v>
      </c>
      <c r="G59">
        <v>35</v>
      </c>
      <c r="H59">
        <v>1</v>
      </c>
      <c r="I59" t="s">
        <v>375</v>
      </c>
      <c r="J59" t="s">
        <v>3</v>
      </c>
      <c r="K59" t="s">
        <v>376</v>
      </c>
      <c r="L59">
        <v>1191</v>
      </c>
      <c r="N59">
        <v>1013</v>
      </c>
      <c r="O59" t="s">
        <v>377</v>
      </c>
      <c r="P59" t="s">
        <v>377</v>
      </c>
      <c r="Q59">
        <v>1</v>
      </c>
      <c r="X59">
        <v>16.91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 t="s">
        <v>3</v>
      </c>
      <c r="AG59">
        <v>16.91</v>
      </c>
      <c r="AH59">
        <v>3</v>
      </c>
      <c r="AI59">
        <v>-1</v>
      </c>
      <c r="AJ59" t="s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ROW(Source!A84)</f>
        <v>84</v>
      </c>
      <c r="B60">
        <v>72192362</v>
      </c>
      <c r="C60">
        <v>71588193</v>
      </c>
      <c r="D60">
        <v>71770747</v>
      </c>
      <c r="E60">
        <v>1</v>
      </c>
      <c r="F60">
        <v>1</v>
      </c>
      <c r="G60">
        <v>35</v>
      </c>
      <c r="H60">
        <v>2</v>
      </c>
      <c r="I60" t="s">
        <v>463</v>
      </c>
      <c r="J60" t="s">
        <v>464</v>
      </c>
      <c r="K60" t="s">
        <v>465</v>
      </c>
      <c r="L60">
        <v>1368</v>
      </c>
      <c r="N60">
        <v>1011</v>
      </c>
      <c r="O60" t="s">
        <v>381</v>
      </c>
      <c r="P60" t="s">
        <v>381</v>
      </c>
      <c r="Q60">
        <v>1</v>
      </c>
      <c r="X60">
        <v>6.24</v>
      </c>
      <c r="Y60">
        <v>0</v>
      </c>
      <c r="Z60">
        <v>50.66</v>
      </c>
      <c r="AA60">
        <v>0.2</v>
      </c>
      <c r="AB60">
        <v>0</v>
      </c>
      <c r="AC60">
        <v>0</v>
      </c>
      <c r="AD60">
        <v>1</v>
      </c>
      <c r="AE60">
        <v>0</v>
      </c>
      <c r="AF60" t="s">
        <v>3</v>
      </c>
      <c r="AG60">
        <v>6.24</v>
      </c>
      <c r="AH60">
        <v>3</v>
      </c>
      <c r="AI60">
        <v>-1</v>
      </c>
      <c r="AJ60" t="s">
        <v>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ROW(Source!A84)</f>
        <v>84</v>
      </c>
      <c r="B61">
        <v>72192363</v>
      </c>
      <c r="C61">
        <v>71588193</v>
      </c>
      <c r="D61">
        <v>71771226</v>
      </c>
      <c r="E61">
        <v>1</v>
      </c>
      <c r="F61">
        <v>1</v>
      </c>
      <c r="G61">
        <v>35</v>
      </c>
      <c r="H61">
        <v>2</v>
      </c>
      <c r="I61" t="s">
        <v>466</v>
      </c>
      <c r="J61" t="s">
        <v>467</v>
      </c>
      <c r="K61" t="s">
        <v>468</v>
      </c>
      <c r="L61">
        <v>1368</v>
      </c>
      <c r="N61">
        <v>1011</v>
      </c>
      <c r="O61" t="s">
        <v>381</v>
      </c>
      <c r="P61" t="s">
        <v>381</v>
      </c>
      <c r="Q61">
        <v>1</v>
      </c>
      <c r="X61">
        <v>6.24</v>
      </c>
      <c r="Y61">
        <v>0</v>
      </c>
      <c r="Z61">
        <v>8.8000000000000007</v>
      </c>
      <c r="AA61">
        <v>1.22</v>
      </c>
      <c r="AB61">
        <v>0</v>
      </c>
      <c r="AC61">
        <v>0</v>
      </c>
      <c r="AD61">
        <v>1</v>
      </c>
      <c r="AE61">
        <v>0</v>
      </c>
      <c r="AF61" t="s">
        <v>3</v>
      </c>
      <c r="AG61">
        <v>6.24</v>
      </c>
      <c r="AH61">
        <v>3</v>
      </c>
      <c r="AI61">
        <v>-1</v>
      </c>
      <c r="AJ61" t="s">
        <v>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ROW(Source!A84)</f>
        <v>84</v>
      </c>
      <c r="B62">
        <v>72192364</v>
      </c>
      <c r="C62">
        <v>71588193</v>
      </c>
      <c r="D62">
        <v>71771187</v>
      </c>
      <c r="E62">
        <v>1</v>
      </c>
      <c r="F62">
        <v>1</v>
      </c>
      <c r="G62">
        <v>35</v>
      </c>
      <c r="H62">
        <v>2</v>
      </c>
      <c r="I62" t="s">
        <v>378</v>
      </c>
      <c r="J62" t="s">
        <v>379</v>
      </c>
      <c r="K62" t="s">
        <v>380</v>
      </c>
      <c r="L62">
        <v>1368</v>
      </c>
      <c r="N62">
        <v>1011</v>
      </c>
      <c r="O62" t="s">
        <v>381</v>
      </c>
      <c r="P62" t="s">
        <v>381</v>
      </c>
      <c r="Q62">
        <v>1</v>
      </c>
      <c r="X62">
        <v>1.1299999999999999</v>
      </c>
      <c r="Y62">
        <v>0</v>
      </c>
      <c r="Z62">
        <v>5.27</v>
      </c>
      <c r="AA62">
        <v>0.01</v>
      </c>
      <c r="AB62">
        <v>0</v>
      </c>
      <c r="AC62">
        <v>0</v>
      </c>
      <c r="AD62">
        <v>1</v>
      </c>
      <c r="AE62">
        <v>0</v>
      </c>
      <c r="AF62" t="s">
        <v>3</v>
      </c>
      <c r="AG62">
        <v>1.1299999999999999</v>
      </c>
      <c r="AH62">
        <v>3</v>
      </c>
      <c r="AI62">
        <v>-1</v>
      </c>
      <c r="AJ62" t="s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ROW(Source!A84)</f>
        <v>84</v>
      </c>
      <c r="B63">
        <v>72192365</v>
      </c>
      <c r="C63">
        <v>71588193</v>
      </c>
      <c r="D63">
        <v>71772482</v>
      </c>
      <c r="E63">
        <v>1</v>
      </c>
      <c r="F63">
        <v>1</v>
      </c>
      <c r="G63">
        <v>35</v>
      </c>
      <c r="H63">
        <v>3</v>
      </c>
      <c r="I63" t="s">
        <v>469</v>
      </c>
      <c r="J63" t="s">
        <v>470</v>
      </c>
      <c r="K63" t="s">
        <v>471</v>
      </c>
      <c r="L63">
        <v>1354</v>
      </c>
      <c r="N63">
        <v>1010</v>
      </c>
      <c r="O63" t="s">
        <v>51</v>
      </c>
      <c r="P63" t="s">
        <v>51</v>
      </c>
      <c r="Q63">
        <v>1</v>
      </c>
      <c r="X63">
        <v>252.5</v>
      </c>
      <c r="Y63">
        <v>1.7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3</v>
      </c>
      <c r="AG63">
        <v>252.5</v>
      </c>
      <c r="AH63">
        <v>3</v>
      </c>
      <c r="AI63">
        <v>-1</v>
      </c>
      <c r="AJ63" t="s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ROW(Source!A84)</f>
        <v>84</v>
      </c>
      <c r="B64">
        <v>72192366</v>
      </c>
      <c r="C64">
        <v>71588193</v>
      </c>
      <c r="D64">
        <v>71774134</v>
      </c>
      <c r="E64">
        <v>1</v>
      </c>
      <c r="F64">
        <v>1</v>
      </c>
      <c r="G64">
        <v>35</v>
      </c>
      <c r="H64">
        <v>3</v>
      </c>
      <c r="I64" t="s">
        <v>472</v>
      </c>
      <c r="J64" t="s">
        <v>473</v>
      </c>
      <c r="K64" t="s">
        <v>474</v>
      </c>
      <c r="L64">
        <v>1301</v>
      </c>
      <c r="N64">
        <v>1003</v>
      </c>
      <c r="O64" t="s">
        <v>475</v>
      </c>
      <c r="P64" t="s">
        <v>475</v>
      </c>
      <c r="Q64">
        <v>1</v>
      </c>
      <c r="X64">
        <v>101</v>
      </c>
      <c r="Y64">
        <v>48.86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3</v>
      </c>
      <c r="AG64">
        <v>101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ROW(Source!A84)</f>
        <v>84</v>
      </c>
      <c r="B65">
        <v>72192367</v>
      </c>
      <c r="C65">
        <v>71588193</v>
      </c>
      <c r="D65">
        <v>71774135</v>
      </c>
      <c r="E65">
        <v>1</v>
      </c>
      <c r="F65">
        <v>1</v>
      </c>
      <c r="G65">
        <v>35</v>
      </c>
      <c r="H65">
        <v>3</v>
      </c>
      <c r="I65" t="s">
        <v>476</v>
      </c>
      <c r="J65" t="s">
        <v>477</v>
      </c>
      <c r="K65" t="s">
        <v>478</v>
      </c>
      <c r="L65">
        <v>1354</v>
      </c>
      <c r="N65">
        <v>1010</v>
      </c>
      <c r="O65" t="s">
        <v>51</v>
      </c>
      <c r="P65" t="s">
        <v>51</v>
      </c>
      <c r="Q65">
        <v>1</v>
      </c>
      <c r="X65">
        <v>8</v>
      </c>
      <c r="Y65">
        <v>28.91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 t="s">
        <v>3</v>
      </c>
      <c r="AG65">
        <v>8</v>
      </c>
      <c r="AH65">
        <v>3</v>
      </c>
      <c r="AI65">
        <v>-1</v>
      </c>
      <c r="AJ65" t="s">
        <v>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ROW(Source!A84)</f>
        <v>84</v>
      </c>
      <c r="B66">
        <v>72192368</v>
      </c>
      <c r="C66">
        <v>71588193</v>
      </c>
      <c r="D66">
        <v>71774136</v>
      </c>
      <c r="E66">
        <v>1</v>
      </c>
      <c r="F66">
        <v>1</v>
      </c>
      <c r="G66">
        <v>35</v>
      </c>
      <c r="H66">
        <v>3</v>
      </c>
      <c r="I66" t="s">
        <v>479</v>
      </c>
      <c r="J66" t="s">
        <v>480</v>
      </c>
      <c r="K66" t="s">
        <v>481</v>
      </c>
      <c r="L66">
        <v>1354</v>
      </c>
      <c r="N66">
        <v>1010</v>
      </c>
      <c r="O66" t="s">
        <v>51</v>
      </c>
      <c r="P66" t="s">
        <v>51</v>
      </c>
      <c r="Q66">
        <v>1</v>
      </c>
      <c r="X66">
        <v>2</v>
      </c>
      <c r="Y66">
        <v>21.26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3</v>
      </c>
      <c r="AG66">
        <v>2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ROW(Source!A84)</f>
        <v>84</v>
      </c>
      <c r="B67">
        <v>72192369</v>
      </c>
      <c r="C67">
        <v>71588193</v>
      </c>
      <c r="D67">
        <v>71774137</v>
      </c>
      <c r="E67">
        <v>1</v>
      </c>
      <c r="F67">
        <v>1</v>
      </c>
      <c r="G67">
        <v>35</v>
      </c>
      <c r="H67">
        <v>3</v>
      </c>
      <c r="I67" t="s">
        <v>482</v>
      </c>
      <c r="J67" t="s">
        <v>483</v>
      </c>
      <c r="K67" t="s">
        <v>484</v>
      </c>
      <c r="L67">
        <v>1354</v>
      </c>
      <c r="N67">
        <v>1010</v>
      </c>
      <c r="O67" t="s">
        <v>51</v>
      </c>
      <c r="P67" t="s">
        <v>51</v>
      </c>
      <c r="Q67">
        <v>1</v>
      </c>
      <c r="X67">
        <v>8</v>
      </c>
      <c r="Y67">
        <v>17.02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3</v>
      </c>
      <c r="AG67">
        <v>8</v>
      </c>
      <c r="AH67">
        <v>3</v>
      </c>
      <c r="AI67">
        <v>-1</v>
      </c>
      <c r="AJ67" t="s">
        <v>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ROW(Source!A84)</f>
        <v>84</v>
      </c>
      <c r="B68">
        <v>72192370</v>
      </c>
      <c r="C68">
        <v>71588193</v>
      </c>
      <c r="D68">
        <v>71774138</v>
      </c>
      <c r="E68">
        <v>1</v>
      </c>
      <c r="F68">
        <v>1</v>
      </c>
      <c r="G68">
        <v>35</v>
      </c>
      <c r="H68">
        <v>3</v>
      </c>
      <c r="I68" t="s">
        <v>485</v>
      </c>
      <c r="J68" t="s">
        <v>486</v>
      </c>
      <c r="K68" t="s">
        <v>487</v>
      </c>
      <c r="L68">
        <v>1354</v>
      </c>
      <c r="N68">
        <v>1010</v>
      </c>
      <c r="O68" t="s">
        <v>51</v>
      </c>
      <c r="P68" t="s">
        <v>51</v>
      </c>
      <c r="Q68">
        <v>1</v>
      </c>
      <c r="X68">
        <v>4</v>
      </c>
      <c r="Y68">
        <v>17.02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3</v>
      </c>
      <c r="AG68">
        <v>4</v>
      </c>
      <c r="AH68">
        <v>3</v>
      </c>
      <c r="AI68">
        <v>-1</v>
      </c>
      <c r="AJ68" t="s">
        <v>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ROW(Source!A85)</f>
        <v>85</v>
      </c>
      <c r="B69">
        <v>72192371</v>
      </c>
      <c r="C69">
        <v>71588224</v>
      </c>
      <c r="D69">
        <v>71757693</v>
      </c>
      <c r="E69">
        <v>35</v>
      </c>
      <c r="F69">
        <v>1</v>
      </c>
      <c r="G69">
        <v>35</v>
      </c>
      <c r="H69">
        <v>1</v>
      </c>
      <c r="I69" t="s">
        <v>375</v>
      </c>
      <c r="J69" t="s">
        <v>3</v>
      </c>
      <c r="K69" t="s">
        <v>376</v>
      </c>
      <c r="L69">
        <v>1191</v>
      </c>
      <c r="N69">
        <v>1013</v>
      </c>
      <c r="O69" t="s">
        <v>377</v>
      </c>
      <c r="P69" t="s">
        <v>377</v>
      </c>
      <c r="Q69">
        <v>1</v>
      </c>
      <c r="X69">
        <v>77.86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 t="s">
        <v>3</v>
      </c>
      <c r="AG69">
        <v>77.86</v>
      </c>
      <c r="AH69">
        <v>3</v>
      </c>
      <c r="AI69">
        <v>-1</v>
      </c>
      <c r="AJ69" t="s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ROW(Source!A85)</f>
        <v>85</v>
      </c>
      <c r="B70">
        <v>72192372</v>
      </c>
      <c r="C70">
        <v>71588224</v>
      </c>
      <c r="D70">
        <v>71772330</v>
      </c>
      <c r="E70">
        <v>1</v>
      </c>
      <c r="F70">
        <v>1</v>
      </c>
      <c r="G70">
        <v>35</v>
      </c>
      <c r="H70">
        <v>3</v>
      </c>
      <c r="I70" t="s">
        <v>488</v>
      </c>
      <c r="J70" t="s">
        <v>489</v>
      </c>
      <c r="K70" t="s">
        <v>490</v>
      </c>
      <c r="L70">
        <v>1348</v>
      </c>
      <c r="N70">
        <v>1009</v>
      </c>
      <c r="O70" t="s">
        <v>38</v>
      </c>
      <c r="P70" t="s">
        <v>38</v>
      </c>
      <c r="Q70">
        <v>1000</v>
      </c>
      <c r="X70">
        <v>1.2E-2</v>
      </c>
      <c r="Y70">
        <v>81885.100000000006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3</v>
      </c>
      <c r="AG70">
        <v>1.2E-2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ROW(Source!A85)</f>
        <v>85</v>
      </c>
      <c r="B71">
        <v>72192373</v>
      </c>
      <c r="C71">
        <v>71588224</v>
      </c>
      <c r="D71">
        <v>71772368</v>
      </c>
      <c r="E71">
        <v>1</v>
      </c>
      <c r="F71">
        <v>1</v>
      </c>
      <c r="G71">
        <v>35</v>
      </c>
      <c r="H71">
        <v>3</v>
      </c>
      <c r="I71" t="s">
        <v>491</v>
      </c>
      <c r="J71" t="s">
        <v>492</v>
      </c>
      <c r="K71" t="s">
        <v>493</v>
      </c>
      <c r="L71">
        <v>1348</v>
      </c>
      <c r="N71">
        <v>1009</v>
      </c>
      <c r="O71" t="s">
        <v>38</v>
      </c>
      <c r="P71" t="s">
        <v>38</v>
      </c>
      <c r="Q71">
        <v>1000</v>
      </c>
      <c r="X71">
        <v>3.5000000000000003E-2</v>
      </c>
      <c r="Y71">
        <v>84851.61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3</v>
      </c>
      <c r="AG71">
        <v>3.5000000000000003E-2</v>
      </c>
      <c r="AH71">
        <v>3</v>
      </c>
      <c r="AI71">
        <v>-1</v>
      </c>
      <c r="AJ71" t="s">
        <v>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ROW(Source!A85)</f>
        <v>85</v>
      </c>
      <c r="B72">
        <v>72192374</v>
      </c>
      <c r="C72">
        <v>71588224</v>
      </c>
      <c r="D72">
        <v>71776618</v>
      </c>
      <c r="E72">
        <v>1</v>
      </c>
      <c r="F72">
        <v>1</v>
      </c>
      <c r="G72">
        <v>35</v>
      </c>
      <c r="H72">
        <v>3</v>
      </c>
      <c r="I72" t="s">
        <v>494</v>
      </c>
      <c r="J72" t="s">
        <v>495</v>
      </c>
      <c r="K72" t="s">
        <v>496</v>
      </c>
      <c r="L72">
        <v>1301</v>
      </c>
      <c r="N72">
        <v>1003</v>
      </c>
      <c r="O72" t="s">
        <v>475</v>
      </c>
      <c r="P72" t="s">
        <v>475</v>
      </c>
      <c r="Q72">
        <v>1</v>
      </c>
      <c r="X72">
        <v>400</v>
      </c>
      <c r="Y72">
        <v>20.59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3</v>
      </c>
      <c r="AG72">
        <v>400</v>
      </c>
      <c r="AH72">
        <v>3</v>
      </c>
      <c r="AI72">
        <v>-1</v>
      </c>
      <c r="AJ72" t="s">
        <v>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ROW(Source!A122)</f>
        <v>122</v>
      </c>
      <c r="B73">
        <v>72192375</v>
      </c>
      <c r="C73">
        <v>71588290</v>
      </c>
      <c r="D73">
        <v>71757693</v>
      </c>
      <c r="E73">
        <v>35</v>
      </c>
      <c r="F73">
        <v>1</v>
      </c>
      <c r="G73">
        <v>35</v>
      </c>
      <c r="H73">
        <v>1</v>
      </c>
      <c r="I73" t="s">
        <v>375</v>
      </c>
      <c r="J73" t="s">
        <v>3</v>
      </c>
      <c r="K73" t="s">
        <v>376</v>
      </c>
      <c r="L73">
        <v>1191</v>
      </c>
      <c r="N73">
        <v>1013</v>
      </c>
      <c r="O73" t="s">
        <v>377</v>
      </c>
      <c r="P73" t="s">
        <v>377</v>
      </c>
      <c r="Q73">
        <v>1</v>
      </c>
      <c r="X73">
        <v>67.959999999999994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 t="s">
        <v>3</v>
      </c>
      <c r="AG73">
        <v>67.959999999999994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ROW(Source!A122)</f>
        <v>122</v>
      </c>
      <c r="B74">
        <v>72192376</v>
      </c>
      <c r="C74">
        <v>71588290</v>
      </c>
      <c r="D74">
        <v>71771225</v>
      </c>
      <c r="E74">
        <v>1</v>
      </c>
      <c r="F74">
        <v>1</v>
      </c>
      <c r="G74">
        <v>35</v>
      </c>
      <c r="H74">
        <v>2</v>
      </c>
      <c r="I74" t="s">
        <v>497</v>
      </c>
      <c r="J74" t="s">
        <v>498</v>
      </c>
      <c r="K74" t="s">
        <v>499</v>
      </c>
      <c r="L74">
        <v>1368</v>
      </c>
      <c r="N74">
        <v>1011</v>
      </c>
      <c r="O74" t="s">
        <v>381</v>
      </c>
      <c r="P74" t="s">
        <v>381</v>
      </c>
      <c r="Q74">
        <v>1</v>
      </c>
      <c r="X74">
        <v>0.26</v>
      </c>
      <c r="Y74">
        <v>0</v>
      </c>
      <c r="Z74">
        <v>8.07</v>
      </c>
      <c r="AA74">
        <v>1.22</v>
      </c>
      <c r="AB74">
        <v>0</v>
      </c>
      <c r="AC74">
        <v>0</v>
      </c>
      <c r="AD74">
        <v>1</v>
      </c>
      <c r="AE74">
        <v>0</v>
      </c>
      <c r="AF74" t="s">
        <v>3</v>
      </c>
      <c r="AG74">
        <v>0.26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ROW(Source!A122)</f>
        <v>122</v>
      </c>
      <c r="B75">
        <v>72192377</v>
      </c>
      <c r="C75">
        <v>71588290</v>
      </c>
      <c r="D75">
        <v>71772401</v>
      </c>
      <c r="E75">
        <v>1</v>
      </c>
      <c r="F75">
        <v>1</v>
      </c>
      <c r="G75">
        <v>35</v>
      </c>
      <c r="H75">
        <v>3</v>
      </c>
      <c r="I75" t="s">
        <v>500</v>
      </c>
      <c r="J75" t="s">
        <v>501</v>
      </c>
      <c r="K75" t="s">
        <v>502</v>
      </c>
      <c r="L75">
        <v>1348</v>
      </c>
      <c r="N75">
        <v>1009</v>
      </c>
      <c r="O75" t="s">
        <v>38</v>
      </c>
      <c r="P75" t="s">
        <v>38</v>
      </c>
      <c r="Q75">
        <v>1000</v>
      </c>
      <c r="X75">
        <v>4.4999999999999997E-3</v>
      </c>
      <c r="Y75">
        <v>250191.91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 t="s">
        <v>3</v>
      </c>
      <c r="AG75">
        <v>4.4999999999999997E-3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ROW(Source!A122)</f>
        <v>122</v>
      </c>
      <c r="B76">
        <v>72192378</v>
      </c>
      <c r="C76">
        <v>71588290</v>
      </c>
      <c r="D76">
        <v>71772462</v>
      </c>
      <c r="E76">
        <v>1</v>
      </c>
      <c r="F76">
        <v>1</v>
      </c>
      <c r="G76">
        <v>35</v>
      </c>
      <c r="H76">
        <v>3</v>
      </c>
      <c r="I76" t="s">
        <v>503</v>
      </c>
      <c r="J76" t="s">
        <v>504</v>
      </c>
      <c r="K76" t="s">
        <v>505</v>
      </c>
      <c r="L76">
        <v>1355</v>
      </c>
      <c r="N76">
        <v>1010</v>
      </c>
      <c r="O76" t="s">
        <v>33</v>
      </c>
      <c r="P76" t="s">
        <v>33</v>
      </c>
      <c r="Q76">
        <v>100</v>
      </c>
      <c r="X76">
        <v>0.89</v>
      </c>
      <c r="Y76">
        <v>36.36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3</v>
      </c>
      <c r="AG76">
        <v>0.89</v>
      </c>
      <c r="AH76">
        <v>3</v>
      </c>
      <c r="AI76">
        <v>-1</v>
      </c>
      <c r="AJ76" t="s">
        <v>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ROW(Source!A122)</f>
        <v>122</v>
      </c>
      <c r="B77">
        <v>72192379</v>
      </c>
      <c r="C77">
        <v>71588290</v>
      </c>
      <c r="D77">
        <v>71778223</v>
      </c>
      <c r="E77">
        <v>1</v>
      </c>
      <c r="F77">
        <v>1</v>
      </c>
      <c r="G77">
        <v>35</v>
      </c>
      <c r="H77">
        <v>3</v>
      </c>
      <c r="I77" t="s">
        <v>171</v>
      </c>
      <c r="J77" t="s">
        <v>174</v>
      </c>
      <c r="K77" t="s">
        <v>172</v>
      </c>
      <c r="L77">
        <v>1035</v>
      </c>
      <c r="N77">
        <v>1013</v>
      </c>
      <c r="O77" t="s">
        <v>173</v>
      </c>
      <c r="P77" t="s">
        <v>173</v>
      </c>
      <c r="Q77">
        <v>1</v>
      </c>
      <c r="X77">
        <v>44.2</v>
      </c>
      <c r="Y77">
        <v>131.81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 t="s">
        <v>3</v>
      </c>
      <c r="AG77">
        <v>44.2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ROW(Source!A122)</f>
        <v>122</v>
      </c>
      <c r="B78">
        <v>72192380</v>
      </c>
      <c r="C78">
        <v>71588290</v>
      </c>
      <c r="D78">
        <v>71779281</v>
      </c>
      <c r="E78">
        <v>1</v>
      </c>
      <c r="F78">
        <v>1</v>
      </c>
      <c r="G78">
        <v>35</v>
      </c>
      <c r="H78">
        <v>3</v>
      </c>
      <c r="I78" t="s">
        <v>165</v>
      </c>
      <c r="J78" t="s">
        <v>167</v>
      </c>
      <c r="K78" t="s">
        <v>166</v>
      </c>
      <c r="L78">
        <v>1354</v>
      </c>
      <c r="N78">
        <v>1010</v>
      </c>
      <c r="O78" t="s">
        <v>51</v>
      </c>
      <c r="P78" t="s">
        <v>51</v>
      </c>
      <c r="Q78">
        <v>1</v>
      </c>
      <c r="X78">
        <v>99.01</v>
      </c>
      <c r="Y78">
        <v>7758.26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3</v>
      </c>
      <c r="AG78">
        <v>99.01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ROW(Source!A127)</f>
        <v>127</v>
      </c>
      <c r="B79">
        <v>72192381</v>
      </c>
      <c r="C79">
        <v>71588306</v>
      </c>
      <c r="D79">
        <v>71757693</v>
      </c>
      <c r="E79">
        <v>35</v>
      </c>
      <c r="F79">
        <v>1</v>
      </c>
      <c r="G79">
        <v>35</v>
      </c>
      <c r="H79">
        <v>1</v>
      </c>
      <c r="I79" t="s">
        <v>375</v>
      </c>
      <c r="J79" t="s">
        <v>3</v>
      </c>
      <c r="K79" t="s">
        <v>376</v>
      </c>
      <c r="L79">
        <v>1191</v>
      </c>
      <c r="N79">
        <v>1013</v>
      </c>
      <c r="O79" t="s">
        <v>377</v>
      </c>
      <c r="P79" t="s">
        <v>377</v>
      </c>
      <c r="Q79">
        <v>1</v>
      </c>
      <c r="X79">
        <v>86.53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1</v>
      </c>
      <c r="AF79" t="s">
        <v>3</v>
      </c>
      <c r="AG79">
        <v>86.53</v>
      </c>
      <c r="AH79">
        <v>3</v>
      </c>
      <c r="AI79">
        <v>-1</v>
      </c>
      <c r="AJ79" t="s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ROW(Source!A127)</f>
        <v>127</v>
      </c>
      <c r="B80">
        <v>72192382</v>
      </c>
      <c r="C80">
        <v>71588306</v>
      </c>
      <c r="D80">
        <v>71771160</v>
      </c>
      <c r="E80">
        <v>1</v>
      </c>
      <c r="F80">
        <v>1</v>
      </c>
      <c r="G80">
        <v>35</v>
      </c>
      <c r="H80">
        <v>2</v>
      </c>
      <c r="I80" t="s">
        <v>506</v>
      </c>
      <c r="J80" t="s">
        <v>507</v>
      </c>
      <c r="K80" t="s">
        <v>508</v>
      </c>
      <c r="L80">
        <v>1368</v>
      </c>
      <c r="N80">
        <v>1011</v>
      </c>
      <c r="O80" t="s">
        <v>381</v>
      </c>
      <c r="P80" t="s">
        <v>381</v>
      </c>
      <c r="Q80">
        <v>1</v>
      </c>
      <c r="X80">
        <v>10</v>
      </c>
      <c r="Y80">
        <v>0</v>
      </c>
      <c r="Z80">
        <v>4.84</v>
      </c>
      <c r="AA80">
        <v>0.01</v>
      </c>
      <c r="AB80">
        <v>0</v>
      </c>
      <c r="AC80">
        <v>0</v>
      </c>
      <c r="AD80">
        <v>1</v>
      </c>
      <c r="AE80">
        <v>0</v>
      </c>
      <c r="AF80" t="s">
        <v>3</v>
      </c>
      <c r="AG80">
        <v>10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ROW(Source!A127)</f>
        <v>127</v>
      </c>
      <c r="B81">
        <v>72192383</v>
      </c>
      <c r="C81">
        <v>71588306</v>
      </c>
      <c r="D81">
        <v>71773894</v>
      </c>
      <c r="E81">
        <v>1</v>
      </c>
      <c r="F81">
        <v>1</v>
      </c>
      <c r="G81">
        <v>35</v>
      </c>
      <c r="H81">
        <v>3</v>
      </c>
      <c r="I81" t="s">
        <v>509</v>
      </c>
      <c r="J81" t="s">
        <v>510</v>
      </c>
      <c r="K81" t="s">
        <v>511</v>
      </c>
      <c r="L81">
        <v>1346</v>
      </c>
      <c r="N81">
        <v>1009</v>
      </c>
      <c r="O81" t="s">
        <v>447</v>
      </c>
      <c r="P81" t="s">
        <v>447</v>
      </c>
      <c r="Q81">
        <v>1</v>
      </c>
      <c r="X81">
        <v>0.3</v>
      </c>
      <c r="Y81">
        <v>1525.51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3</v>
      </c>
      <c r="AG81">
        <v>0.3</v>
      </c>
      <c r="AH81">
        <v>3</v>
      </c>
      <c r="AI81">
        <v>-1</v>
      </c>
      <c r="AJ81" t="s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ROW(Source!A127)</f>
        <v>127</v>
      </c>
      <c r="B82">
        <v>72192384</v>
      </c>
      <c r="C82">
        <v>71588306</v>
      </c>
      <c r="D82">
        <v>71778507</v>
      </c>
      <c r="E82">
        <v>1</v>
      </c>
      <c r="F82">
        <v>1</v>
      </c>
      <c r="G82">
        <v>35</v>
      </c>
      <c r="H82">
        <v>3</v>
      </c>
      <c r="I82" t="s">
        <v>512</v>
      </c>
      <c r="J82" t="s">
        <v>513</v>
      </c>
      <c r="K82" t="s">
        <v>514</v>
      </c>
      <c r="L82">
        <v>1354</v>
      </c>
      <c r="N82">
        <v>1010</v>
      </c>
      <c r="O82" t="s">
        <v>51</v>
      </c>
      <c r="P82" t="s">
        <v>51</v>
      </c>
      <c r="Q82">
        <v>1</v>
      </c>
      <c r="X82">
        <v>100</v>
      </c>
      <c r="Y82">
        <v>2062.08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 t="s">
        <v>3</v>
      </c>
      <c r="AG82">
        <v>100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ROW(Source!A127)</f>
        <v>127</v>
      </c>
      <c r="B83">
        <v>72192385</v>
      </c>
      <c r="C83">
        <v>71588306</v>
      </c>
      <c r="D83">
        <v>71778701</v>
      </c>
      <c r="E83">
        <v>1</v>
      </c>
      <c r="F83">
        <v>1</v>
      </c>
      <c r="G83">
        <v>35</v>
      </c>
      <c r="H83">
        <v>3</v>
      </c>
      <c r="I83" t="s">
        <v>515</v>
      </c>
      <c r="J83" t="s">
        <v>516</v>
      </c>
      <c r="K83" t="s">
        <v>517</v>
      </c>
      <c r="L83">
        <v>1354</v>
      </c>
      <c r="N83">
        <v>1010</v>
      </c>
      <c r="O83" t="s">
        <v>51</v>
      </c>
      <c r="P83" t="s">
        <v>51</v>
      </c>
      <c r="Q83">
        <v>1</v>
      </c>
      <c r="X83">
        <v>100</v>
      </c>
      <c r="Y83">
        <v>1863.74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3</v>
      </c>
      <c r="AG83">
        <v>100</v>
      </c>
      <c r="AH83">
        <v>3</v>
      </c>
      <c r="AI83">
        <v>-1</v>
      </c>
      <c r="AJ83" t="s">
        <v>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ROW(Source!A128)</f>
        <v>128</v>
      </c>
      <c r="B84">
        <v>72192386</v>
      </c>
      <c r="C84">
        <v>71588317</v>
      </c>
      <c r="D84">
        <v>71757693</v>
      </c>
      <c r="E84">
        <v>35</v>
      </c>
      <c r="F84">
        <v>1</v>
      </c>
      <c r="G84">
        <v>35</v>
      </c>
      <c r="H84">
        <v>1</v>
      </c>
      <c r="I84" t="s">
        <v>375</v>
      </c>
      <c r="J84" t="s">
        <v>3</v>
      </c>
      <c r="K84" t="s">
        <v>376</v>
      </c>
      <c r="L84">
        <v>1191</v>
      </c>
      <c r="N84">
        <v>1013</v>
      </c>
      <c r="O84" t="s">
        <v>377</v>
      </c>
      <c r="P84" t="s">
        <v>377</v>
      </c>
      <c r="Q84">
        <v>1</v>
      </c>
      <c r="X84">
        <v>74.290000000000006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 t="s">
        <v>3</v>
      </c>
      <c r="AG84">
        <v>74.290000000000006</v>
      </c>
      <c r="AH84">
        <v>3</v>
      </c>
      <c r="AI84">
        <v>-1</v>
      </c>
      <c r="AJ84" t="s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ROW(Source!A128)</f>
        <v>128</v>
      </c>
      <c r="B85">
        <v>72192387</v>
      </c>
      <c r="C85">
        <v>71588317</v>
      </c>
      <c r="D85">
        <v>71771690</v>
      </c>
      <c r="E85">
        <v>1</v>
      </c>
      <c r="F85">
        <v>1</v>
      </c>
      <c r="G85">
        <v>35</v>
      </c>
      <c r="H85">
        <v>3</v>
      </c>
      <c r="I85" t="s">
        <v>518</v>
      </c>
      <c r="J85" t="s">
        <v>519</v>
      </c>
      <c r="K85" t="s">
        <v>520</v>
      </c>
      <c r="L85">
        <v>1348</v>
      </c>
      <c r="N85">
        <v>1009</v>
      </c>
      <c r="O85" t="s">
        <v>38</v>
      </c>
      <c r="P85" t="s">
        <v>38</v>
      </c>
      <c r="Q85">
        <v>1000</v>
      </c>
      <c r="X85">
        <v>2.53E-2</v>
      </c>
      <c r="Y85">
        <v>108449.3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3</v>
      </c>
      <c r="AG85">
        <v>2.53E-2</v>
      </c>
      <c r="AH85">
        <v>3</v>
      </c>
      <c r="AI85">
        <v>-1</v>
      </c>
      <c r="AJ85" t="s">
        <v>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ROW(Source!A128)</f>
        <v>128</v>
      </c>
      <c r="B86">
        <v>72192388</v>
      </c>
      <c r="C86">
        <v>71588317</v>
      </c>
      <c r="D86">
        <v>71771731</v>
      </c>
      <c r="E86">
        <v>1</v>
      </c>
      <c r="F86">
        <v>1</v>
      </c>
      <c r="G86">
        <v>35</v>
      </c>
      <c r="H86">
        <v>3</v>
      </c>
      <c r="I86" t="s">
        <v>521</v>
      </c>
      <c r="J86" t="s">
        <v>522</v>
      </c>
      <c r="K86" t="s">
        <v>523</v>
      </c>
      <c r="L86">
        <v>1346</v>
      </c>
      <c r="N86">
        <v>1009</v>
      </c>
      <c r="O86" t="s">
        <v>447</v>
      </c>
      <c r="P86" t="s">
        <v>447</v>
      </c>
      <c r="Q86">
        <v>1</v>
      </c>
      <c r="X86">
        <v>2.7</v>
      </c>
      <c r="Y86">
        <v>99.65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3</v>
      </c>
      <c r="AG86">
        <v>2.7</v>
      </c>
      <c r="AH86">
        <v>3</v>
      </c>
      <c r="AI86">
        <v>-1</v>
      </c>
      <c r="AJ86" t="s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ROW(Source!A129)</f>
        <v>129</v>
      </c>
      <c r="B87">
        <v>72192389</v>
      </c>
      <c r="C87">
        <v>71589232</v>
      </c>
      <c r="D87">
        <v>71757693</v>
      </c>
      <c r="E87">
        <v>35</v>
      </c>
      <c r="F87">
        <v>1</v>
      </c>
      <c r="G87">
        <v>35</v>
      </c>
      <c r="H87">
        <v>1</v>
      </c>
      <c r="I87" t="s">
        <v>375</v>
      </c>
      <c r="J87" t="s">
        <v>3</v>
      </c>
      <c r="K87" t="s">
        <v>376</v>
      </c>
      <c r="L87">
        <v>1191</v>
      </c>
      <c r="N87">
        <v>1013</v>
      </c>
      <c r="O87" t="s">
        <v>377</v>
      </c>
      <c r="P87" t="s">
        <v>377</v>
      </c>
      <c r="Q87">
        <v>1</v>
      </c>
      <c r="X87">
        <v>34.159999999999997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 t="s">
        <v>3</v>
      </c>
      <c r="AG87">
        <v>34.159999999999997</v>
      </c>
      <c r="AH87">
        <v>3</v>
      </c>
      <c r="AI87">
        <v>-1</v>
      </c>
      <c r="AJ87" t="s">
        <v>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ROW(Source!A129)</f>
        <v>129</v>
      </c>
      <c r="B88">
        <v>72192390</v>
      </c>
      <c r="C88">
        <v>71589232</v>
      </c>
      <c r="D88">
        <v>71770715</v>
      </c>
      <c r="E88">
        <v>1</v>
      </c>
      <c r="F88">
        <v>1</v>
      </c>
      <c r="G88">
        <v>35</v>
      </c>
      <c r="H88">
        <v>2</v>
      </c>
      <c r="I88" t="s">
        <v>388</v>
      </c>
      <c r="J88" t="s">
        <v>389</v>
      </c>
      <c r="K88" t="s">
        <v>390</v>
      </c>
      <c r="L88">
        <v>1368</v>
      </c>
      <c r="N88">
        <v>1011</v>
      </c>
      <c r="O88" t="s">
        <v>381</v>
      </c>
      <c r="P88" t="s">
        <v>381</v>
      </c>
      <c r="Q88">
        <v>1</v>
      </c>
      <c r="X88">
        <v>1.24</v>
      </c>
      <c r="Y88">
        <v>0</v>
      </c>
      <c r="Z88">
        <v>6.33</v>
      </c>
      <c r="AA88">
        <v>0.18</v>
      </c>
      <c r="AB88">
        <v>0</v>
      </c>
      <c r="AC88">
        <v>0</v>
      </c>
      <c r="AD88">
        <v>1</v>
      </c>
      <c r="AE88">
        <v>0</v>
      </c>
      <c r="AF88" t="s">
        <v>3</v>
      </c>
      <c r="AG88">
        <v>1.24</v>
      </c>
      <c r="AH88">
        <v>3</v>
      </c>
      <c r="AI88">
        <v>-1</v>
      </c>
      <c r="AJ88" t="s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ROW(Source!A129)</f>
        <v>129</v>
      </c>
      <c r="B89">
        <v>72192391</v>
      </c>
      <c r="C89">
        <v>71589232</v>
      </c>
      <c r="D89">
        <v>71759948</v>
      </c>
      <c r="E89">
        <v>35</v>
      </c>
      <c r="F89">
        <v>1</v>
      </c>
      <c r="G89">
        <v>35</v>
      </c>
      <c r="H89">
        <v>3</v>
      </c>
      <c r="I89" t="s">
        <v>524</v>
      </c>
      <c r="J89" t="s">
        <v>3</v>
      </c>
      <c r="K89" t="s">
        <v>525</v>
      </c>
      <c r="L89">
        <v>1354</v>
      </c>
      <c r="N89">
        <v>1010</v>
      </c>
      <c r="O89" t="s">
        <v>51</v>
      </c>
      <c r="P89" t="s">
        <v>51</v>
      </c>
      <c r="Q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3</v>
      </c>
      <c r="AG89">
        <v>0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ROW(Source!A129)</f>
        <v>129</v>
      </c>
      <c r="B90">
        <v>72192400</v>
      </c>
      <c r="C90">
        <v>71589232</v>
      </c>
      <c r="D90">
        <v>71760361</v>
      </c>
      <c r="E90">
        <v>35</v>
      </c>
      <c r="F90">
        <v>1</v>
      </c>
      <c r="G90">
        <v>35</v>
      </c>
      <c r="H90">
        <v>3</v>
      </c>
      <c r="I90" t="s">
        <v>526</v>
      </c>
      <c r="J90" t="s">
        <v>3</v>
      </c>
      <c r="K90" t="s">
        <v>527</v>
      </c>
      <c r="L90">
        <v>1346</v>
      </c>
      <c r="N90">
        <v>1009</v>
      </c>
      <c r="O90" t="s">
        <v>447</v>
      </c>
      <c r="P90" t="s">
        <v>447</v>
      </c>
      <c r="Q90">
        <v>1</v>
      </c>
      <c r="X90">
        <v>1.6000000000000001E-3</v>
      </c>
      <c r="Y90">
        <v>55.951599999999999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3</v>
      </c>
      <c r="AG90">
        <v>1.6000000000000001E-3</v>
      </c>
      <c r="AH90">
        <v>3</v>
      </c>
      <c r="AI90">
        <v>-1</v>
      </c>
      <c r="AJ90" t="s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ROW(Source!A129)</f>
        <v>129</v>
      </c>
      <c r="B91">
        <v>72192399</v>
      </c>
      <c r="C91">
        <v>71589232</v>
      </c>
      <c r="D91">
        <v>71777124</v>
      </c>
      <c r="E91">
        <v>1</v>
      </c>
      <c r="F91">
        <v>1</v>
      </c>
      <c r="G91">
        <v>35</v>
      </c>
      <c r="H91">
        <v>3</v>
      </c>
      <c r="I91" t="s">
        <v>528</v>
      </c>
      <c r="J91" t="s">
        <v>529</v>
      </c>
      <c r="K91" t="s">
        <v>530</v>
      </c>
      <c r="L91">
        <v>1301</v>
      </c>
      <c r="N91">
        <v>1003</v>
      </c>
      <c r="O91" t="s">
        <v>475</v>
      </c>
      <c r="P91" t="s">
        <v>475</v>
      </c>
      <c r="Q91">
        <v>1</v>
      </c>
      <c r="X91">
        <v>100</v>
      </c>
      <c r="Y91">
        <v>341.05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3</v>
      </c>
      <c r="AG91">
        <v>100</v>
      </c>
      <c r="AH91">
        <v>3</v>
      </c>
      <c r="AI91">
        <v>-1</v>
      </c>
      <c r="AJ91" t="s">
        <v>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ROW(Source!A129)</f>
        <v>129</v>
      </c>
      <c r="B92">
        <v>72192392</v>
      </c>
      <c r="C92">
        <v>71589232</v>
      </c>
      <c r="D92">
        <v>71773168</v>
      </c>
      <c r="E92">
        <v>1</v>
      </c>
      <c r="F92">
        <v>1</v>
      </c>
      <c r="G92">
        <v>35</v>
      </c>
      <c r="H92">
        <v>3</v>
      </c>
      <c r="I92" t="s">
        <v>531</v>
      </c>
      <c r="J92" t="s">
        <v>532</v>
      </c>
      <c r="K92" t="s">
        <v>533</v>
      </c>
      <c r="L92">
        <v>1348</v>
      </c>
      <c r="N92">
        <v>1009</v>
      </c>
      <c r="O92" t="s">
        <v>38</v>
      </c>
      <c r="P92" t="s">
        <v>38</v>
      </c>
      <c r="Q92">
        <v>1000</v>
      </c>
      <c r="X92">
        <v>1.7000000000000001E-4</v>
      </c>
      <c r="Y92">
        <v>143335.38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3</v>
      </c>
      <c r="AG92">
        <v>1.7000000000000001E-4</v>
      </c>
      <c r="AH92">
        <v>3</v>
      </c>
      <c r="AI92">
        <v>-1</v>
      </c>
      <c r="AJ92" t="s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ROW(Source!A129)</f>
        <v>129</v>
      </c>
      <c r="B93">
        <v>72192393</v>
      </c>
      <c r="C93">
        <v>71589232</v>
      </c>
      <c r="D93">
        <v>71773291</v>
      </c>
      <c r="E93">
        <v>1</v>
      </c>
      <c r="F93">
        <v>1</v>
      </c>
      <c r="G93">
        <v>35</v>
      </c>
      <c r="H93">
        <v>3</v>
      </c>
      <c r="I93" t="s">
        <v>419</v>
      </c>
      <c r="J93" t="s">
        <v>420</v>
      </c>
      <c r="K93" t="s">
        <v>421</v>
      </c>
      <c r="L93">
        <v>1339</v>
      </c>
      <c r="N93">
        <v>1007</v>
      </c>
      <c r="O93" t="s">
        <v>394</v>
      </c>
      <c r="P93" t="s">
        <v>394</v>
      </c>
      <c r="Q93">
        <v>1</v>
      </c>
      <c r="X93">
        <v>0.44</v>
      </c>
      <c r="Y93">
        <v>42.44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3</v>
      </c>
      <c r="AG93">
        <v>0.44</v>
      </c>
      <c r="AH93">
        <v>3</v>
      </c>
      <c r="AI93">
        <v>-1</v>
      </c>
      <c r="AJ93" t="s">
        <v>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ROW(Source!A129)</f>
        <v>129</v>
      </c>
      <c r="B94">
        <v>72192394</v>
      </c>
      <c r="C94">
        <v>71589232</v>
      </c>
      <c r="D94">
        <v>71773294</v>
      </c>
      <c r="E94">
        <v>1</v>
      </c>
      <c r="F94">
        <v>1</v>
      </c>
      <c r="G94">
        <v>35</v>
      </c>
      <c r="H94">
        <v>3</v>
      </c>
      <c r="I94" t="s">
        <v>534</v>
      </c>
      <c r="J94" t="s">
        <v>535</v>
      </c>
      <c r="K94" t="s">
        <v>536</v>
      </c>
      <c r="L94">
        <v>1346</v>
      </c>
      <c r="N94">
        <v>1009</v>
      </c>
      <c r="O94" t="s">
        <v>447</v>
      </c>
      <c r="P94" t="s">
        <v>447</v>
      </c>
      <c r="Q94">
        <v>1</v>
      </c>
      <c r="X94">
        <v>0.06</v>
      </c>
      <c r="Y94">
        <v>590.44000000000005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3</v>
      </c>
      <c r="AG94">
        <v>0.06</v>
      </c>
      <c r="AH94">
        <v>3</v>
      </c>
      <c r="AI94">
        <v>-1</v>
      </c>
      <c r="AJ94" t="s">
        <v>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ROW(Source!A129)</f>
        <v>129</v>
      </c>
      <c r="B95">
        <v>72192395</v>
      </c>
      <c r="C95">
        <v>71589232</v>
      </c>
      <c r="D95">
        <v>71771510</v>
      </c>
      <c r="E95">
        <v>1</v>
      </c>
      <c r="F95">
        <v>1</v>
      </c>
      <c r="G95">
        <v>35</v>
      </c>
      <c r="H95">
        <v>3</v>
      </c>
      <c r="I95" t="s">
        <v>391</v>
      </c>
      <c r="J95" t="s">
        <v>392</v>
      </c>
      <c r="K95" t="s">
        <v>393</v>
      </c>
      <c r="L95">
        <v>1339</v>
      </c>
      <c r="N95">
        <v>1007</v>
      </c>
      <c r="O95" t="s">
        <v>394</v>
      </c>
      <c r="P95" t="s">
        <v>394</v>
      </c>
      <c r="Q95">
        <v>1</v>
      </c>
      <c r="X95">
        <v>0.28100000000000003</v>
      </c>
      <c r="Y95">
        <v>79.62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3</v>
      </c>
      <c r="AG95">
        <v>0.28100000000000003</v>
      </c>
      <c r="AH95">
        <v>3</v>
      </c>
      <c r="AI95">
        <v>-1</v>
      </c>
      <c r="AJ95" t="s">
        <v>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ROW(Source!A129)</f>
        <v>129</v>
      </c>
      <c r="B96">
        <v>72192396</v>
      </c>
      <c r="C96">
        <v>71589232</v>
      </c>
      <c r="D96">
        <v>71771502</v>
      </c>
      <c r="E96">
        <v>1</v>
      </c>
      <c r="F96">
        <v>1</v>
      </c>
      <c r="G96">
        <v>35</v>
      </c>
      <c r="H96">
        <v>3</v>
      </c>
      <c r="I96" t="s">
        <v>395</v>
      </c>
      <c r="J96" t="s">
        <v>396</v>
      </c>
      <c r="K96" t="s">
        <v>397</v>
      </c>
      <c r="L96">
        <v>1339</v>
      </c>
      <c r="N96">
        <v>1007</v>
      </c>
      <c r="O96" t="s">
        <v>394</v>
      </c>
      <c r="P96" t="s">
        <v>394</v>
      </c>
      <c r="Q96">
        <v>1</v>
      </c>
      <c r="X96">
        <v>0.13</v>
      </c>
      <c r="Y96">
        <v>715.78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3</v>
      </c>
      <c r="AG96">
        <v>0.13</v>
      </c>
      <c r="AH96">
        <v>3</v>
      </c>
      <c r="AI96">
        <v>-1</v>
      </c>
      <c r="AJ96" t="s">
        <v>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ROW(Source!A129)</f>
        <v>129</v>
      </c>
      <c r="B97">
        <v>72192397</v>
      </c>
      <c r="C97">
        <v>71589232</v>
      </c>
      <c r="D97">
        <v>71771690</v>
      </c>
      <c r="E97">
        <v>1</v>
      </c>
      <c r="F97">
        <v>1</v>
      </c>
      <c r="G97">
        <v>35</v>
      </c>
      <c r="H97">
        <v>3</v>
      </c>
      <c r="I97" t="s">
        <v>518</v>
      </c>
      <c r="J97" t="s">
        <v>519</v>
      </c>
      <c r="K97" t="s">
        <v>520</v>
      </c>
      <c r="L97">
        <v>1348</v>
      </c>
      <c r="N97">
        <v>1009</v>
      </c>
      <c r="O97" t="s">
        <v>38</v>
      </c>
      <c r="P97" t="s">
        <v>38</v>
      </c>
      <c r="Q97">
        <v>1000</v>
      </c>
      <c r="X97">
        <v>4.4000000000000002E-4</v>
      </c>
      <c r="Y97">
        <v>108449.3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3</v>
      </c>
      <c r="AG97">
        <v>4.4000000000000002E-4</v>
      </c>
      <c r="AH97">
        <v>3</v>
      </c>
      <c r="AI97">
        <v>-1</v>
      </c>
      <c r="AJ97" t="s">
        <v>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ROW(Source!A129)</f>
        <v>129</v>
      </c>
      <c r="B98">
        <v>72192398</v>
      </c>
      <c r="C98">
        <v>71589232</v>
      </c>
      <c r="D98">
        <v>71771731</v>
      </c>
      <c r="E98">
        <v>1</v>
      </c>
      <c r="F98">
        <v>1</v>
      </c>
      <c r="G98">
        <v>35</v>
      </c>
      <c r="H98">
        <v>3</v>
      </c>
      <c r="I98" t="s">
        <v>521</v>
      </c>
      <c r="J98" t="s">
        <v>522</v>
      </c>
      <c r="K98" t="s">
        <v>523</v>
      </c>
      <c r="L98">
        <v>1346</v>
      </c>
      <c r="N98">
        <v>1009</v>
      </c>
      <c r="O98" t="s">
        <v>447</v>
      </c>
      <c r="P98" t="s">
        <v>447</v>
      </c>
      <c r="Q98">
        <v>1</v>
      </c>
      <c r="X98">
        <v>0.53</v>
      </c>
      <c r="Y98">
        <v>99.65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3</v>
      </c>
      <c r="AG98">
        <v>0.53</v>
      </c>
      <c r="AH98">
        <v>3</v>
      </c>
      <c r="AI98">
        <v>-1</v>
      </c>
      <c r="AJ98" t="s">
        <v>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ROW(Source!A129)</f>
        <v>129</v>
      </c>
      <c r="B99">
        <v>72192401</v>
      </c>
      <c r="C99">
        <v>71589232</v>
      </c>
      <c r="D99">
        <v>71764332</v>
      </c>
      <c r="E99">
        <v>35</v>
      </c>
      <c r="F99">
        <v>1</v>
      </c>
      <c r="G99">
        <v>35</v>
      </c>
      <c r="H99">
        <v>3</v>
      </c>
      <c r="I99" t="s">
        <v>537</v>
      </c>
      <c r="J99" t="s">
        <v>3</v>
      </c>
      <c r="K99" t="s">
        <v>538</v>
      </c>
      <c r="L99">
        <v>1354</v>
      </c>
      <c r="N99">
        <v>1010</v>
      </c>
      <c r="O99" t="s">
        <v>51</v>
      </c>
      <c r="P99" t="s">
        <v>51</v>
      </c>
      <c r="Q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t="s">
        <v>3</v>
      </c>
      <c r="AG99">
        <v>0</v>
      </c>
      <c r="AH99">
        <v>3</v>
      </c>
      <c r="AI99">
        <v>-1</v>
      </c>
      <c r="AJ99" t="s">
        <v>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ROW(Source!A131)</f>
        <v>131</v>
      </c>
      <c r="B100">
        <v>72192402</v>
      </c>
      <c r="C100">
        <v>71589250</v>
      </c>
      <c r="D100">
        <v>71757693</v>
      </c>
      <c r="E100">
        <v>35</v>
      </c>
      <c r="F100">
        <v>1</v>
      </c>
      <c r="G100">
        <v>35</v>
      </c>
      <c r="H100">
        <v>1</v>
      </c>
      <c r="I100" t="s">
        <v>375</v>
      </c>
      <c r="J100" t="s">
        <v>3</v>
      </c>
      <c r="K100" t="s">
        <v>376</v>
      </c>
      <c r="L100">
        <v>1191</v>
      </c>
      <c r="N100">
        <v>1013</v>
      </c>
      <c r="O100" t="s">
        <v>377</v>
      </c>
      <c r="P100" t="s">
        <v>377</v>
      </c>
      <c r="Q100">
        <v>1</v>
      </c>
      <c r="X100">
        <v>34.159999999999997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 t="s">
        <v>3</v>
      </c>
      <c r="AG100">
        <v>34.159999999999997</v>
      </c>
      <c r="AH100">
        <v>3</v>
      </c>
      <c r="AI100">
        <v>-1</v>
      </c>
      <c r="AJ100" t="s">
        <v>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ROW(Source!A131)</f>
        <v>131</v>
      </c>
      <c r="B101">
        <v>72192403</v>
      </c>
      <c r="C101">
        <v>71589250</v>
      </c>
      <c r="D101">
        <v>71770715</v>
      </c>
      <c r="E101">
        <v>1</v>
      </c>
      <c r="F101">
        <v>1</v>
      </c>
      <c r="G101">
        <v>35</v>
      </c>
      <c r="H101">
        <v>2</v>
      </c>
      <c r="I101" t="s">
        <v>388</v>
      </c>
      <c r="J101" t="s">
        <v>389</v>
      </c>
      <c r="K101" t="s">
        <v>390</v>
      </c>
      <c r="L101">
        <v>1368</v>
      </c>
      <c r="N101">
        <v>1011</v>
      </c>
      <c r="O101" t="s">
        <v>381</v>
      </c>
      <c r="P101" t="s">
        <v>381</v>
      </c>
      <c r="Q101">
        <v>1</v>
      </c>
      <c r="X101">
        <v>1.24</v>
      </c>
      <c r="Y101">
        <v>0</v>
      </c>
      <c r="Z101">
        <v>6.33</v>
      </c>
      <c r="AA101">
        <v>0.18</v>
      </c>
      <c r="AB101">
        <v>0</v>
      </c>
      <c r="AC101">
        <v>0</v>
      </c>
      <c r="AD101">
        <v>1</v>
      </c>
      <c r="AE101">
        <v>0</v>
      </c>
      <c r="AF101" t="s">
        <v>3</v>
      </c>
      <c r="AG101">
        <v>1.24</v>
      </c>
      <c r="AH101">
        <v>3</v>
      </c>
      <c r="AI101">
        <v>-1</v>
      </c>
      <c r="AJ101" t="s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ROW(Source!A131)</f>
        <v>131</v>
      </c>
      <c r="B102">
        <v>72192404</v>
      </c>
      <c r="C102">
        <v>71589250</v>
      </c>
      <c r="D102">
        <v>71759948</v>
      </c>
      <c r="E102">
        <v>35</v>
      </c>
      <c r="F102">
        <v>1</v>
      </c>
      <c r="G102">
        <v>35</v>
      </c>
      <c r="H102">
        <v>3</v>
      </c>
      <c r="I102" t="s">
        <v>524</v>
      </c>
      <c r="J102" t="s">
        <v>3</v>
      </c>
      <c r="K102" t="s">
        <v>525</v>
      </c>
      <c r="L102">
        <v>1354</v>
      </c>
      <c r="N102">
        <v>1010</v>
      </c>
      <c r="O102" t="s">
        <v>51</v>
      </c>
      <c r="P102" t="s">
        <v>51</v>
      </c>
      <c r="Q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3</v>
      </c>
      <c r="AG102">
        <v>0</v>
      </c>
      <c r="AH102">
        <v>3</v>
      </c>
      <c r="AI102">
        <v>-1</v>
      </c>
      <c r="AJ102" t="s">
        <v>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ROW(Source!A131)</f>
        <v>131</v>
      </c>
      <c r="B103">
        <v>72192413</v>
      </c>
      <c r="C103">
        <v>71589250</v>
      </c>
      <c r="D103">
        <v>71760361</v>
      </c>
      <c r="E103">
        <v>35</v>
      </c>
      <c r="F103">
        <v>1</v>
      </c>
      <c r="G103">
        <v>35</v>
      </c>
      <c r="H103">
        <v>3</v>
      </c>
      <c r="I103" t="s">
        <v>526</v>
      </c>
      <c r="J103" t="s">
        <v>3</v>
      </c>
      <c r="K103" t="s">
        <v>527</v>
      </c>
      <c r="L103">
        <v>1346</v>
      </c>
      <c r="N103">
        <v>1009</v>
      </c>
      <c r="O103" t="s">
        <v>447</v>
      </c>
      <c r="P103" t="s">
        <v>447</v>
      </c>
      <c r="Q103">
        <v>1</v>
      </c>
      <c r="X103">
        <v>2.5000000000000001E-3</v>
      </c>
      <c r="Y103">
        <v>55.951599999999999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3</v>
      </c>
      <c r="AG103">
        <v>2.5000000000000001E-3</v>
      </c>
      <c r="AH103">
        <v>3</v>
      </c>
      <c r="AI103">
        <v>-1</v>
      </c>
      <c r="AJ103" t="s">
        <v>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ROW(Source!A131)</f>
        <v>131</v>
      </c>
      <c r="B104">
        <v>72192412</v>
      </c>
      <c r="C104">
        <v>71589250</v>
      </c>
      <c r="D104">
        <v>71777125</v>
      </c>
      <c r="E104">
        <v>1</v>
      </c>
      <c r="F104">
        <v>1</v>
      </c>
      <c r="G104">
        <v>35</v>
      </c>
      <c r="H104">
        <v>3</v>
      </c>
      <c r="I104" t="s">
        <v>539</v>
      </c>
      <c r="J104" t="s">
        <v>540</v>
      </c>
      <c r="K104" t="s">
        <v>541</v>
      </c>
      <c r="L104">
        <v>1301</v>
      </c>
      <c r="N104">
        <v>1003</v>
      </c>
      <c r="O104" t="s">
        <v>475</v>
      </c>
      <c r="P104" t="s">
        <v>475</v>
      </c>
      <c r="Q104">
        <v>1</v>
      </c>
      <c r="X104">
        <v>100</v>
      </c>
      <c r="Y104">
        <v>397.72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3</v>
      </c>
      <c r="AG104">
        <v>100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ROW(Source!A131)</f>
        <v>131</v>
      </c>
      <c r="B105">
        <v>72192405</v>
      </c>
      <c r="C105">
        <v>71589250</v>
      </c>
      <c r="D105">
        <v>71773168</v>
      </c>
      <c r="E105">
        <v>1</v>
      </c>
      <c r="F105">
        <v>1</v>
      </c>
      <c r="G105">
        <v>35</v>
      </c>
      <c r="H105">
        <v>3</v>
      </c>
      <c r="I105" t="s">
        <v>531</v>
      </c>
      <c r="J105" t="s">
        <v>532</v>
      </c>
      <c r="K105" t="s">
        <v>533</v>
      </c>
      <c r="L105">
        <v>1348</v>
      </c>
      <c r="N105">
        <v>1009</v>
      </c>
      <c r="O105" t="s">
        <v>38</v>
      </c>
      <c r="P105" t="s">
        <v>38</v>
      </c>
      <c r="Q105">
        <v>1000</v>
      </c>
      <c r="X105">
        <v>1.7000000000000001E-4</v>
      </c>
      <c r="Y105">
        <v>143335.38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 t="s">
        <v>3</v>
      </c>
      <c r="AG105">
        <v>1.7000000000000001E-4</v>
      </c>
      <c r="AH105">
        <v>3</v>
      </c>
      <c r="AI105">
        <v>-1</v>
      </c>
      <c r="AJ105" t="s">
        <v>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ROW(Source!A131)</f>
        <v>131</v>
      </c>
      <c r="B106">
        <v>72192406</v>
      </c>
      <c r="C106">
        <v>71589250</v>
      </c>
      <c r="D106">
        <v>71773291</v>
      </c>
      <c r="E106">
        <v>1</v>
      </c>
      <c r="F106">
        <v>1</v>
      </c>
      <c r="G106">
        <v>35</v>
      </c>
      <c r="H106">
        <v>3</v>
      </c>
      <c r="I106" t="s">
        <v>419</v>
      </c>
      <c r="J106" t="s">
        <v>420</v>
      </c>
      <c r="K106" t="s">
        <v>421</v>
      </c>
      <c r="L106">
        <v>1339</v>
      </c>
      <c r="N106">
        <v>1007</v>
      </c>
      <c r="O106" t="s">
        <v>394</v>
      </c>
      <c r="P106" t="s">
        <v>394</v>
      </c>
      <c r="Q106">
        <v>1</v>
      </c>
      <c r="X106">
        <v>0.69</v>
      </c>
      <c r="Y106">
        <v>42.44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3</v>
      </c>
      <c r="AG106">
        <v>0.69</v>
      </c>
      <c r="AH106">
        <v>3</v>
      </c>
      <c r="AI106">
        <v>-1</v>
      </c>
      <c r="AJ106" t="s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ROW(Source!A131)</f>
        <v>131</v>
      </c>
      <c r="B107">
        <v>72192407</v>
      </c>
      <c r="C107">
        <v>71589250</v>
      </c>
      <c r="D107">
        <v>71773294</v>
      </c>
      <c r="E107">
        <v>1</v>
      </c>
      <c r="F107">
        <v>1</v>
      </c>
      <c r="G107">
        <v>35</v>
      </c>
      <c r="H107">
        <v>3</v>
      </c>
      <c r="I107" t="s">
        <v>534</v>
      </c>
      <c r="J107" t="s">
        <v>535</v>
      </c>
      <c r="K107" t="s">
        <v>536</v>
      </c>
      <c r="L107">
        <v>1346</v>
      </c>
      <c r="N107">
        <v>1009</v>
      </c>
      <c r="O107" t="s">
        <v>447</v>
      </c>
      <c r="P107" t="s">
        <v>447</v>
      </c>
      <c r="Q107">
        <v>1</v>
      </c>
      <c r="X107">
        <v>0.06</v>
      </c>
      <c r="Y107">
        <v>590.44000000000005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 t="s">
        <v>3</v>
      </c>
      <c r="AG107">
        <v>0.06</v>
      </c>
      <c r="AH107">
        <v>3</v>
      </c>
      <c r="AI107">
        <v>-1</v>
      </c>
      <c r="AJ107" t="s">
        <v>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ROW(Source!A131)</f>
        <v>131</v>
      </c>
      <c r="B108">
        <v>72192408</v>
      </c>
      <c r="C108">
        <v>71589250</v>
      </c>
      <c r="D108">
        <v>71771510</v>
      </c>
      <c r="E108">
        <v>1</v>
      </c>
      <c r="F108">
        <v>1</v>
      </c>
      <c r="G108">
        <v>35</v>
      </c>
      <c r="H108">
        <v>3</v>
      </c>
      <c r="I108" t="s">
        <v>391</v>
      </c>
      <c r="J108" t="s">
        <v>392</v>
      </c>
      <c r="K108" t="s">
        <v>393</v>
      </c>
      <c r="L108">
        <v>1339</v>
      </c>
      <c r="N108">
        <v>1007</v>
      </c>
      <c r="O108" t="s">
        <v>394</v>
      </c>
      <c r="P108" t="s">
        <v>394</v>
      </c>
      <c r="Q108">
        <v>1</v>
      </c>
      <c r="X108">
        <v>0.28100000000000003</v>
      </c>
      <c r="Y108">
        <v>79.62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3</v>
      </c>
      <c r="AG108">
        <v>0.28100000000000003</v>
      </c>
      <c r="AH108">
        <v>3</v>
      </c>
      <c r="AI108">
        <v>-1</v>
      </c>
      <c r="AJ108" t="s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ROW(Source!A131)</f>
        <v>131</v>
      </c>
      <c r="B109">
        <v>72192409</v>
      </c>
      <c r="C109">
        <v>71589250</v>
      </c>
      <c r="D109">
        <v>71771502</v>
      </c>
      <c r="E109">
        <v>1</v>
      </c>
      <c r="F109">
        <v>1</v>
      </c>
      <c r="G109">
        <v>35</v>
      </c>
      <c r="H109">
        <v>3</v>
      </c>
      <c r="I109" t="s">
        <v>395</v>
      </c>
      <c r="J109" t="s">
        <v>396</v>
      </c>
      <c r="K109" t="s">
        <v>397</v>
      </c>
      <c r="L109">
        <v>1339</v>
      </c>
      <c r="N109">
        <v>1007</v>
      </c>
      <c r="O109" t="s">
        <v>394</v>
      </c>
      <c r="P109" t="s">
        <v>394</v>
      </c>
      <c r="Q109">
        <v>1</v>
      </c>
      <c r="X109">
        <v>0.13</v>
      </c>
      <c r="Y109">
        <v>715.78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3</v>
      </c>
      <c r="AG109">
        <v>0.13</v>
      </c>
      <c r="AH109">
        <v>3</v>
      </c>
      <c r="AI109">
        <v>-1</v>
      </c>
      <c r="AJ109" t="s">
        <v>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ROW(Source!A131)</f>
        <v>131</v>
      </c>
      <c r="B110">
        <v>72192410</v>
      </c>
      <c r="C110">
        <v>71589250</v>
      </c>
      <c r="D110">
        <v>71771690</v>
      </c>
      <c r="E110">
        <v>1</v>
      </c>
      <c r="F110">
        <v>1</v>
      </c>
      <c r="G110">
        <v>35</v>
      </c>
      <c r="H110">
        <v>3</v>
      </c>
      <c r="I110" t="s">
        <v>518</v>
      </c>
      <c r="J110" t="s">
        <v>519</v>
      </c>
      <c r="K110" t="s">
        <v>520</v>
      </c>
      <c r="L110">
        <v>1348</v>
      </c>
      <c r="N110">
        <v>1009</v>
      </c>
      <c r="O110" t="s">
        <v>38</v>
      </c>
      <c r="P110" t="s">
        <v>38</v>
      </c>
      <c r="Q110">
        <v>1000</v>
      </c>
      <c r="X110">
        <v>4.4000000000000002E-4</v>
      </c>
      <c r="Y110">
        <v>108449.3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3</v>
      </c>
      <c r="AG110">
        <v>4.4000000000000002E-4</v>
      </c>
      <c r="AH110">
        <v>3</v>
      </c>
      <c r="AI110">
        <v>-1</v>
      </c>
      <c r="AJ110" t="s">
        <v>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ROW(Source!A131)</f>
        <v>131</v>
      </c>
      <c r="B111">
        <v>72192411</v>
      </c>
      <c r="C111">
        <v>71589250</v>
      </c>
      <c r="D111">
        <v>71771731</v>
      </c>
      <c r="E111">
        <v>1</v>
      </c>
      <c r="F111">
        <v>1</v>
      </c>
      <c r="G111">
        <v>35</v>
      </c>
      <c r="H111">
        <v>3</v>
      </c>
      <c r="I111" t="s">
        <v>521</v>
      </c>
      <c r="J111" t="s">
        <v>522</v>
      </c>
      <c r="K111" t="s">
        <v>523</v>
      </c>
      <c r="L111">
        <v>1346</v>
      </c>
      <c r="N111">
        <v>1009</v>
      </c>
      <c r="O111" t="s">
        <v>447</v>
      </c>
      <c r="P111" t="s">
        <v>447</v>
      </c>
      <c r="Q111">
        <v>1</v>
      </c>
      <c r="X111">
        <v>0.53</v>
      </c>
      <c r="Y111">
        <v>99.65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3</v>
      </c>
      <c r="AG111">
        <v>0.53</v>
      </c>
      <c r="AH111">
        <v>3</v>
      </c>
      <c r="AI111">
        <v>-1</v>
      </c>
      <c r="AJ111" t="s">
        <v>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ROW(Source!A131)</f>
        <v>131</v>
      </c>
      <c r="B112">
        <v>72192414</v>
      </c>
      <c r="C112">
        <v>71589250</v>
      </c>
      <c r="D112">
        <v>71764332</v>
      </c>
      <c r="E112">
        <v>35</v>
      </c>
      <c r="F112">
        <v>1</v>
      </c>
      <c r="G112">
        <v>35</v>
      </c>
      <c r="H112">
        <v>3</v>
      </c>
      <c r="I112" t="s">
        <v>537</v>
      </c>
      <c r="J112" t="s">
        <v>3</v>
      </c>
      <c r="K112" t="s">
        <v>538</v>
      </c>
      <c r="L112">
        <v>1354</v>
      </c>
      <c r="N112">
        <v>1010</v>
      </c>
      <c r="O112" t="s">
        <v>51</v>
      </c>
      <c r="P112" t="s">
        <v>51</v>
      </c>
      <c r="Q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 t="s">
        <v>3</v>
      </c>
      <c r="AG112">
        <v>0</v>
      </c>
      <c r="AH112">
        <v>3</v>
      </c>
      <c r="AI112">
        <v>-1</v>
      </c>
      <c r="AJ112" t="s">
        <v>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ROW(Source!A133)</f>
        <v>133</v>
      </c>
      <c r="B113">
        <v>72192415</v>
      </c>
      <c r="C113">
        <v>71589268</v>
      </c>
      <c r="D113">
        <v>71757693</v>
      </c>
      <c r="E113">
        <v>35</v>
      </c>
      <c r="F113">
        <v>1</v>
      </c>
      <c r="G113">
        <v>35</v>
      </c>
      <c r="H113">
        <v>1</v>
      </c>
      <c r="I113" t="s">
        <v>375</v>
      </c>
      <c r="J113" t="s">
        <v>3</v>
      </c>
      <c r="K113" t="s">
        <v>376</v>
      </c>
      <c r="L113">
        <v>1191</v>
      </c>
      <c r="N113">
        <v>1013</v>
      </c>
      <c r="O113" t="s">
        <v>377</v>
      </c>
      <c r="P113" t="s">
        <v>377</v>
      </c>
      <c r="Q113">
        <v>1</v>
      </c>
      <c r="X113">
        <v>10.64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3</v>
      </c>
      <c r="AG113">
        <v>10.64</v>
      </c>
      <c r="AH113">
        <v>3</v>
      </c>
      <c r="AI113">
        <v>-1</v>
      </c>
      <c r="AJ113" t="s">
        <v>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ROW(Source!A133)</f>
        <v>133</v>
      </c>
      <c r="B114">
        <v>72192416</v>
      </c>
      <c r="C114">
        <v>71589268</v>
      </c>
      <c r="D114">
        <v>71773291</v>
      </c>
      <c r="E114">
        <v>1</v>
      </c>
      <c r="F114">
        <v>1</v>
      </c>
      <c r="G114">
        <v>35</v>
      </c>
      <c r="H114">
        <v>3</v>
      </c>
      <c r="I114" t="s">
        <v>419</v>
      </c>
      <c r="J114" t="s">
        <v>420</v>
      </c>
      <c r="K114" t="s">
        <v>421</v>
      </c>
      <c r="L114">
        <v>1339</v>
      </c>
      <c r="N114">
        <v>1007</v>
      </c>
      <c r="O114" t="s">
        <v>394</v>
      </c>
      <c r="P114" t="s">
        <v>394</v>
      </c>
      <c r="Q114">
        <v>1</v>
      </c>
      <c r="X114">
        <v>1</v>
      </c>
      <c r="Y114">
        <v>42.44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3</v>
      </c>
      <c r="AG114">
        <v>1</v>
      </c>
      <c r="AH114">
        <v>3</v>
      </c>
      <c r="AI114">
        <v>-1</v>
      </c>
      <c r="AJ114" t="s">
        <v>3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ROW(Source!A134)</f>
        <v>134</v>
      </c>
      <c r="B115">
        <v>72192417</v>
      </c>
      <c r="C115">
        <v>71588341</v>
      </c>
      <c r="D115">
        <v>71757693</v>
      </c>
      <c r="E115">
        <v>35</v>
      </c>
      <c r="F115">
        <v>1</v>
      </c>
      <c r="G115">
        <v>35</v>
      </c>
      <c r="H115">
        <v>1</v>
      </c>
      <c r="I115" t="s">
        <v>375</v>
      </c>
      <c r="J115" t="s">
        <v>3</v>
      </c>
      <c r="K115" t="s">
        <v>376</v>
      </c>
      <c r="L115">
        <v>1191</v>
      </c>
      <c r="N115">
        <v>1013</v>
      </c>
      <c r="O115" t="s">
        <v>377</v>
      </c>
      <c r="P115" t="s">
        <v>377</v>
      </c>
      <c r="Q115">
        <v>1</v>
      </c>
      <c r="X115">
        <v>1.72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1</v>
      </c>
      <c r="AF115" t="s">
        <v>3</v>
      </c>
      <c r="AG115">
        <v>1.72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ROW(Source!A134)</f>
        <v>134</v>
      </c>
      <c r="B116">
        <v>72192418</v>
      </c>
      <c r="C116">
        <v>71588341</v>
      </c>
      <c r="D116">
        <v>71773294</v>
      </c>
      <c r="E116">
        <v>1</v>
      </c>
      <c r="F116">
        <v>1</v>
      </c>
      <c r="G116">
        <v>35</v>
      </c>
      <c r="H116">
        <v>3</v>
      </c>
      <c r="I116" t="s">
        <v>534</v>
      </c>
      <c r="J116" t="s">
        <v>535</v>
      </c>
      <c r="K116" t="s">
        <v>536</v>
      </c>
      <c r="L116">
        <v>1346</v>
      </c>
      <c r="N116">
        <v>1009</v>
      </c>
      <c r="O116" t="s">
        <v>447</v>
      </c>
      <c r="P116" t="s">
        <v>447</v>
      </c>
      <c r="Q116">
        <v>1</v>
      </c>
      <c r="X116">
        <v>6.3E-2</v>
      </c>
      <c r="Y116">
        <v>590.44000000000005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3</v>
      </c>
      <c r="AG116">
        <v>6.3E-2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ROW(Source!A134)</f>
        <v>134</v>
      </c>
      <c r="B117">
        <v>72192419</v>
      </c>
      <c r="C117">
        <v>71588341</v>
      </c>
      <c r="D117">
        <v>71771690</v>
      </c>
      <c r="E117">
        <v>1</v>
      </c>
      <c r="F117">
        <v>1</v>
      </c>
      <c r="G117">
        <v>35</v>
      </c>
      <c r="H117">
        <v>3</v>
      </c>
      <c r="I117" t="s">
        <v>518</v>
      </c>
      <c r="J117" t="s">
        <v>519</v>
      </c>
      <c r="K117" t="s">
        <v>520</v>
      </c>
      <c r="L117">
        <v>1348</v>
      </c>
      <c r="N117">
        <v>1009</v>
      </c>
      <c r="O117" t="s">
        <v>38</v>
      </c>
      <c r="P117" t="s">
        <v>38</v>
      </c>
      <c r="Q117">
        <v>1000</v>
      </c>
      <c r="X117">
        <v>1.2999999999999999E-4</v>
      </c>
      <c r="Y117">
        <v>108449.3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 t="s">
        <v>3</v>
      </c>
      <c r="AG117">
        <v>1.2999999999999999E-4</v>
      </c>
      <c r="AH117">
        <v>3</v>
      </c>
      <c r="AI117">
        <v>-1</v>
      </c>
      <c r="AJ117" t="s">
        <v>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ROW(Source!A134)</f>
        <v>134</v>
      </c>
      <c r="B118">
        <v>72192420</v>
      </c>
      <c r="C118">
        <v>71588341</v>
      </c>
      <c r="D118">
        <v>71771731</v>
      </c>
      <c r="E118">
        <v>1</v>
      </c>
      <c r="F118">
        <v>1</v>
      </c>
      <c r="G118">
        <v>35</v>
      </c>
      <c r="H118">
        <v>3</v>
      </c>
      <c r="I118" t="s">
        <v>521</v>
      </c>
      <c r="J118" t="s">
        <v>522</v>
      </c>
      <c r="K118" t="s">
        <v>523</v>
      </c>
      <c r="L118">
        <v>1346</v>
      </c>
      <c r="N118">
        <v>1009</v>
      </c>
      <c r="O118" t="s">
        <v>447</v>
      </c>
      <c r="P118" t="s">
        <v>447</v>
      </c>
      <c r="Q118">
        <v>1</v>
      </c>
      <c r="X118">
        <v>6.3E-2</v>
      </c>
      <c r="Y118">
        <v>99.65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3</v>
      </c>
      <c r="AG118">
        <v>6.3E-2</v>
      </c>
      <c r="AH118">
        <v>3</v>
      </c>
      <c r="AI118">
        <v>-1</v>
      </c>
      <c r="AJ118" t="s">
        <v>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ROW(Source!A136)</f>
        <v>136</v>
      </c>
      <c r="B119">
        <v>72192421</v>
      </c>
      <c r="C119">
        <v>71588388</v>
      </c>
      <c r="D119">
        <v>71757693</v>
      </c>
      <c r="E119">
        <v>35</v>
      </c>
      <c r="F119">
        <v>1</v>
      </c>
      <c r="G119">
        <v>35</v>
      </c>
      <c r="H119">
        <v>1</v>
      </c>
      <c r="I119" t="s">
        <v>375</v>
      </c>
      <c r="J119" t="s">
        <v>3</v>
      </c>
      <c r="K119" t="s">
        <v>376</v>
      </c>
      <c r="L119">
        <v>1191</v>
      </c>
      <c r="N119">
        <v>1013</v>
      </c>
      <c r="O119" t="s">
        <v>377</v>
      </c>
      <c r="P119" t="s">
        <v>377</v>
      </c>
      <c r="Q119">
        <v>1</v>
      </c>
      <c r="X119">
        <v>1.92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1</v>
      </c>
      <c r="AF119" t="s">
        <v>3</v>
      </c>
      <c r="AG119">
        <v>1.92</v>
      </c>
      <c r="AH119">
        <v>3</v>
      </c>
      <c r="AI119">
        <v>-1</v>
      </c>
      <c r="AJ119" t="s">
        <v>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ROW(Source!A136)</f>
        <v>136</v>
      </c>
      <c r="B120">
        <v>72192422</v>
      </c>
      <c r="C120">
        <v>71588388</v>
      </c>
      <c r="D120">
        <v>71773294</v>
      </c>
      <c r="E120">
        <v>1</v>
      </c>
      <c r="F120">
        <v>1</v>
      </c>
      <c r="G120">
        <v>35</v>
      </c>
      <c r="H120">
        <v>3</v>
      </c>
      <c r="I120" t="s">
        <v>534</v>
      </c>
      <c r="J120" t="s">
        <v>535</v>
      </c>
      <c r="K120" t="s">
        <v>536</v>
      </c>
      <c r="L120">
        <v>1346</v>
      </c>
      <c r="N120">
        <v>1009</v>
      </c>
      <c r="O120" t="s">
        <v>447</v>
      </c>
      <c r="P120" t="s">
        <v>447</v>
      </c>
      <c r="Q120">
        <v>1</v>
      </c>
      <c r="X120">
        <v>7.8E-2</v>
      </c>
      <c r="Y120">
        <v>590.44000000000005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3</v>
      </c>
      <c r="AG120">
        <v>7.8E-2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ROW(Source!A136)</f>
        <v>136</v>
      </c>
      <c r="B121">
        <v>72192423</v>
      </c>
      <c r="C121">
        <v>71588388</v>
      </c>
      <c r="D121">
        <v>71771690</v>
      </c>
      <c r="E121">
        <v>1</v>
      </c>
      <c r="F121">
        <v>1</v>
      </c>
      <c r="G121">
        <v>35</v>
      </c>
      <c r="H121">
        <v>3</v>
      </c>
      <c r="I121" t="s">
        <v>518</v>
      </c>
      <c r="J121" t="s">
        <v>519</v>
      </c>
      <c r="K121" t="s">
        <v>520</v>
      </c>
      <c r="L121">
        <v>1348</v>
      </c>
      <c r="N121">
        <v>1009</v>
      </c>
      <c r="O121" t="s">
        <v>38</v>
      </c>
      <c r="P121" t="s">
        <v>38</v>
      </c>
      <c r="Q121">
        <v>1000</v>
      </c>
      <c r="X121">
        <v>1.6000000000000001E-4</v>
      </c>
      <c r="Y121">
        <v>108449.3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3</v>
      </c>
      <c r="AG121">
        <v>1.6000000000000001E-4</v>
      </c>
      <c r="AH121">
        <v>3</v>
      </c>
      <c r="AI121">
        <v>-1</v>
      </c>
      <c r="AJ121" t="s">
        <v>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ROW(Source!A136)</f>
        <v>136</v>
      </c>
      <c r="B122">
        <v>72192424</v>
      </c>
      <c r="C122">
        <v>71588388</v>
      </c>
      <c r="D122">
        <v>71771731</v>
      </c>
      <c r="E122">
        <v>1</v>
      </c>
      <c r="F122">
        <v>1</v>
      </c>
      <c r="G122">
        <v>35</v>
      </c>
      <c r="H122">
        <v>3</v>
      </c>
      <c r="I122" t="s">
        <v>521</v>
      </c>
      <c r="J122" t="s">
        <v>522</v>
      </c>
      <c r="K122" t="s">
        <v>523</v>
      </c>
      <c r="L122">
        <v>1346</v>
      </c>
      <c r="N122">
        <v>1009</v>
      </c>
      <c r="O122" t="s">
        <v>447</v>
      </c>
      <c r="P122" t="s">
        <v>447</v>
      </c>
      <c r="Q122">
        <v>1</v>
      </c>
      <c r="X122">
        <v>7.8E-2</v>
      </c>
      <c r="Y122">
        <v>99.65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3</v>
      </c>
      <c r="AG122">
        <v>7.8E-2</v>
      </c>
      <c r="AH122">
        <v>3</v>
      </c>
      <c r="AI122">
        <v>-1</v>
      </c>
      <c r="AJ122" t="s">
        <v>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ROW(Source!A138)</f>
        <v>138</v>
      </c>
      <c r="B123">
        <v>72192425</v>
      </c>
      <c r="C123">
        <v>71588396</v>
      </c>
      <c r="D123">
        <v>71757693</v>
      </c>
      <c r="E123">
        <v>35</v>
      </c>
      <c r="F123">
        <v>1</v>
      </c>
      <c r="G123">
        <v>35</v>
      </c>
      <c r="H123">
        <v>1</v>
      </c>
      <c r="I123" t="s">
        <v>375</v>
      </c>
      <c r="J123" t="s">
        <v>3</v>
      </c>
      <c r="K123" t="s">
        <v>376</v>
      </c>
      <c r="L123">
        <v>1191</v>
      </c>
      <c r="N123">
        <v>1013</v>
      </c>
      <c r="O123" t="s">
        <v>377</v>
      </c>
      <c r="P123" t="s">
        <v>377</v>
      </c>
      <c r="Q123">
        <v>1</v>
      </c>
      <c r="X123">
        <v>132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 t="s">
        <v>3</v>
      </c>
      <c r="AG123">
        <v>132</v>
      </c>
      <c r="AH123">
        <v>3</v>
      </c>
      <c r="AI123">
        <v>-1</v>
      </c>
      <c r="AJ123" t="s">
        <v>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ROW(Source!A138)</f>
        <v>138</v>
      </c>
      <c r="B124">
        <v>72192426</v>
      </c>
      <c r="C124">
        <v>71588396</v>
      </c>
      <c r="D124">
        <v>71772016</v>
      </c>
      <c r="E124">
        <v>1</v>
      </c>
      <c r="F124">
        <v>1</v>
      </c>
      <c r="G124">
        <v>35</v>
      </c>
      <c r="H124">
        <v>3</v>
      </c>
      <c r="I124" t="s">
        <v>382</v>
      </c>
      <c r="J124" t="s">
        <v>383</v>
      </c>
      <c r="K124" t="s">
        <v>384</v>
      </c>
      <c r="L124">
        <v>1348</v>
      </c>
      <c r="N124">
        <v>1009</v>
      </c>
      <c r="O124" t="s">
        <v>38</v>
      </c>
      <c r="P124" t="s">
        <v>38</v>
      </c>
      <c r="Q124">
        <v>1000</v>
      </c>
      <c r="X124">
        <v>5.4000000000000003E-3</v>
      </c>
      <c r="Y124">
        <v>96442.75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3</v>
      </c>
      <c r="AG124">
        <v>5.4000000000000003E-3</v>
      </c>
      <c r="AH124">
        <v>3</v>
      </c>
      <c r="AI124">
        <v>-1</v>
      </c>
      <c r="AJ124" t="s">
        <v>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ROW(Source!A138)</f>
        <v>138</v>
      </c>
      <c r="B125">
        <v>72192427</v>
      </c>
      <c r="C125">
        <v>71588396</v>
      </c>
      <c r="D125">
        <v>71772330</v>
      </c>
      <c r="E125">
        <v>1</v>
      </c>
      <c r="F125">
        <v>1</v>
      </c>
      <c r="G125">
        <v>35</v>
      </c>
      <c r="H125">
        <v>3</v>
      </c>
      <c r="I125" t="s">
        <v>488</v>
      </c>
      <c r="J125" t="s">
        <v>489</v>
      </c>
      <c r="K125" t="s">
        <v>490</v>
      </c>
      <c r="L125">
        <v>1348</v>
      </c>
      <c r="N125">
        <v>1009</v>
      </c>
      <c r="O125" t="s">
        <v>38</v>
      </c>
      <c r="P125" t="s">
        <v>38</v>
      </c>
      <c r="Q125">
        <v>1000</v>
      </c>
      <c r="X125">
        <v>6.0000000000000001E-3</v>
      </c>
      <c r="Y125">
        <v>81885.100000000006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3</v>
      </c>
      <c r="AG125">
        <v>6.0000000000000001E-3</v>
      </c>
      <c r="AH125">
        <v>3</v>
      </c>
      <c r="AI125">
        <v>-1</v>
      </c>
      <c r="AJ125" t="s">
        <v>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ROW(Source!A138)</f>
        <v>138</v>
      </c>
      <c r="B126">
        <v>72192428</v>
      </c>
      <c r="C126">
        <v>71588396</v>
      </c>
      <c r="D126">
        <v>71771909</v>
      </c>
      <c r="E126">
        <v>1</v>
      </c>
      <c r="F126">
        <v>1</v>
      </c>
      <c r="G126">
        <v>35</v>
      </c>
      <c r="H126">
        <v>3</v>
      </c>
      <c r="I126" t="s">
        <v>542</v>
      </c>
      <c r="J126" t="s">
        <v>543</v>
      </c>
      <c r="K126" t="s">
        <v>544</v>
      </c>
      <c r="L126">
        <v>1339</v>
      </c>
      <c r="N126">
        <v>1007</v>
      </c>
      <c r="O126" t="s">
        <v>394</v>
      </c>
      <c r="P126" t="s">
        <v>394</v>
      </c>
      <c r="Q126">
        <v>1</v>
      </c>
      <c r="X126">
        <v>0.3</v>
      </c>
      <c r="Y126">
        <v>8225.9500000000007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3</v>
      </c>
      <c r="AG126">
        <v>0.3</v>
      </c>
      <c r="AH126">
        <v>3</v>
      </c>
      <c r="AI126">
        <v>-1</v>
      </c>
      <c r="AJ126" t="s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ROW(Source!A138)</f>
        <v>138</v>
      </c>
      <c r="B127">
        <v>72192429</v>
      </c>
      <c r="C127">
        <v>71588396</v>
      </c>
      <c r="D127">
        <v>71771949</v>
      </c>
      <c r="E127">
        <v>1</v>
      </c>
      <c r="F127">
        <v>1</v>
      </c>
      <c r="G127">
        <v>35</v>
      </c>
      <c r="H127">
        <v>3</v>
      </c>
      <c r="I127" t="s">
        <v>460</v>
      </c>
      <c r="J127" t="s">
        <v>461</v>
      </c>
      <c r="K127" t="s">
        <v>462</v>
      </c>
      <c r="L127">
        <v>1339</v>
      </c>
      <c r="N127">
        <v>1007</v>
      </c>
      <c r="O127" t="s">
        <v>394</v>
      </c>
      <c r="P127" t="s">
        <v>394</v>
      </c>
      <c r="Q127">
        <v>1</v>
      </c>
      <c r="X127">
        <v>1.7999999999999999E-2</v>
      </c>
      <c r="Y127">
        <v>8098.45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3</v>
      </c>
      <c r="AG127">
        <v>1.7999999999999999E-2</v>
      </c>
      <c r="AH127">
        <v>3</v>
      </c>
      <c r="AI127">
        <v>-1</v>
      </c>
      <c r="AJ127" t="s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ROW(Source!A138)</f>
        <v>138</v>
      </c>
      <c r="B128">
        <v>72192430</v>
      </c>
      <c r="C128">
        <v>71588396</v>
      </c>
      <c r="D128">
        <v>71774289</v>
      </c>
      <c r="E128">
        <v>1</v>
      </c>
      <c r="F128">
        <v>1</v>
      </c>
      <c r="G128">
        <v>35</v>
      </c>
      <c r="H128">
        <v>3</v>
      </c>
      <c r="I128" t="s">
        <v>545</v>
      </c>
      <c r="J128" t="s">
        <v>546</v>
      </c>
      <c r="K128" t="s">
        <v>547</v>
      </c>
      <c r="L128">
        <v>1339</v>
      </c>
      <c r="N128">
        <v>1007</v>
      </c>
      <c r="O128" t="s">
        <v>394</v>
      </c>
      <c r="P128" t="s">
        <v>394</v>
      </c>
      <c r="Q128">
        <v>1</v>
      </c>
      <c r="X128">
        <v>0.41599999999999998</v>
      </c>
      <c r="Y128">
        <v>5567.32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3</v>
      </c>
      <c r="AG128">
        <v>0.41599999999999998</v>
      </c>
      <c r="AH128">
        <v>3</v>
      </c>
      <c r="AI128">
        <v>-1</v>
      </c>
      <c r="AJ128" t="s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ROW(Source!A174)</f>
        <v>174</v>
      </c>
      <c r="B129">
        <v>72192431</v>
      </c>
      <c r="C129">
        <v>71588461</v>
      </c>
      <c r="D129">
        <v>71757693</v>
      </c>
      <c r="E129">
        <v>35</v>
      </c>
      <c r="F129">
        <v>1</v>
      </c>
      <c r="G129">
        <v>35</v>
      </c>
      <c r="H129">
        <v>1</v>
      </c>
      <c r="I129" t="s">
        <v>375</v>
      </c>
      <c r="J129" t="s">
        <v>3</v>
      </c>
      <c r="K129" t="s">
        <v>376</v>
      </c>
      <c r="L129">
        <v>1191</v>
      </c>
      <c r="N129">
        <v>1013</v>
      </c>
      <c r="O129" t="s">
        <v>377</v>
      </c>
      <c r="P129" t="s">
        <v>377</v>
      </c>
      <c r="Q129">
        <v>1</v>
      </c>
      <c r="X129">
        <v>17.89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1</v>
      </c>
      <c r="AF129" t="s">
        <v>3</v>
      </c>
      <c r="AG129">
        <v>17.89</v>
      </c>
      <c r="AH129">
        <v>3</v>
      </c>
      <c r="AI129">
        <v>-1</v>
      </c>
      <c r="AJ129" t="s">
        <v>3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ROW(Source!A175)</f>
        <v>175</v>
      </c>
      <c r="B130">
        <v>72192432</v>
      </c>
      <c r="C130">
        <v>71588463</v>
      </c>
      <c r="D130">
        <v>71757693</v>
      </c>
      <c r="E130">
        <v>35</v>
      </c>
      <c r="F130">
        <v>1</v>
      </c>
      <c r="G130">
        <v>35</v>
      </c>
      <c r="H130">
        <v>1</v>
      </c>
      <c r="I130" t="s">
        <v>375</v>
      </c>
      <c r="J130" t="s">
        <v>3</v>
      </c>
      <c r="K130" t="s">
        <v>376</v>
      </c>
      <c r="L130">
        <v>1191</v>
      </c>
      <c r="N130">
        <v>1013</v>
      </c>
      <c r="O130" t="s">
        <v>377</v>
      </c>
      <c r="P130" t="s">
        <v>377</v>
      </c>
      <c r="Q130">
        <v>1</v>
      </c>
      <c r="X130">
        <v>9.64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1</v>
      </c>
      <c r="AF130" t="s">
        <v>3</v>
      </c>
      <c r="AG130">
        <v>9.64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ROW(Source!A176)</f>
        <v>176</v>
      </c>
      <c r="B131">
        <v>72192433</v>
      </c>
      <c r="C131">
        <v>71588465</v>
      </c>
      <c r="D131">
        <v>71757693</v>
      </c>
      <c r="E131">
        <v>35</v>
      </c>
      <c r="F131">
        <v>1</v>
      </c>
      <c r="G131">
        <v>35</v>
      </c>
      <c r="H131">
        <v>1</v>
      </c>
      <c r="I131" t="s">
        <v>375</v>
      </c>
      <c r="J131" t="s">
        <v>3</v>
      </c>
      <c r="K131" t="s">
        <v>376</v>
      </c>
      <c r="L131">
        <v>1191</v>
      </c>
      <c r="N131">
        <v>1013</v>
      </c>
      <c r="O131" t="s">
        <v>377</v>
      </c>
      <c r="P131" t="s">
        <v>377</v>
      </c>
      <c r="Q131">
        <v>1</v>
      </c>
      <c r="X131">
        <v>46.78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 t="s">
        <v>3</v>
      </c>
      <c r="AG131">
        <v>46.78</v>
      </c>
      <c r="AH131">
        <v>3</v>
      </c>
      <c r="AI131">
        <v>-1</v>
      </c>
      <c r="AJ131" t="s">
        <v>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ROW(Source!A176)</f>
        <v>176</v>
      </c>
      <c r="B132">
        <v>72192434</v>
      </c>
      <c r="C132">
        <v>71588465</v>
      </c>
      <c r="D132">
        <v>71771145</v>
      </c>
      <c r="E132">
        <v>1</v>
      </c>
      <c r="F132">
        <v>1</v>
      </c>
      <c r="G132">
        <v>35</v>
      </c>
      <c r="H132">
        <v>2</v>
      </c>
      <c r="I132" t="s">
        <v>548</v>
      </c>
      <c r="J132" t="s">
        <v>549</v>
      </c>
      <c r="K132" t="s">
        <v>550</v>
      </c>
      <c r="L132">
        <v>1368</v>
      </c>
      <c r="N132">
        <v>1011</v>
      </c>
      <c r="O132" t="s">
        <v>381</v>
      </c>
      <c r="P132" t="s">
        <v>381</v>
      </c>
      <c r="Q132">
        <v>1</v>
      </c>
      <c r="X132">
        <v>13</v>
      </c>
      <c r="Y132">
        <v>0</v>
      </c>
      <c r="Z132">
        <v>3.21</v>
      </c>
      <c r="AA132">
        <v>0.01</v>
      </c>
      <c r="AB132">
        <v>0</v>
      </c>
      <c r="AC132">
        <v>0</v>
      </c>
      <c r="AD132">
        <v>1</v>
      </c>
      <c r="AE132">
        <v>0</v>
      </c>
      <c r="AF132" t="s">
        <v>3</v>
      </c>
      <c r="AG132">
        <v>13</v>
      </c>
      <c r="AH132">
        <v>3</v>
      </c>
      <c r="AI132">
        <v>-1</v>
      </c>
      <c r="AJ132" t="s">
        <v>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ROW(Source!A176)</f>
        <v>176</v>
      </c>
      <c r="B133">
        <v>72192435</v>
      </c>
      <c r="C133">
        <v>71588465</v>
      </c>
      <c r="D133">
        <v>71771225</v>
      </c>
      <c r="E133">
        <v>1</v>
      </c>
      <c r="F133">
        <v>1</v>
      </c>
      <c r="G133">
        <v>35</v>
      </c>
      <c r="H133">
        <v>2</v>
      </c>
      <c r="I133" t="s">
        <v>497</v>
      </c>
      <c r="J133" t="s">
        <v>498</v>
      </c>
      <c r="K133" t="s">
        <v>499</v>
      </c>
      <c r="L133">
        <v>1368</v>
      </c>
      <c r="N133">
        <v>1011</v>
      </c>
      <c r="O133" t="s">
        <v>381</v>
      </c>
      <c r="P133" t="s">
        <v>381</v>
      </c>
      <c r="Q133">
        <v>1</v>
      </c>
      <c r="X133">
        <v>0.15</v>
      </c>
      <c r="Y133">
        <v>0</v>
      </c>
      <c r="Z133">
        <v>8.07</v>
      </c>
      <c r="AA133">
        <v>1.22</v>
      </c>
      <c r="AB133">
        <v>0</v>
      </c>
      <c r="AC133">
        <v>0</v>
      </c>
      <c r="AD133">
        <v>1</v>
      </c>
      <c r="AE133">
        <v>0</v>
      </c>
      <c r="AF133" t="s">
        <v>3</v>
      </c>
      <c r="AG133">
        <v>0.15</v>
      </c>
      <c r="AH133">
        <v>3</v>
      </c>
      <c r="AI133">
        <v>-1</v>
      </c>
      <c r="AJ133" t="s">
        <v>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ROW(Source!A176)</f>
        <v>176</v>
      </c>
      <c r="B134">
        <v>72192436</v>
      </c>
      <c r="C134">
        <v>71588465</v>
      </c>
      <c r="D134">
        <v>71772392</v>
      </c>
      <c r="E134">
        <v>1</v>
      </c>
      <c r="F134">
        <v>1</v>
      </c>
      <c r="G134">
        <v>35</v>
      </c>
      <c r="H134">
        <v>3</v>
      </c>
      <c r="I134" t="s">
        <v>551</v>
      </c>
      <c r="J134" t="s">
        <v>552</v>
      </c>
      <c r="K134" t="s">
        <v>553</v>
      </c>
      <c r="L134">
        <v>1348</v>
      </c>
      <c r="N134">
        <v>1009</v>
      </c>
      <c r="O134" t="s">
        <v>38</v>
      </c>
      <c r="P134" t="s">
        <v>38</v>
      </c>
      <c r="Q134">
        <v>1000</v>
      </c>
      <c r="X134">
        <v>7.3999999999999999E-4</v>
      </c>
      <c r="Y134">
        <v>270642.38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3</v>
      </c>
      <c r="AG134">
        <v>7.3999999999999999E-4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ROW(Source!A176)</f>
        <v>176</v>
      </c>
      <c r="B135">
        <v>72192437</v>
      </c>
      <c r="C135">
        <v>71588465</v>
      </c>
      <c r="D135">
        <v>71772365</v>
      </c>
      <c r="E135">
        <v>1</v>
      </c>
      <c r="F135">
        <v>1</v>
      </c>
      <c r="G135">
        <v>35</v>
      </c>
      <c r="H135">
        <v>3</v>
      </c>
      <c r="I135" t="s">
        <v>554</v>
      </c>
      <c r="J135" t="s">
        <v>555</v>
      </c>
      <c r="K135" t="s">
        <v>556</v>
      </c>
      <c r="L135">
        <v>1355</v>
      </c>
      <c r="N135">
        <v>1010</v>
      </c>
      <c r="O135" t="s">
        <v>33</v>
      </c>
      <c r="P135" t="s">
        <v>33</v>
      </c>
      <c r="Q135">
        <v>100</v>
      </c>
      <c r="X135">
        <v>4</v>
      </c>
      <c r="Y135">
        <v>1445.21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3</v>
      </c>
      <c r="AG135">
        <v>4</v>
      </c>
      <c r="AH135">
        <v>3</v>
      </c>
      <c r="AI135">
        <v>-1</v>
      </c>
      <c r="AJ135" t="s">
        <v>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ROW(Source!A176)</f>
        <v>176</v>
      </c>
      <c r="B136">
        <v>72192438</v>
      </c>
      <c r="C136">
        <v>71588465</v>
      </c>
      <c r="D136">
        <v>71773805</v>
      </c>
      <c r="E136">
        <v>1</v>
      </c>
      <c r="F136">
        <v>1</v>
      </c>
      <c r="G136">
        <v>35</v>
      </c>
      <c r="H136">
        <v>3</v>
      </c>
      <c r="I136" t="s">
        <v>557</v>
      </c>
      <c r="J136" t="s">
        <v>558</v>
      </c>
      <c r="K136" t="s">
        <v>559</v>
      </c>
      <c r="L136">
        <v>1301</v>
      </c>
      <c r="N136">
        <v>1003</v>
      </c>
      <c r="O136" t="s">
        <v>475</v>
      </c>
      <c r="P136" t="s">
        <v>475</v>
      </c>
      <c r="Q136">
        <v>1</v>
      </c>
      <c r="X136">
        <v>100</v>
      </c>
      <c r="Y136">
        <v>75.040000000000006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3</v>
      </c>
      <c r="AG136">
        <v>100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ROW(Source!A176)</f>
        <v>176</v>
      </c>
      <c r="B137">
        <v>72192439</v>
      </c>
      <c r="C137">
        <v>71588465</v>
      </c>
      <c r="D137">
        <v>71773806</v>
      </c>
      <c r="E137">
        <v>1</v>
      </c>
      <c r="F137">
        <v>1</v>
      </c>
      <c r="G137">
        <v>35</v>
      </c>
      <c r="H137">
        <v>3</v>
      </c>
      <c r="I137" t="s">
        <v>560</v>
      </c>
      <c r="J137" t="s">
        <v>561</v>
      </c>
      <c r="K137" t="s">
        <v>562</v>
      </c>
      <c r="L137">
        <v>1356</v>
      </c>
      <c r="N137">
        <v>1010</v>
      </c>
      <c r="O137" t="s">
        <v>563</v>
      </c>
      <c r="P137" t="s">
        <v>563</v>
      </c>
      <c r="Q137">
        <v>1000</v>
      </c>
      <c r="X137">
        <v>2E-3</v>
      </c>
      <c r="Y137">
        <v>69133.5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3</v>
      </c>
      <c r="AG137">
        <v>2E-3</v>
      </c>
      <c r="AH137">
        <v>3</v>
      </c>
      <c r="AI137">
        <v>-1</v>
      </c>
      <c r="AJ137" t="s">
        <v>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ROW(Source!A176)</f>
        <v>176</v>
      </c>
      <c r="B138">
        <v>72192440</v>
      </c>
      <c r="C138">
        <v>71588465</v>
      </c>
      <c r="D138">
        <v>71773807</v>
      </c>
      <c r="E138">
        <v>1</v>
      </c>
      <c r="F138">
        <v>1</v>
      </c>
      <c r="G138">
        <v>35</v>
      </c>
      <c r="H138">
        <v>3</v>
      </c>
      <c r="I138" t="s">
        <v>564</v>
      </c>
      <c r="J138" t="s">
        <v>565</v>
      </c>
      <c r="K138" t="s">
        <v>566</v>
      </c>
      <c r="L138">
        <v>1356</v>
      </c>
      <c r="N138">
        <v>1010</v>
      </c>
      <c r="O138" t="s">
        <v>563</v>
      </c>
      <c r="P138" t="s">
        <v>563</v>
      </c>
      <c r="Q138">
        <v>1000</v>
      </c>
      <c r="X138">
        <v>1.4999999999999999E-2</v>
      </c>
      <c r="Y138">
        <v>68323.490000000005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3</v>
      </c>
      <c r="AG138">
        <v>1.4999999999999999E-2</v>
      </c>
      <c r="AH138">
        <v>3</v>
      </c>
      <c r="AI138">
        <v>-1</v>
      </c>
      <c r="AJ138" t="s">
        <v>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ROW(Source!A176)</f>
        <v>176</v>
      </c>
      <c r="B139">
        <v>72192441</v>
      </c>
      <c r="C139">
        <v>71588465</v>
      </c>
      <c r="D139">
        <v>71773808</v>
      </c>
      <c r="E139">
        <v>1</v>
      </c>
      <c r="F139">
        <v>1</v>
      </c>
      <c r="G139">
        <v>35</v>
      </c>
      <c r="H139">
        <v>3</v>
      </c>
      <c r="I139" t="s">
        <v>567</v>
      </c>
      <c r="J139" t="s">
        <v>568</v>
      </c>
      <c r="K139" t="s">
        <v>569</v>
      </c>
      <c r="L139">
        <v>1356</v>
      </c>
      <c r="N139">
        <v>1010</v>
      </c>
      <c r="O139" t="s">
        <v>563</v>
      </c>
      <c r="P139" t="s">
        <v>563</v>
      </c>
      <c r="Q139">
        <v>1000</v>
      </c>
      <c r="X139">
        <v>2E-3</v>
      </c>
      <c r="Y139">
        <v>90923.33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3</v>
      </c>
      <c r="AG139">
        <v>2E-3</v>
      </c>
      <c r="AH139">
        <v>3</v>
      </c>
      <c r="AI139">
        <v>-1</v>
      </c>
      <c r="AJ139" t="s">
        <v>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ROW(Source!A176)</f>
        <v>176</v>
      </c>
      <c r="B140">
        <v>72192442</v>
      </c>
      <c r="C140">
        <v>71588465</v>
      </c>
      <c r="D140">
        <v>71773809</v>
      </c>
      <c r="E140">
        <v>1</v>
      </c>
      <c r="F140">
        <v>1</v>
      </c>
      <c r="G140">
        <v>35</v>
      </c>
      <c r="H140">
        <v>3</v>
      </c>
      <c r="I140" t="s">
        <v>570</v>
      </c>
      <c r="J140" t="s">
        <v>571</v>
      </c>
      <c r="K140" t="s">
        <v>572</v>
      </c>
      <c r="L140">
        <v>1356</v>
      </c>
      <c r="N140">
        <v>1010</v>
      </c>
      <c r="O140" t="s">
        <v>563</v>
      </c>
      <c r="P140" t="s">
        <v>563</v>
      </c>
      <c r="Q140">
        <v>1000</v>
      </c>
      <c r="X140">
        <v>1.4999999999999999E-2</v>
      </c>
      <c r="Y140">
        <v>42621.89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3</v>
      </c>
      <c r="AG140">
        <v>1.4999999999999999E-2</v>
      </c>
      <c r="AH140">
        <v>3</v>
      </c>
      <c r="AI140">
        <v>-1</v>
      </c>
      <c r="AJ140" t="s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ROW(Source!A176)</f>
        <v>176</v>
      </c>
      <c r="B141">
        <v>72192443</v>
      </c>
      <c r="C141">
        <v>71588465</v>
      </c>
      <c r="D141">
        <v>71773810</v>
      </c>
      <c r="E141">
        <v>1</v>
      </c>
      <c r="F141">
        <v>1</v>
      </c>
      <c r="G141">
        <v>35</v>
      </c>
      <c r="H141">
        <v>3</v>
      </c>
      <c r="I141" t="s">
        <v>573</v>
      </c>
      <c r="J141" t="s">
        <v>574</v>
      </c>
      <c r="K141" t="s">
        <v>575</v>
      </c>
      <c r="L141">
        <v>1356</v>
      </c>
      <c r="N141">
        <v>1010</v>
      </c>
      <c r="O141" t="s">
        <v>563</v>
      </c>
      <c r="P141" t="s">
        <v>563</v>
      </c>
      <c r="Q141">
        <v>1000</v>
      </c>
      <c r="X141">
        <v>2E-3</v>
      </c>
      <c r="Y141">
        <v>98746.92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3</v>
      </c>
      <c r="AG141">
        <v>2E-3</v>
      </c>
      <c r="AH141">
        <v>3</v>
      </c>
      <c r="AI141">
        <v>-1</v>
      </c>
      <c r="AJ141" t="s">
        <v>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ROW(Source!A176)</f>
        <v>176</v>
      </c>
      <c r="B142">
        <v>72192444</v>
      </c>
      <c r="C142">
        <v>71588465</v>
      </c>
      <c r="D142">
        <v>71773811</v>
      </c>
      <c r="E142">
        <v>1</v>
      </c>
      <c r="F142">
        <v>1</v>
      </c>
      <c r="G142">
        <v>35</v>
      </c>
      <c r="H142">
        <v>3</v>
      </c>
      <c r="I142" t="s">
        <v>576</v>
      </c>
      <c r="J142" t="s">
        <v>577</v>
      </c>
      <c r="K142" t="s">
        <v>578</v>
      </c>
      <c r="L142">
        <v>1356</v>
      </c>
      <c r="N142">
        <v>1010</v>
      </c>
      <c r="O142" t="s">
        <v>563</v>
      </c>
      <c r="P142" t="s">
        <v>563</v>
      </c>
      <c r="Q142">
        <v>1000</v>
      </c>
      <c r="X142">
        <v>4.0000000000000001E-3</v>
      </c>
      <c r="Y142">
        <v>20664.57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3</v>
      </c>
      <c r="AG142">
        <v>4.0000000000000001E-3</v>
      </c>
      <c r="AH142">
        <v>3</v>
      </c>
      <c r="AI142">
        <v>-1</v>
      </c>
      <c r="AJ142" t="s">
        <v>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ROW(Source!A176)</f>
        <v>176</v>
      </c>
      <c r="B143">
        <v>72192445</v>
      </c>
      <c r="C143">
        <v>71588465</v>
      </c>
      <c r="D143">
        <v>71775671</v>
      </c>
      <c r="E143">
        <v>1</v>
      </c>
      <c r="F143">
        <v>1</v>
      </c>
      <c r="G143">
        <v>35</v>
      </c>
      <c r="H143">
        <v>3</v>
      </c>
      <c r="I143" t="s">
        <v>579</v>
      </c>
      <c r="J143" t="s">
        <v>580</v>
      </c>
      <c r="K143" t="s">
        <v>581</v>
      </c>
      <c r="L143">
        <v>1354</v>
      </c>
      <c r="N143">
        <v>1010</v>
      </c>
      <c r="O143" t="s">
        <v>51</v>
      </c>
      <c r="P143" t="s">
        <v>51</v>
      </c>
      <c r="Q143">
        <v>1</v>
      </c>
      <c r="X143">
        <v>4</v>
      </c>
      <c r="Y143">
        <v>2094.7399999999998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3</v>
      </c>
      <c r="AG143">
        <v>4</v>
      </c>
      <c r="AH143">
        <v>3</v>
      </c>
      <c r="AI143">
        <v>-1</v>
      </c>
      <c r="AJ143" t="s">
        <v>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ROW(Source!A177)</f>
        <v>177</v>
      </c>
      <c r="B144">
        <v>72192446</v>
      </c>
      <c r="C144">
        <v>71588479</v>
      </c>
      <c r="D144">
        <v>71757693</v>
      </c>
      <c r="E144">
        <v>35</v>
      </c>
      <c r="F144">
        <v>1</v>
      </c>
      <c r="G144">
        <v>35</v>
      </c>
      <c r="H144">
        <v>1</v>
      </c>
      <c r="I144" t="s">
        <v>375</v>
      </c>
      <c r="J144" t="s">
        <v>3</v>
      </c>
      <c r="K144" t="s">
        <v>376</v>
      </c>
      <c r="L144">
        <v>1191</v>
      </c>
      <c r="N144">
        <v>1013</v>
      </c>
      <c r="O144" t="s">
        <v>377</v>
      </c>
      <c r="P144" t="s">
        <v>377</v>
      </c>
      <c r="Q144">
        <v>1</v>
      </c>
      <c r="X144">
        <v>17.260000000000002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1</v>
      </c>
      <c r="AF144" t="s">
        <v>3</v>
      </c>
      <c r="AG144">
        <v>17.260000000000002</v>
      </c>
      <c r="AH144">
        <v>3</v>
      </c>
      <c r="AI144">
        <v>-1</v>
      </c>
      <c r="AJ144" t="s">
        <v>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ROW(Source!A177)</f>
        <v>177</v>
      </c>
      <c r="B145">
        <v>72192447</v>
      </c>
      <c r="C145">
        <v>71588479</v>
      </c>
      <c r="D145">
        <v>71771226</v>
      </c>
      <c r="E145">
        <v>1</v>
      </c>
      <c r="F145">
        <v>1</v>
      </c>
      <c r="G145">
        <v>35</v>
      </c>
      <c r="H145">
        <v>2</v>
      </c>
      <c r="I145" t="s">
        <v>466</v>
      </c>
      <c r="J145" t="s">
        <v>467</v>
      </c>
      <c r="K145" t="s">
        <v>468</v>
      </c>
      <c r="L145">
        <v>1368</v>
      </c>
      <c r="N145">
        <v>1011</v>
      </c>
      <c r="O145" t="s">
        <v>381</v>
      </c>
      <c r="P145" t="s">
        <v>381</v>
      </c>
      <c r="Q145">
        <v>1</v>
      </c>
      <c r="X145">
        <v>4.8499999999999996</v>
      </c>
      <c r="Y145">
        <v>0</v>
      </c>
      <c r="Z145">
        <v>8.8000000000000007</v>
      </c>
      <c r="AA145">
        <v>1.22</v>
      </c>
      <c r="AB145">
        <v>0</v>
      </c>
      <c r="AC145">
        <v>0</v>
      </c>
      <c r="AD145">
        <v>1</v>
      </c>
      <c r="AE145">
        <v>0</v>
      </c>
      <c r="AF145" t="s">
        <v>3</v>
      </c>
      <c r="AG145">
        <v>4.8499999999999996</v>
      </c>
      <c r="AH145">
        <v>3</v>
      </c>
      <c r="AI145">
        <v>-1</v>
      </c>
      <c r="AJ145" t="s">
        <v>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ROW(Source!A177)</f>
        <v>177</v>
      </c>
      <c r="B146">
        <v>72192448</v>
      </c>
      <c r="C146">
        <v>71588479</v>
      </c>
      <c r="D146">
        <v>71771187</v>
      </c>
      <c r="E146">
        <v>1</v>
      </c>
      <c r="F146">
        <v>1</v>
      </c>
      <c r="G146">
        <v>35</v>
      </c>
      <c r="H146">
        <v>2</v>
      </c>
      <c r="I146" t="s">
        <v>378</v>
      </c>
      <c r="J146" t="s">
        <v>379</v>
      </c>
      <c r="K146" t="s">
        <v>380</v>
      </c>
      <c r="L146">
        <v>1368</v>
      </c>
      <c r="N146">
        <v>1011</v>
      </c>
      <c r="O146" t="s">
        <v>381</v>
      </c>
      <c r="P146" t="s">
        <v>381</v>
      </c>
      <c r="Q146">
        <v>1</v>
      </c>
      <c r="X146">
        <v>0.48</v>
      </c>
      <c r="Y146">
        <v>0</v>
      </c>
      <c r="Z146">
        <v>5.27</v>
      </c>
      <c r="AA146">
        <v>0.01</v>
      </c>
      <c r="AB146">
        <v>0</v>
      </c>
      <c r="AC146">
        <v>0</v>
      </c>
      <c r="AD146">
        <v>1</v>
      </c>
      <c r="AE146">
        <v>0</v>
      </c>
      <c r="AF146" t="s">
        <v>3</v>
      </c>
      <c r="AG146">
        <v>0.48</v>
      </c>
      <c r="AH146">
        <v>3</v>
      </c>
      <c r="AI146">
        <v>-1</v>
      </c>
      <c r="AJ146" t="s">
        <v>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ROW(Source!A177)</f>
        <v>177</v>
      </c>
      <c r="B147">
        <v>72192449</v>
      </c>
      <c r="C147">
        <v>71588479</v>
      </c>
      <c r="D147">
        <v>71772392</v>
      </c>
      <c r="E147">
        <v>1</v>
      </c>
      <c r="F147">
        <v>1</v>
      </c>
      <c r="G147">
        <v>35</v>
      </c>
      <c r="H147">
        <v>3</v>
      </c>
      <c r="I147" t="s">
        <v>551</v>
      </c>
      <c r="J147" t="s">
        <v>552</v>
      </c>
      <c r="K147" t="s">
        <v>553</v>
      </c>
      <c r="L147">
        <v>1348</v>
      </c>
      <c r="N147">
        <v>1009</v>
      </c>
      <c r="O147" t="s">
        <v>38</v>
      </c>
      <c r="P147" t="s">
        <v>38</v>
      </c>
      <c r="Q147">
        <v>1000</v>
      </c>
      <c r="X147">
        <v>2.2200000000000002E-3</v>
      </c>
      <c r="Y147">
        <v>270642.38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3</v>
      </c>
      <c r="AG147">
        <v>2.2200000000000002E-3</v>
      </c>
      <c r="AH147">
        <v>3</v>
      </c>
      <c r="AI147">
        <v>-1</v>
      </c>
      <c r="AJ147" t="s">
        <v>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ROW(Source!A177)</f>
        <v>177</v>
      </c>
      <c r="B148">
        <v>72192450</v>
      </c>
      <c r="C148">
        <v>71588479</v>
      </c>
      <c r="D148">
        <v>71772482</v>
      </c>
      <c r="E148">
        <v>1</v>
      </c>
      <c r="F148">
        <v>1</v>
      </c>
      <c r="G148">
        <v>35</v>
      </c>
      <c r="H148">
        <v>3</v>
      </c>
      <c r="I148" t="s">
        <v>469</v>
      </c>
      <c r="J148" t="s">
        <v>470</v>
      </c>
      <c r="K148" t="s">
        <v>471</v>
      </c>
      <c r="L148">
        <v>1354</v>
      </c>
      <c r="N148">
        <v>1010</v>
      </c>
      <c r="O148" t="s">
        <v>51</v>
      </c>
      <c r="P148" t="s">
        <v>51</v>
      </c>
      <c r="Q148">
        <v>1</v>
      </c>
      <c r="X148">
        <v>120</v>
      </c>
      <c r="Y148">
        <v>1.7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3</v>
      </c>
      <c r="AG148">
        <v>120</v>
      </c>
      <c r="AH148">
        <v>3</v>
      </c>
      <c r="AI148">
        <v>-1</v>
      </c>
      <c r="AJ148" t="s">
        <v>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ROW(Source!A177)</f>
        <v>177</v>
      </c>
      <c r="B149">
        <v>72192451</v>
      </c>
      <c r="C149">
        <v>71588479</v>
      </c>
      <c r="D149">
        <v>71777349</v>
      </c>
      <c r="E149">
        <v>1</v>
      </c>
      <c r="F149">
        <v>1</v>
      </c>
      <c r="G149">
        <v>35</v>
      </c>
      <c r="H149">
        <v>3</v>
      </c>
      <c r="I149" t="s">
        <v>582</v>
      </c>
      <c r="J149" t="s">
        <v>583</v>
      </c>
      <c r="K149" t="s">
        <v>584</v>
      </c>
      <c r="L149">
        <v>1301</v>
      </c>
      <c r="N149">
        <v>1003</v>
      </c>
      <c r="O149" t="s">
        <v>475</v>
      </c>
      <c r="P149" t="s">
        <v>475</v>
      </c>
      <c r="Q149">
        <v>1</v>
      </c>
      <c r="X149">
        <v>102</v>
      </c>
      <c r="Y149">
        <v>25.92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3</v>
      </c>
      <c r="AG149">
        <v>102</v>
      </c>
      <c r="AH149">
        <v>3</v>
      </c>
      <c r="AI149">
        <v>-1</v>
      </c>
      <c r="AJ149" t="s">
        <v>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ROW(Source!A177)</f>
        <v>177</v>
      </c>
      <c r="B150">
        <v>72192452</v>
      </c>
      <c r="C150">
        <v>71588479</v>
      </c>
      <c r="D150">
        <v>71780570</v>
      </c>
      <c r="E150">
        <v>1</v>
      </c>
      <c r="F150">
        <v>1</v>
      </c>
      <c r="G150">
        <v>35</v>
      </c>
      <c r="H150">
        <v>3</v>
      </c>
      <c r="I150" t="s">
        <v>585</v>
      </c>
      <c r="J150" t="s">
        <v>586</v>
      </c>
      <c r="K150" t="s">
        <v>587</v>
      </c>
      <c r="L150">
        <v>1355</v>
      </c>
      <c r="N150">
        <v>1010</v>
      </c>
      <c r="O150" t="s">
        <v>33</v>
      </c>
      <c r="P150" t="s">
        <v>33</v>
      </c>
      <c r="Q150">
        <v>100</v>
      </c>
      <c r="X150">
        <v>1</v>
      </c>
      <c r="Y150">
        <v>453.4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3</v>
      </c>
      <c r="AG150">
        <v>1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ROW(Source!A177)</f>
        <v>177</v>
      </c>
      <c r="B151">
        <v>72192453</v>
      </c>
      <c r="C151">
        <v>71588479</v>
      </c>
      <c r="D151">
        <v>71780292</v>
      </c>
      <c r="E151">
        <v>1</v>
      </c>
      <c r="F151">
        <v>1</v>
      </c>
      <c r="G151">
        <v>35</v>
      </c>
      <c r="H151">
        <v>3</v>
      </c>
      <c r="I151" t="s">
        <v>588</v>
      </c>
      <c r="J151" t="s">
        <v>589</v>
      </c>
      <c r="K151" t="s">
        <v>590</v>
      </c>
      <c r="L151">
        <v>1354</v>
      </c>
      <c r="N151">
        <v>1010</v>
      </c>
      <c r="O151" t="s">
        <v>51</v>
      </c>
      <c r="P151" t="s">
        <v>51</v>
      </c>
      <c r="Q151">
        <v>1</v>
      </c>
      <c r="X151">
        <v>5</v>
      </c>
      <c r="Y151">
        <v>38.94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3</v>
      </c>
      <c r="AG151">
        <v>5</v>
      </c>
      <c r="AH151">
        <v>3</v>
      </c>
      <c r="AI151">
        <v>-1</v>
      </c>
      <c r="AJ151" t="s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ROW(Source!A177)</f>
        <v>177</v>
      </c>
      <c r="B152">
        <v>72192454</v>
      </c>
      <c r="C152">
        <v>71588479</v>
      </c>
      <c r="D152">
        <v>71775619</v>
      </c>
      <c r="E152">
        <v>1</v>
      </c>
      <c r="F152">
        <v>1</v>
      </c>
      <c r="G152">
        <v>35</v>
      </c>
      <c r="H152">
        <v>3</v>
      </c>
      <c r="I152" t="s">
        <v>591</v>
      </c>
      <c r="J152" t="s">
        <v>592</v>
      </c>
      <c r="K152" t="s">
        <v>593</v>
      </c>
      <c r="L152">
        <v>1354</v>
      </c>
      <c r="N152">
        <v>1010</v>
      </c>
      <c r="O152" t="s">
        <v>51</v>
      </c>
      <c r="P152" t="s">
        <v>51</v>
      </c>
      <c r="Q152">
        <v>1</v>
      </c>
      <c r="X152">
        <v>1.5</v>
      </c>
      <c r="Y152">
        <v>310.08999999999997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3</v>
      </c>
      <c r="AG152">
        <v>1.5</v>
      </c>
      <c r="AH152">
        <v>3</v>
      </c>
      <c r="AI152">
        <v>-1</v>
      </c>
      <c r="AJ152" t="s">
        <v>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ROW(Source!A178)</f>
        <v>178</v>
      </c>
      <c r="B153">
        <v>72192455</v>
      </c>
      <c r="C153">
        <v>71588489</v>
      </c>
      <c r="D153">
        <v>71757693</v>
      </c>
      <c r="E153">
        <v>35</v>
      </c>
      <c r="F153">
        <v>1</v>
      </c>
      <c r="G153">
        <v>35</v>
      </c>
      <c r="H153">
        <v>1</v>
      </c>
      <c r="I153" t="s">
        <v>375</v>
      </c>
      <c r="J153" t="s">
        <v>3</v>
      </c>
      <c r="K153" t="s">
        <v>376</v>
      </c>
      <c r="L153">
        <v>1191</v>
      </c>
      <c r="N153">
        <v>1013</v>
      </c>
      <c r="O153" t="s">
        <v>377</v>
      </c>
      <c r="P153" t="s">
        <v>377</v>
      </c>
      <c r="Q153">
        <v>1</v>
      </c>
      <c r="X153">
        <v>7.11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1</v>
      </c>
      <c r="AF153" t="s">
        <v>3</v>
      </c>
      <c r="AG153">
        <v>7.11</v>
      </c>
      <c r="AH153">
        <v>3</v>
      </c>
      <c r="AI153">
        <v>-1</v>
      </c>
      <c r="AJ153" t="s">
        <v>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ROW(Source!A180)</f>
        <v>180</v>
      </c>
      <c r="B154">
        <v>72192456</v>
      </c>
      <c r="C154">
        <v>71588493</v>
      </c>
      <c r="D154">
        <v>71757693</v>
      </c>
      <c r="E154">
        <v>35</v>
      </c>
      <c r="F154">
        <v>1</v>
      </c>
      <c r="G154">
        <v>35</v>
      </c>
      <c r="H154">
        <v>1</v>
      </c>
      <c r="I154" t="s">
        <v>375</v>
      </c>
      <c r="J154" t="s">
        <v>3</v>
      </c>
      <c r="K154" t="s">
        <v>376</v>
      </c>
      <c r="L154">
        <v>1191</v>
      </c>
      <c r="N154">
        <v>1013</v>
      </c>
      <c r="O154" t="s">
        <v>377</v>
      </c>
      <c r="P154" t="s">
        <v>377</v>
      </c>
      <c r="Q154">
        <v>1</v>
      </c>
      <c r="X154">
        <v>29.74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 t="s">
        <v>3</v>
      </c>
      <c r="AG154">
        <v>29.74</v>
      </c>
      <c r="AH154">
        <v>3</v>
      </c>
      <c r="AI154">
        <v>-1</v>
      </c>
      <c r="AJ154" t="s">
        <v>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ROW(Source!A183)</f>
        <v>183</v>
      </c>
      <c r="B155">
        <v>72192457</v>
      </c>
      <c r="C155">
        <v>71588499</v>
      </c>
      <c r="D155">
        <v>71757693</v>
      </c>
      <c r="E155">
        <v>35</v>
      </c>
      <c r="F155">
        <v>1</v>
      </c>
      <c r="G155">
        <v>35</v>
      </c>
      <c r="H155">
        <v>1</v>
      </c>
      <c r="I155" t="s">
        <v>375</v>
      </c>
      <c r="J155" t="s">
        <v>3</v>
      </c>
      <c r="K155" t="s">
        <v>376</v>
      </c>
      <c r="L155">
        <v>1191</v>
      </c>
      <c r="N155">
        <v>1013</v>
      </c>
      <c r="O155" t="s">
        <v>377</v>
      </c>
      <c r="P155" t="s">
        <v>377</v>
      </c>
      <c r="Q155">
        <v>1</v>
      </c>
      <c r="X155">
        <v>196.42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3</v>
      </c>
      <c r="AG155">
        <v>196.42</v>
      </c>
      <c r="AH155">
        <v>3</v>
      </c>
      <c r="AI155">
        <v>-1</v>
      </c>
      <c r="AJ155" t="s">
        <v>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ROW(Source!A255)</f>
        <v>255</v>
      </c>
      <c r="B156">
        <v>72192458</v>
      </c>
      <c r="C156">
        <v>71588737</v>
      </c>
      <c r="D156">
        <v>71757693</v>
      </c>
      <c r="E156">
        <v>35</v>
      </c>
      <c r="F156">
        <v>1</v>
      </c>
      <c r="G156">
        <v>35</v>
      </c>
      <c r="H156">
        <v>1</v>
      </c>
      <c r="I156" t="s">
        <v>375</v>
      </c>
      <c r="J156" t="s">
        <v>3</v>
      </c>
      <c r="K156" t="s">
        <v>376</v>
      </c>
      <c r="L156">
        <v>1191</v>
      </c>
      <c r="N156">
        <v>1013</v>
      </c>
      <c r="O156" t="s">
        <v>377</v>
      </c>
      <c r="P156" t="s">
        <v>377</v>
      </c>
      <c r="Q156">
        <v>1</v>
      </c>
      <c r="X156">
        <v>2.78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1</v>
      </c>
      <c r="AF156" t="s">
        <v>3</v>
      </c>
      <c r="AG156">
        <v>2.78</v>
      </c>
      <c r="AH156">
        <v>3</v>
      </c>
      <c r="AI156">
        <v>-1</v>
      </c>
      <c r="AJ156" t="s">
        <v>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ROW(Source!A255)</f>
        <v>255</v>
      </c>
      <c r="B157">
        <v>72192459</v>
      </c>
      <c r="C157">
        <v>71588737</v>
      </c>
      <c r="D157">
        <v>71771187</v>
      </c>
      <c r="E157">
        <v>1</v>
      </c>
      <c r="F157">
        <v>1</v>
      </c>
      <c r="G157">
        <v>35</v>
      </c>
      <c r="H157">
        <v>2</v>
      </c>
      <c r="I157" t="s">
        <v>378</v>
      </c>
      <c r="J157" t="s">
        <v>379</v>
      </c>
      <c r="K157" t="s">
        <v>380</v>
      </c>
      <c r="L157">
        <v>1368</v>
      </c>
      <c r="N157">
        <v>1011</v>
      </c>
      <c r="O157" t="s">
        <v>381</v>
      </c>
      <c r="P157" t="s">
        <v>381</v>
      </c>
      <c r="Q157">
        <v>1</v>
      </c>
      <c r="X157">
        <v>0.34</v>
      </c>
      <c r="Y157">
        <v>0</v>
      </c>
      <c r="Z157">
        <v>5.27</v>
      </c>
      <c r="AA157">
        <v>0.01</v>
      </c>
      <c r="AB157">
        <v>0</v>
      </c>
      <c r="AC157">
        <v>0</v>
      </c>
      <c r="AD157">
        <v>1</v>
      </c>
      <c r="AE157">
        <v>0</v>
      </c>
      <c r="AF157" t="s">
        <v>3</v>
      </c>
      <c r="AG157">
        <v>0.34</v>
      </c>
      <c r="AH157">
        <v>3</v>
      </c>
      <c r="AI157">
        <v>-1</v>
      </c>
      <c r="AJ157" t="s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ROW(Source!A256)</f>
        <v>256</v>
      </c>
      <c r="B158">
        <v>72192460</v>
      </c>
      <c r="C158">
        <v>71588742</v>
      </c>
      <c r="D158">
        <v>71757693</v>
      </c>
      <c r="E158">
        <v>35</v>
      </c>
      <c r="F158">
        <v>1</v>
      </c>
      <c r="G158">
        <v>35</v>
      </c>
      <c r="H158">
        <v>1</v>
      </c>
      <c r="I158" t="s">
        <v>375</v>
      </c>
      <c r="J158" t="s">
        <v>3</v>
      </c>
      <c r="K158" t="s">
        <v>376</v>
      </c>
      <c r="L158">
        <v>1191</v>
      </c>
      <c r="N158">
        <v>1013</v>
      </c>
      <c r="O158" t="s">
        <v>377</v>
      </c>
      <c r="P158" t="s">
        <v>377</v>
      </c>
      <c r="Q158">
        <v>1</v>
      </c>
      <c r="X158">
        <v>0.6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1</v>
      </c>
      <c r="AF158" t="s">
        <v>3</v>
      </c>
      <c r="AG158">
        <v>0.6</v>
      </c>
      <c r="AH158">
        <v>3</v>
      </c>
      <c r="AI158">
        <v>-1</v>
      </c>
      <c r="AJ158" t="s">
        <v>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ROW(Source!A257)</f>
        <v>257</v>
      </c>
      <c r="B159">
        <v>72192461</v>
      </c>
      <c r="C159">
        <v>71588745</v>
      </c>
      <c r="D159">
        <v>71757693</v>
      </c>
      <c r="E159">
        <v>35</v>
      </c>
      <c r="F159">
        <v>1</v>
      </c>
      <c r="G159">
        <v>35</v>
      </c>
      <c r="H159">
        <v>1</v>
      </c>
      <c r="I159" t="s">
        <v>375</v>
      </c>
      <c r="J159" t="s">
        <v>3</v>
      </c>
      <c r="K159" t="s">
        <v>376</v>
      </c>
      <c r="L159">
        <v>1191</v>
      </c>
      <c r="N159">
        <v>1013</v>
      </c>
      <c r="O159" t="s">
        <v>377</v>
      </c>
      <c r="P159" t="s">
        <v>377</v>
      </c>
      <c r="Q159">
        <v>1</v>
      </c>
      <c r="X159">
        <v>120.59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1</v>
      </c>
      <c r="AF159" t="s">
        <v>3</v>
      </c>
      <c r="AG159">
        <v>120.59</v>
      </c>
      <c r="AH159">
        <v>3</v>
      </c>
      <c r="AI159">
        <v>-1</v>
      </c>
      <c r="AJ159" t="s">
        <v>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ROW(Source!A257)</f>
        <v>257</v>
      </c>
      <c r="B160">
        <v>72192462</v>
      </c>
      <c r="C160">
        <v>71588745</v>
      </c>
      <c r="D160">
        <v>71770214</v>
      </c>
      <c r="E160">
        <v>35</v>
      </c>
      <c r="F160">
        <v>1</v>
      </c>
      <c r="G160">
        <v>35</v>
      </c>
      <c r="H160">
        <v>3</v>
      </c>
      <c r="I160" t="s">
        <v>36</v>
      </c>
      <c r="J160" t="s">
        <v>3</v>
      </c>
      <c r="K160" t="s">
        <v>37</v>
      </c>
      <c r="L160">
        <v>1348</v>
      </c>
      <c r="N160">
        <v>1009</v>
      </c>
      <c r="O160" t="s">
        <v>38</v>
      </c>
      <c r="P160" t="s">
        <v>38</v>
      </c>
      <c r="Q160">
        <v>1000</v>
      </c>
      <c r="X160">
        <v>8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 t="s">
        <v>3</v>
      </c>
      <c r="AG160">
        <v>8</v>
      </c>
      <c r="AH160">
        <v>3</v>
      </c>
      <c r="AI160">
        <v>-1</v>
      </c>
      <c r="AJ160" t="s">
        <v>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ROW(Source!A259)</f>
        <v>259</v>
      </c>
      <c r="B161">
        <v>72192463</v>
      </c>
      <c r="C161">
        <v>71588751</v>
      </c>
      <c r="D161">
        <v>71757693</v>
      </c>
      <c r="E161">
        <v>35</v>
      </c>
      <c r="F161">
        <v>1</v>
      </c>
      <c r="G161">
        <v>35</v>
      </c>
      <c r="H161">
        <v>1</v>
      </c>
      <c r="I161" t="s">
        <v>375</v>
      </c>
      <c r="J161" t="s">
        <v>3</v>
      </c>
      <c r="K161" t="s">
        <v>376</v>
      </c>
      <c r="L161">
        <v>1191</v>
      </c>
      <c r="N161">
        <v>1013</v>
      </c>
      <c r="O161" t="s">
        <v>377</v>
      </c>
      <c r="P161" t="s">
        <v>377</v>
      </c>
      <c r="Q161">
        <v>1</v>
      </c>
      <c r="X161">
        <v>49.34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</v>
      </c>
      <c r="AF161" t="s">
        <v>3</v>
      </c>
      <c r="AG161">
        <v>49.34</v>
      </c>
      <c r="AH161">
        <v>3</v>
      </c>
      <c r="AI161">
        <v>-1</v>
      </c>
      <c r="AJ161" t="s">
        <v>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ROW(Source!A259)</f>
        <v>259</v>
      </c>
      <c r="B162">
        <v>72192464</v>
      </c>
      <c r="C162">
        <v>71588751</v>
      </c>
      <c r="D162">
        <v>71770715</v>
      </c>
      <c r="E162">
        <v>1</v>
      </c>
      <c r="F162">
        <v>1</v>
      </c>
      <c r="G162">
        <v>35</v>
      </c>
      <c r="H162">
        <v>2</v>
      </c>
      <c r="I162" t="s">
        <v>388</v>
      </c>
      <c r="J162" t="s">
        <v>389</v>
      </c>
      <c r="K162" t="s">
        <v>390</v>
      </c>
      <c r="L162">
        <v>1368</v>
      </c>
      <c r="N162">
        <v>1011</v>
      </c>
      <c r="O162" t="s">
        <v>381</v>
      </c>
      <c r="P162" t="s">
        <v>381</v>
      </c>
      <c r="Q162">
        <v>1</v>
      </c>
      <c r="X162">
        <v>4.7</v>
      </c>
      <c r="Y162">
        <v>0</v>
      </c>
      <c r="Z162">
        <v>6.33</v>
      </c>
      <c r="AA162">
        <v>0.18</v>
      </c>
      <c r="AB162">
        <v>0</v>
      </c>
      <c r="AC162">
        <v>0</v>
      </c>
      <c r="AD162">
        <v>1</v>
      </c>
      <c r="AE162">
        <v>0</v>
      </c>
      <c r="AF162" t="s">
        <v>3</v>
      </c>
      <c r="AG162">
        <v>4.7</v>
      </c>
      <c r="AH162">
        <v>3</v>
      </c>
      <c r="AI162">
        <v>-1</v>
      </c>
      <c r="AJ162" t="s">
        <v>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ROW(Source!A259)</f>
        <v>259</v>
      </c>
      <c r="B163">
        <v>72192465</v>
      </c>
      <c r="C163">
        <v>71588751</v>
      </c>
      <c r="D163">
        <v>71771510</v>
      </c>
      <c r="E163">
        <v>1</v>
      </c>
      <c r="F163">
        <v>1</v>
      </c>
      <c r="G163">
        <v>35</v>
      </c>
      <c r="H163">
        <v>3</v>
      </c>
      <c r="I163" t="s">
        <v>391</v>
      </c>
      <c r="J163" t="s">
        <v>392</v>
      </c>
      <c r="K163" t="s">
        <v>393</v>
      </c>
      <c r="L163">
        <v>1339</v>
      </c>
      <c r="N163">
        <v>1007</v>
      </c>
      <c r="O163" t="s">
        <v>394</v>
      </c>
      <c r="P163" t="s">
        <v>394</v>
      </c>
      <c r="Q163">
        <v>1</v>
      </c>
      <c r="X163">
        <v>2.82</v>
      </c>
      <c r="Y163">
        <v>79.62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3</v>
      </c>
      <c r="AG163">
        <v>2.82</v>
      </c>
      <c r="AH163">
        <v>3</v>
      </c>
      <c r="AI163">
        <v>-1</v>
      </c>
      <c r="AJ163" t="s">
        <v>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ROW(Source!A259)</f>
        <v>259</v>
      </c>
      <c r="B164">
        <v>72192466</v>
      </c>
      <c r="C164">
        <v>71588751</v>
      </c>
      <c r="D164">
        <v>71771502</v>
      </c>
      <c r="E164">
        <v>1</v>
      </c>
      <c r="F164">
        <v>1</v>
      </c>
      <c r="G164">
        <v>35</v>
      </c>
      <c r="H164">
        <v>3</v>
      </c>
      <c r="I164" t="s">
        <v>395</v>
      </c>
      <c r="J164" t="s">
        <v>396</v>
      </c>
      <c r="K164" t="s">
        <v>397</v>
      </c>
      <c r="L164">
        <v>1339</v>
      </c>
      <c r="N164">
        <v>1007</v>
      </c>
      <c r="O164" t="s">
        <v>394</v>
      </c>
      <c r="P164" t="s">
        <v>394</v>
      </c>
      <c r="Q164">
        <v>1</v>
      </c>
      <c r="X164">
        <v>0.44</v>
      </c>
      <c r="Y164">
        <v>715.78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3</v>
      </c>
      <c r="AG164">
        <v>0.44</v>
      </c>
      <c r="AH164">
        <v>3</v>
      </c>
      <c r="AI164">
        <v>-1</v>
      </c>
      <c r="AJ164" t="s">
        <v>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ROW(Source!A259)</f>
        <v>259</v>
      </c>
      <c r="B165">
        <v>72192467</v>
      </c>
      <c r="C165">
        <v>71588751</v>
      </c>
      <c r="D165">
        <v>71770214</v>
      </c>
      <c r="E165">
        <v>35</v>
      </c>
      <c r="F165">
        <v>1</v>
      </c>
      <c r="G165">
        <v>35</v>
      </c>
      <c r="H165">
        <v>3</v>
      </c>
      <c r="I165" t="s">
        <v>36</v>
      </c>
      <c r="J165" t="s">
        <v>3</v>
      </c>
      <c r="K165" t="s">
        <v>37</v>
      </c>
      <c r="L165">
        <v>1348</v>
      </c>
      <c r="N165">
        <v>1009</v>
      </c>
      <c r="O165" t="s">
        <v>38</v>
      </c>
      <c r="P165" t="s">
        <v>38</v>
      </c>
      <c r="Q165">
        <v>1000</v>
      </c>
      <c r="X165">
        <v>0.45400000000000001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3</v>
      </c>
      <c r="AG165">
        <v>0.45400000000000001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ROW(Source!A261)</f>
        <v>261</v>
      </c>
      <c r="B166">
        <v>72192468</v>
      </c>
      <c r="C166">
        <v>71588763</v>
      </c>
      <c r="D166">
        <v>71757693</v>
      </c>
      <c r="E166">
        <v>35</v>
      </c>
      <c r="F166">
        <v>1</v>
      </c>
      <c r="G166">
        <v>35</v>
      </c>
      <c r="H166">
        <v>1</v>
      </c>
      <c r="I166" t="s">
        <v>375</v>
      </c>
      <c r="J166" t="s">
        <v>3</v>
      </c>
      <c r="K166" t="s">
        <v>376</v>
      </c>
      <c r="L166">
        <v>1191</v>
      </c>
      <c r="N166">
        <v>1013</v>
      </c>
      <c r="O166" t="s">
        <v>377</v>
      </c>
      <c r="P166" t="s">
        <v>377</v>
      </c>
      <c r="Q166">
        <v>1</v>
      </c>
      <c r="X166">
        <v>11.39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3</v>
      </c>
      <c r="AG166">
        <v>11.39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ROW(Source!A261)</f>
        <v>261</v>
      </c>
      <c r="B167">
        <v>72192469</v>
      </c>
      <c r="C167">
        <v>71588763</v>
      </c>
      <c r="D167">
        <v>71770214</v>
      </c>
      <c r="E167">
        <v>35</v>
      </c>
      <c r="F167">
        <v>1</v>
      </c>
      <c r="G167">
        <v>35</v>
      </c>
      <c r="H167">
        <v>3</v>
      </c>
      <c r="I167" t="s">
        <v>36</v>
      </c>
      <c r="J167" t="s">
        <v>3</v>
      </c>
      <c r="K167" t="s">
        <v>37</v>
      </c>
      <c r="L167">
        <v>1348</v>
      </c>
      <c r="N167">
        <v>1009</v>
      </c>
      <c r="O167" t="s">
        <v>38</v>
      </c>
      <c r="P167" t="s">
        <v>38</v>
      </c>
      <c r="Q167">
        <v>1000</v>
      </c>
      <c r="X167">
        <v>0.47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3</v>
      </c>
      <c r="AG167">
        <v>0.47</v>
      </c>
      <c r="AH167">
        <v>3</v>
      </c>
      <c r="AI167">
        <v>-1</v>
      </c>
      <c r="AJ167" t="s">
        <v>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ROW(Source!A298)</f>
        <v>298</v>
      </c>
      <c r="B168">
        <v>72192470</v>
      </c>
      <c r="C168">
        <v>71588827</v>
      </c>
      <c r="D168">
        <v>71757693</v>
      </c>
      <c r="E168">
        <v>35</v>
      </c>
      <c r="F168">
        <v>1</v>
      </c>
      <c r="G168">
        <v>35</v>
      </c>
      <c r="H168">
        <v>1</v>
      </c>
      <c r="I168" t="s">
        <v>375</v>
      </c>
      <c r="J168" t="s">
        <v>3</v>
      </c>
      <c r="K168" t="s">
        <v>376</v>
      </c>
      <c r="L168">
        <v>1191</v>
      </c>
      <c r="N168">
        <v>1013</v>
      </c>
      <c r="O168" t="s">
        <v>377</v>
      </c>
      <c r="P168" t="s">
        <v>377</v>
      </c>
      <c r="Q168">
        <v>1</v>
      </c>
      <c r="X168">
        <v>153.1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1</v>
      </c>
      <c r="AF168" t="s">
        <v>3</v>
      </c>
      <c r="AG168">
        <v>153.1</v>
      </c>
      <c r="AH168">
        <v>3</v>
      </c>
      <c r="AI168">
        <v>-1</v>
      </c>
      <c r="AJ168" t="s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ROW(Source!A298)</f>
        <v>298</v>
      </c>
      <c r="B169">
        <v>72192471</v>
      </c>
      <c r="C169">
        <v>71588827</v>
      </c>
      <c r="D169">
        <v>71771225</v>
      </c>
      <c r="E169">
        <v>1</v>
      </c>
      <c r="F169">
        <v>1</v>
      </c>
      <c r="G169">
        <v>35</v>
      </c>
      <c r="H169">
        <v>2</v>
      </c>
      <c r="I169" t="s">
        <v>497</v>
      </c>
      <c r="J169" t="s">
        <v>498</v>
      </c>
      <c r="K169" t="s">
        <v>499</v>
      </c>
      <c r="L169">
        <v>1368</v>
      </c>
      <c r="N169">
        <v>1011</v>
      </c>
      <c r="O169" t="s">
        <v>381</v>
      </c>
      <c r="P169" t="s">
        <v>381</v>
      </c>
      <c r="Q169">
        <v>1</v>
      </c>
      <c r="X169">
        <v>5.31</v>
      </c>
      <c r="Y169">
        <v>0</v>
      </c>
      <c r="Z169">
        <v>8.07</v>
      </c>
      <c r="AA169">
        <v>1.22</v>
      </c>
      <c r="AB169">
        <v>0</v>
      </c>
      <c r="AC169">
        <v>0</v>
      </c>
      <c r="AD169">
        <v>1</v>
      </c>
      <c r="AE169">
        <v>0</v>
      </c>
      <c r="AF169" t="s">
        <v>3</v>
      </c>
      <c r="AG169">
        <v>5.31</v>
      </c>
      <c r="AH169">
        <v>3</v>
      </c>
      <c r="AI169">
        <v>-1</v>
      </c>
      <c r="AJ169" t="s">
        <v>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ROW(Source!A298)</f>
        <v>298</v>
      </c>
      <c r="B170">
        <v>72192472</v>
      </c>
      <c r="C170">
        <v>71588827</v>
      </c>
      <c r="D170">
        <v>71771226</v>
      </c>
      <c r="E170">
        <v>1</v>
      </c>
      <c r="F170">
        <v>1</v>
      </c>
      <c r="G170">
        <v>35</v>
      </c>
      <c r="H170">
        <v>2</v>
      </c>
      <c r="I170" t="s">
        <v>466</v>
      </c>
      <c r="J170" t="s">
        <v>467</v>
      </c>
      <c r="K170" t="s">
        <v>468</v>
      </c>
      <c r="L170">
        <v>1368</v>
      </c>
      <c r="N170">
        <v>1011</v>
      </c>
      <c r="O170" t="s">
        <v>381</v>
      </c>
      <c r="P170" t="s">
        <v>381</v>
      </c>
      <c r="Q170">
        <v>1</v>
      </c>
      <c r="X170">
        <v>2.2000000000000002</v>
      </c>
      <c r="Y170">
        <v>0</v>
      </c>
      <c r="Z170">
        <v>8.8000000000000007</v>
      </c>
      <c r="AA170">
        <v>1.22</v>
      </c>
      <c r="AB170">
        <v>0</v>
      </c>
      <c r="AC170">
        <v>0</v>
      </c>
      <c r="AD170">
        <v>1</v>
      </c>
      <c r="AE170">
        <v>0</v>
      </c>
      <c r="AF170" t="s">
        <v>3</v>
      </c>
      <c r="AG170">
        <v>2.2000000000000002</v>
      </c>
      <c r="AH170">
        <v>3</v>
      </c>
      <c r="AI170">
        <v>-1</v>
      </c>
      <c r="AJ170" t="s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ROW(Source!A298)</f>
        <v>298</v>
      </c>
      <c r="B171">
        <v>72192473</v>
      </c>
      <c r="C171">
        <v>71588827</v>
      </c>
      <c r="D171">
        <v>71771187</v>
      </c>
      <c r="E171">
        <v>1</v>
      </c>
      <c r="F171">
        <v>1</v>
      </c>
      <c r="G171">
        <v>35</v>
      </c>
      <c r="H171">
        <v>2</v>
      </c>
      <c r="I171" t="s">
        <v>378</v>
      </c>
      <c r="J171" t="s">
        <v>379</v>
      </c>
      <c r="K171" t="s">
        <v>380</v>
      </c>
      <c r="L171">
        <v>1368</v>
      </c>
      <c r="N171">
        <v>1011</v>
      </c>
      <c r="O171" t="s">
        <v>381</v>
      </c>
      <c r="P171" t="s">
        <v>381</v>
      </c>
      <c r="Q171">
        <v>1</v>
      </c>
      <c r="X171">
        <v>5.31</v>
      </c>
      <c r="Y171">
        <v>0</v>
      </c>
      <c r="Z171">
        <v>5.27</v>
      </c>
      <c r="AA171">
        <v>0.01</v>
      </c>
      <c r="AB171">
        <v>0</v>
      </c>
      <c r="AC171">
        <v>0</v>
      </c>
      <c r="AD171">
        <v>1</v>
      </c>
      <c r="AE171">
        <v>0</v>
      </c>
      <c r="AF171" t="s">
        <v>3</v>
      </c>
      <c r="AG171">
        <v>5.31</v>
      </c>
      <c r="AH171">
        <v>3</v>
      </c>
      <c r="AI171">
        <v>-1</v>
      </c>
      <c r="AJ171" t="s">
        <v>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ROW(Source!A298)</f>
        <v>298</v>
      </c>
      <c r="B172">
        <v>72192474</v>
      </c>
      <c r="C172">
        <v>71588827</v>
      </c>
      <c r="D172">
        <v>71772401</v>
      </c>
      <c r="E172">
        <v>1</v>
      </c>
      <c r="F172">
        <v>1</v>
      </c>
      <c r="G172">
        <v>35</v>
      </c>
      <c r="H172">
        <v>3</v>
      </c>
      <c r="I172" t="s">
        <v>500</v>
      </c>
      <c r="J172" t="s">
        <v>501</v>
      </c>
      <c r="K172" t="s">
        <v>502</v>
      </c>
      <c r="L172">
        <v>1348</v>
      </c>
      <c r="N172">
        <v>1009</v>
      </c>
      <c r="O172" t="s">
        <v>38</v>
      </c>
      <c r="P172" t="s">
        <v>38</v>
      </c>
      <c r="Q172">
        <v>1000</v>
      </c>
      <c r="X172">
        <v>2E-3</v>
      </c>
      <c r="Y172">
        <v>250191.91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3</v>
      </c>
      <c r="AG172">
        <v>2E-3</v>
      </c>
      <c r="AH172">
        <v>3</v>
      </c>
      <c r="AI172">
        <v>-1</v>
      </c>
      <c r="AJ172" t="s">
        <v>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ROW(Source!A298)</f>
        <v>298</v>
      </c>
      <c r="B173">
        <v>72192475</v>
      </c>
      <c r="C173">
        <v>71588827</v>
      </c>
      <c r="D173">
        <v>71772351</v>
      </c>
      <c r="E173">
        <v>1</v>
      </c>
      <c r="F173">
        <v>1</v>
      </c>
      <c r="G173">
        <v>35</v>
      </c>
      <c r="H173">
        <v>3</v>
      </c>
      <c r="I173" t="s">
        <v>594</v>
      </c>
      <c r="J173" t="s">
        <v>595</v>
      </c>
      <c r="K173" t="s">
        <v>596</v>
      </c>
      <c r="L173">
        <v>1355</v>
      </c>
      <c r="N173">
        <v>1010</v>
      </c>
      <c r="O173" t="s">
        <v>33</v>
      </c>
      <c r="P173" t="s">
        <v>33</v>
      </c>
      <c r="Q173">
        <v>100</v>
      </c>
      <c r="X173">
        <v>0.7</v>
      </c>
      <c r="Y173">
        <v>191.5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3</v>
      </c>
      <c r="AG173">
        <v>0.7</v>
      </c>
      <c r="AH173">
        <v>3</v>
      </c>
      <c r="AI173">
        <v>-1</v>
      </c>
      <c r="AJ173" t="s">
        <v>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ROW(Source!A298)</f>
        <v>298</v>
      </c>
      <c r="B174">
        <v>72192476</v>
      </c>
      <c r="C174">
        <v>71588827</v>
      </c>
      <c r="D174">
        <v>71775438</v>
      </c>
      <c r="E174">
        <v>1</v>
      </c>
      <c r="F174">
        <v>1</v>
      </c>
      <c r="G174">
        <v>35</v>
      </c>
      <c r="H174">
        <v>3</v>
      </c>
      <c r="I174" t="s">
        <v>597</v>
      </c>
      <c r="J174" t="s">
        <v>598</v>
      </c>
      <c r="K174" t="s">
        <v>599</v>
      </c>
      <c r="L174">
        <v>1327</v>
      </c>
      <c r="N174">
        <v>1005</v>
      </c>
      <c r="O174" t="s">
        <v>28</v>
      </c>
      <c r="P174" t="s">
        <v>28</v>
      </c>
      <c r="Q174">
        <v>1</v>
      </c>
      <c r="X174">
        <v>105</v>
      </c>
      <c r="Y174">
        <v>657.99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3</v>
      </c>
      <c r="AG174">
        <v>105</v>
      </c>
      <c r="AH174">
        <v>3</v>
      </c>
      <c r="AI174">
        <v>-1</v>
      </c>
      <c r="AJ174" t="s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ROW(Source!A298)</f>
        <v>298</v>
      </c>
      <c r="B175">
        <v>72192477</v>
      </c>
      <c r="C175">
        <v>71588827</v>
      </c>
      <c r="D175">
        <v>71775727</v>
      </c>
      <c r="E175">
        <v>1</v>
      </c>
      <c r="F175">
        <v>1</v>
      </c>
      <c r="G175">
        <v>35</v>
      </c>
      <c r="H175">
        <v>3</v>
      </c>
      <c r="I175" t="s">
        <v>600</v>
      </c>
      <c r="J175" t="s">
        <v>601</v>
      </c>
      <c r="K175" t="s">
        <v>602</v>
      </c>
      <c r="L175">
        <v>1301</v>
      </c>
      <c r="N175">
        <v>1003</v>
      </c>
      <c r="O175" t="s">
        <v>475</v>
      </c>
      <c r="P175" t="s">
        <v>475</v>
      </c>
      <c r="Q175">
        <v>1</v>
      </c>
      <c r="X175">
        <v>83.83</v>
      </c>
      <c r="Y175">
        <v>33.340000000000003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3</v>
      </c>
      <c r="AG175">
        <v>83.83</v>
      </c>
      <c r="AH175">
        <v>3</v>
      </c>
      <c r="AI175">
        <v>-1</v>
      </c>
      <c r="AJ175" t="s">
        <v>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ROW(Source!A298)</f>
        <v>298</v>
      </c>
      <c r="B176">
        <v>72192478</v>
      </c>
      <c r="C176">
        <v>71588827</v>
      </c>
      <c r="D176">
        <v>71775728</v>
      </c>
      <c r="E176">
        <v>1</v>
      </c>
      <c r="F176">
        <v>1</v>
      </c>
      <c r="G176">
        <v>35</v>
      </c>
      <c r="H176">
        <v>3</v>
      </c>
      <c r="I176" t="s">
        <v>603</v>
      </c>
      <c r="J176" t="s">
        <v>604</v>
      </c>
      <c r="K176" t="s">
        <v>605</v>
      </c>
      <c r="L176">
        <v>1301</v>
      </c>
      <c r="N176">
        <v>1003</v>
      </c>
      <c r="O176" t="s">
        <v>475</v>
      </c>
      <c r="P176" t="s">
        <v>475</v>
      </c>
      <c r="Q176">
        <v>1</v>
      </c>
      <c r="X176">
        <v>168.67</v>
      </c>
      <c r="Y176">
        <v>33.28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3</v>
      </c>
      <c r="AG176">
        <v>168.67</v>
      </c>
      <c r="AH176">
        <v>3</v>
      </c>
      <c r="AI176">
        <v>-1</v>
      </c>
      <c r="AJ176" t="s">
        <v>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ROW(Source!A298)</f>
        <v>298</v>
      </c>
      <c r="B177">
        <v>72192479</v>
      </c>
      <c r="C177">
        <v>71588827</v>
      </c>
      <c r="D177">
        <v>71775729</v>
      </c>
      <c r="E177">
        <v>1</v>
      </c>
      <c r="F177">
        <v>1</v>
      </c>
      <c r="G177">
        <v>35</v>
      </c>
      <c r="H177">
        <v>3</v>
      </c>
      <c r="I177" t="s">
        <v>606</v>
      </c>
      <c r="J177" t="s">
        <v>607</v>
      </c>
      <c r="K177" t="s">
        <v>608</v>
      </c>
      <c r="L177">
        <v>1301</v>
      </c>
      <c r="N177">
        <v>1003</v>
      </c>
      <c r="O177" t="s">
        <v>475</v>
      </c>
      <c r="P177" t="s">
        <v>475</v>
      </c>
      <c r="Q177">
        <v>1</v>
      </c>
      <c r="X177">
        <v>83.83</v>
      </c>
      <c r="Y177">
        <v>33.29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3</v>
      </c>
      <c r="AG177">
        <v>83.83</v>
      </c>
      <c r="AH177">
        <v>3</v>
      </c>
      <c r="AI177">
        <v>-1</v>
      </c>
      <c r="AJ177" t="s">
        <v>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ROW(Source!A298)</f>
        <v>298</v>
      </c>
      <c r="B178">
        <v>72192480</v>
      </c>
      <c r="C178">
        <v>71588827</v>
      </c>
      <c r="D178">
        <v>71775730</v>
      </c>
      <c r="E178">
        <v>1</v>
      </c>
      <c r="F178">
        <v>1</v>
      </c>
      <c r="G178">
        <v>35</v>
      </c>
      <c r="H178">
        <v>3</v>
      </c>
      <c r="I178" t="s">
        <v>609</v>
      </c>
      <c r="J178" t="s">
        <v>610</v>
      </c>
      <c r="K178" t="s">
        <v>611</v>
      </c>
      <c r="L178">
        <v>1301</v>
      </c>
      <c r="N178">
        <v>1003</v>
      </c>
      <c r="O178" t="s">
        <v>475</v>
      </c>
      <c r="P178" t="s">
        <v>475</v>
      </c>
      <c r="Q178">
        <v>1</v>
      </c>
      <c r="X178">
        <v>50</v>
      </c>
      <c r="Y178">
        <v>61.01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3</v>
      </c>
      <c r="AG178">
        <v>50</v>
      </c>
      <c r="AH178">
        <v>3</v>
      </c>
      <c r="AI178">
        <v>-1</v>
      </c>
      <c r="AJ178" t="s">
        <v>3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ROW(Source!A298)</f>
        <v>298</v>
      </c>
      <c r="B179">
        <v>72192481</v>
      </c>
      <c r="C179">
        <v>71588827</v>
      </c>
      <c r="D179">
        <v>71775731</v>
      </c>
      <c r="E179">
        <v>1</v>
      </c>
      <c r="F179">
        <v>1</v>
      </c>
      <c r="G179">
        <v>35</v>
      </c>
      <c r="H179">
        <v>3</v>
      </c>
      <c r="I179" t="s">
        <v>612</v>
      </c>
      <c r="J179" t="s">
        <v>613</v>
      </c>
      <c r="K179" t="s">
        <v>614</v>
      </c>
      <c r="L179">
        <v>1354</v>
      </c>
      <c r="N179">
        <v>1010</v>
      </c>
      <c r="O179" t="s">
        <v>51</v>
      </c>
      <c r="P179" t="s">
        <v>51</v>
      </c>
      <c r="Q179">
        <v>1</v>
      </c>
      <c r="X179">
        <v>70</v>
      </c>
      <c r="Y179">
        <v>11.09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3</v>
      </c>
      <c r="AG179">
        <v>70</v>
      </c>
      <c r="AH179">
        <v>3</v>
      </c>
      <c r="AI179">
        <v>-1</v>
      </c>
      <c r="AJ179" t="s">
        <v>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ROW(Source!A299)</f>
        <v>299</v>
      </c>
      <c r="B180">
        <v>72192482</v>
      </c>
      <c r="C180">
        <v>71588840</v>
      </c>
      <c r="D180">
        <v>71757693</v>
      </c>
      <c r="E180">
        <v>35</v>
      </c>
      <c r="F180">
        <v>1</v>
      </c>
      <c r="G180">
        <v>35</v>
      </c>
      <c r="H180">
        <v>1</v>
      </c>
      <c r="I180" t="s">
        <v>375</v>
      </c>
      <c r="J180" t="s">
        <v>3</v>
      </c>
      <c r="K180" t="s">
        <v>376</v>
      </c>
      <c r="L180">
        <v>1191</v>
      </c>
      <c r="N180">
        <v>1013</v>
      </c>
      <c r="O180" t="s">
        <v>377</v>
      </c>
      <c r="P180" t="s">
        <v>377</v>
      </c>
      <c r="Q180">
        <v>1</v>
      </c>
      <c r="X180">
        <v>37.97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3</v>
      </c>
      <c r="AG180">
        <v>37.97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ROW(Source!A299)</f>
        <v>299</v>
      </c>
      <c r="B181">
        <v>72192483</v>
      </c>
      <c r="C181">
        <v>71588840</v>
      </c>
      <c r="D181">
        <v>71770747</v>
      </c>
      <c r="E181">
        <v>1</v>
      </c>
      <c r="F181">
        <v>1</v>
      </c>
      <c r="G181">
        <v>35</v>
      </c>
      <c r="H181">
        <v>2</v>
      </c>
      <c r="I181" t="s">
        <v>463</v>
      </c>
      <c r="J181" t="s">
        <v>464</v>
      </c>
      <c r="K181" t="s">
        <v>465</v>
      </c>
      <c r="L181">
        <v>1368</v>
      </c>
      <c r="N181">
        <v>1011</v>
      </c>
      <c r="O181" t="s">
        <v>381</v>
      </c>
      <c r="P181" t="s">
        <v>381</v>
      </c>
      <c r="Q181">
        <v>1</v>
      </c>
      <c r="X181">
        <v>3</v>
      </c>
      <c r="Y181">
        <v>0</v>
      </c>
      <c r="Z181">
        <v>50.66</v>
      </c>
      <c r="AA181">
        <v>0.2</v>
      </c>
      <c r="AB181">
        <v>0</v>
      </c>
      <c r="AC181">
        <v>0</v>
      </c>
      <c r="AD181">
        <v>1</v>
      </c>
      <c r="AE181">
        <v>0</v>
      </c>
      <c r="AF181" t="s">
        <v>3</v>
      </c>
      <c r="AG181">
        <v>3</v>
      </c>
      <c r="AH181">
        <v>3</v>
      </c>
      <c r="AI181">
        <v>-1</v>
      </c>
      <c r="AJ181" t="s">
        <v>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ROW(Source!A299)</f>
        <v>299</v>
      </c>
      <c r="B182">
        <v>72192484</v>
      </c>
      <c r="C182">
        <v>71588840</v>
      </c>
      <c r="D182">
        <v>71771226</v>
      </c>
      <c r="E182">
        <v>1</v>
      </c>
      <c r="F182">
        <v>1</v>
      </c>
      <c r="G182">
        <v>35</v>
      </c>
      <c r="H182">
        <v>2</v>
      </c>
      <c r="I182" t="s">
        <v>466</v>
      </c>
      <c r="J182" t="s">
        <v>467</v>
      </c>
      <c r="K182" t="s">
        <v>468</v>
      </c>
      <c r="L182">
        <v>1368</v>
      </c>
      <c r="N182">
        <v>1011</v>
      </c>
      <c r="O182" t="s">
        <v>381</v>
      </c>
      <c r="P182" t="s">
        <v>381</v>
      </c>
      <c r="Q182">
        <v>1</v>
      </c>
      <c r="X182">
        <v>4.1500000000000004</v>
      </c>
      <c r="Y182">
        <v>0</v>
      </c>
      <c r="Z182">
        <v>8.8000000000000007</v>
      </c>
      <c r="AA182">
        <v>1.22</v>
      </c>
      <c r="AB182">
        <v>0</v>
      </c>
      <c r="AC182">
        <v>0</v>
      </c>
      <c r="AD182">
        <v>1</v>
      </c>
      <c r="AE182">
        <v>0</v>
      </c>
      <c r="AF182" t="s">
        <v>3</v>
      </c>
      <c r="AG182">
        <v>4.1500000000000004</v>
      </c>
      <c r="AH182">
        <v>3</v>
      </c>
      <c r="AI182">
        <v>-1</v>
      </c>
      <c r="AJ182" t="s">
        <v>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ROW(Source!A299)</f>
        <v>299</v>
      </c>
      <c r="B183">
        <v>72192485</v>
      </c>
      <c r="C183">
        <v>71588840</v>
      </c>
      <c r="D183">
        <v>71770363</v>
      </c>
      <c r="E183">
        <v>1</v>
      </c>
      <c r="F183">
        <v>1</v>
      </c>
      <c r="G183">
        <v>35</v>
      </c>
      <c r="H183">
        <v>2</v>
      </c>
      <c r="I183" t="s">
        <v>615</v>
      </c>
      <c r="J183" t="s">
        <v>616</v>
      </c>
      <c r="K183" t="s">
        <v>617</v>
      </c>
      <c r="L183">
        <v>1368</v>
      </c>
      <c r="N183">
        <v>1011</v>
      </c>
      <c r="O183" t="s">
        <v>381</v>
      </c>
      <c r="P183" t="s">
        <v>381</v>
      </c>
      <c r="Q183">
        <v>1</v>
      </c>
      <c r="X183">
        <v>0.02</v>
      </c>
      <c r="Y183">
        <v>0</v>
      </c>
      <c r="Z183">
        <v>1031.5999999999999</v>
      </c>
      <c r="AA183">
        <v>569.54</v>
      </c>
      <c r="AB183">
        <v>0</v>
      </c>
      <c r="AC183">
        <v>0</v>
      </c>
      <c r="AD183">
        <v>1</v>
      </c>
      <c r="AE183">
        <v>0</v>
      </c>
      <c r="AF183" t="s">
        <v>3</v>
      </c>
      <c r="AG183">
        <v>0.02</v>
      </c>
      <c r="AH183">
        <v>3</v>
      </c>
      <c r="AI183">
        <v>-1</v>
      </c>
      <c r="AJ183" t="s">
        <v>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ROW(Source!A299)</f>
        <v>299</v>
      </c>
      <c r="B184">
        <v>72192486</v>
      </c>
      <c r="C184">
        <v>71588840</v>
      </c>
      <c r="D184">
        <v>71773291</v>
      </c>
      <c r="E184">
        <v>1</v>
      </c>
      <c r="F184">
        <v>1</v>
      </c>
      <c r="G184">
        <v>35</v>
      </c>
      <c r="H184">
        <v>3</v>
      </c>
      <c r="I184" t="s">
        <v>419</v>
      </c>
      <c r="J184" t="s">
        <v>420</v>
      </c>
      <c r="K184" t="s">
        <v>421</v>
      </c>
      <c r="L184">
        <v>1339</v>
      </c>
      <c r="N184">
        <v>1007</v>
      </c>
      <c r="O184" t="s">
        <v>394</v>
      </c>
      <c r="P184" t="s">
        <v>394</v>
      </c>
      <c r="Q184">
        <v>1</v>
      </c>
      <c r="X184">
        <v>0.30199999999999999</v>
      </c>
      <c r="Y184">
        <v>42.44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3</v>
      </c>
      <c r="AG184">
        <v>0.30199999999999999</v>
      </c>
      <c r="AH184">
        <v>3</v>
      </c>
      <c r="AI184">
        <v>-1</v>
      </c>
      <c r="AJ184" t="s">
        <v>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ROW(Source!A299)</f>
        <v>299</v>
      </c>
      <c r="B185">
        <v>72192487</v>
      </c>
      <c r="C185">
        <v>71588840</v>
      </c>
      <c r="D185">
        <v>71773514</v>
      </c>
      <c r="E185">
        <v>1</v>
      </c>
      <c r="F185">
        <v>1</v>
      </c>
      <c r="G185">
        <v>35</v>
      </c>
      <c r="H185">
        <v>3</v>
      </c>
      <c r="I185" t="s">
        <v>618</v>
      </c>
      <c r="J185" t="s">
        <v>619</v>
      </c>
      <c r="K185" t="s">
        <v>620</v>
      </c>
      <c r="L185">
        <v>1327</v>
      </c>
      <c r="N185">
        <v>1005</v>
      </c>
      <c r="O185" t="s">
        <v>28</v>
      </c>
      <c r="P185" t="s">
        <v>28</v>
      </c>
      <c r="Q185">
        <v>1</v>
      </c>
      <c r="X185">
        <v>10</v>
      </c>
      <c r="Y185">
        <v>10.09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3</v>
      </c>
      <c r="AG185">
        <v>10</v>
      </c>
      <c r="AH185">
        <v>3</v>
      </c>
      <c r="AI185">
        <v>-1</v>
      </c>
      <c r="AJ185" t="s">
        <v>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ROW(Source!A299)</f>
        <v>299</v>
      </c>
      <c r="B186">
        <v>72192488</v>
      </c>
      <c r="C186">
        <v>71588840</v>
      </c>
      <c r="D186">
        <v>71771821</v>
      </c>
      <c r="E186">
        <v>1</v>
      </c>
      <c r="F186">
        <v>1</v>
      </c>
      <c r="G186">
        <v>35</v>
      </c>
      <c r="H186">
        <v>3</v>
      </c>
      <c r="I186" t="s">
        <v>621</v>
      </c>
      <c r="J186" t="s">
        <v>622</v>
      </c>
      <c r="K186" t="s">
        <v>623</v>
      </c>
      <c r="L186">
        <v>1346</v>
      </c>
      <c r="N186">
        <v>1009</v>
      </c>
      <c r="O186" t="s">
        <v>447</v>
      </c>
      <c r="P186" t="s">
        <v>447</v>
      </c>
      <c r="Q186">
        <v>1</v>
      </c>
      <c r="X186">
        <v>20</v>
      </c>
      <c r="Y186">
        <v>768.3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3</v>
      </c>
      <c r="AG186">
        <v>20</v>
      </c>
      <c r="AH186">
        <v>3</v>
      </c>
      <c r="AI186">
        <v>-1</v>
      </c>
      <c r="AJ186" t="s">
        <v>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ROW(Source!A299)</f>
        <v>299</v>
      </c>
      <c r="B187">
        <v>72192489</v>
      </c>
      <c r="C187">
        <v>71588840</v>
      </c>
      <c r="D187">
        <v>71774464</v>
      </c>
      <c r="E187">
        <v>1</v>
      </c>
      <c r="F187">
        <v>1</v>
      </c>
      <c r="G187">
        <v>35</v>
      </c>
      <c r="H187">
        <v>3</v>
      </c>
      <c r="I187" t="s">
        <v>624</v>
      </c>
      <c r="J187" t="s">
        <v>625</v>
      </c>
      <c r="K187" t="s">
        <v>626</v>
      </c>
      <c r="L187">
        <v>1348</v>
      </c>
      <c r="N187">
        <v>1009</v>
      </c>
      <c r="O187" t="s">
        <v>38</v>
      </c>
      <c r="P187" t="s">
        <v>38</v>
      </c>
      <c r="Q187">
        <v>1000</v>
      </c>
      <c r="X187">
        <v>0.84199999999999997</v>
      </c>
      <c r="Y187">
        <v>37894.81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3</v>
      </c>
      <c r="AG187">
        <v>0.84199999999999997</v>
      </c>
      <c r="AH187">
        <v>3</v>
      </c>
      <c r="AI187">
        <v>-1</v>
      </c>
      <c r="AJ187" t="s">
        <v>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ROW(Source!A300)</f>
        <v>300</v>
      </c>
      <c r="B188">
        <v>72192490</v>
      </c>
      <c r="C188">
        <v>71588849</v>
      </c>
      <c r="D188">
        <v>71757693</v>
      </c>
      <c r="E188">
        <v>35</v>
      </c>
      <c r="F188">
        <v>1</v>
      </c>
      <c r="G188">
        <v>35</v>
      </c>
      <c r="H188">
        <v>1</v>
      </c>
      <c r="I188" t="s">
        <v>375</v>
      </c>
      <c r="J188" t="s">
        <v>3</v>
      </c>
      <c r="K188" t="s">
        <v>376</v>
      </c>
      <c r="L188">
        <v>1191</v>
      </c>
      <c r="N188">
        <v>1013</v>
      </c>
      <c r="O188" t="s">
        <v>377</v>
      </c>
      <c r="P188" t="s">
        <v>377</v>
      </c>
      <c r="Q188">
        <v>1</v>
      </c>
      <c r="X188">
        <v>3.95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1</v>
      </c>
      <c r="AF188" t="s">
        <v>293</v>
      </c>
      <c r="AG188">
        <v>19.75</v>
      </c>
      <c r="AH188">
        <v>3</v>
      </c>
      <c r="AI188">
        <v>-1</v>
      </c>
      <c r="AJ188" t="s">
        <v>3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ROW(Source!A300)</f>
        <v>300</v>
      </c>
      <c r="B189">
        <v>72192491</v>
      </c>
      <c r="C189">
        <v>71588849</v>
      </c>
      <c r="D189">
        <v>71771226</v>
      </c>
      <c r="E189">
        <v>1</v>
      </c>
      <c r="F189">
        <v>1</v>
      </c>
      <c r="G189">
        <v>35</v>
      </c>
      <c r="H189">
        <v>2</v>
      </c>
      <c r="I189" t="s">
        <v>466</v>
      </c>
      <c r="J189" t="s">
        <v>467</v>
      </c>
      <c r="K189" t="s">
        <v>468</v>
      </c>
      <c r="L189">
        <v>1368</v>
      </c>
      <c r="N189">
        <v>1011</v>
      </c>
      <c r="O189" t="s">
        <v>381</v>
      </c>
      <c r="P189" t="s">
        <v>381</v>
      </c>
      <c r="Q189">
        <v>1</v>
      </c>
      <c r="X189">
        <v>0.75</v>
      </c>
      <c r="Y189">
        <v>0</v>
      </c>
      <c r="Z189">
        <v>8.8000000000000007</v>
      </c>
      <c r="AA189">
        <v>1.22</v>
      </c>
      <c r="AB189">
        <v>0</v>
      </c>
      <c r="AC189">
        <v>0</v>
      </c>
      <c r="AD189">
        <v>1</v>
      </c>
      <c r="AE189">
        <v>0</v>
      </c>
      <c r="AF189" t="s">
        <v>293</v>
      </c>
      <c r="AG189">
        <v>3.75</v>
      </c>
      <c r="AH189">
        <v>3</v>
      </c>
      <c r="AI189">
        <v>-1</v>
      </c>
      <c r="AJ189" t="s">
        <v>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ROW(Source!A300)</f>
        <v>300</v>
      </c>
      <c r="B190">
        <v>72192492</v>
      </c>
      <c r="C190">
        <v>71588849</v>
      </c>
      <c r="D190">
        <v>71773291</v>
      </c>
      <c r="E190">
        <v>1</v>
      </c>
      <c r="F190">
        <v>1</v>
      </c>
      <c r="G190">
        <v>35</v>
      </c>
      <c r="H190">
        <v>3</v>
      </c>
      <c r="I190" t="s">
        <v>419</v>
      </c>
      <c r="J190" t="s">
        <v>420</v>
      </c>
      <c r="K190" t="s">
        <v>421</v>
      </c>
      <c r="L190">
        <v>1339</v>
      </c>
      <c r="N190">
        <v>1007</v>
      </c>
      <c r="O190" t="s">
        <v>394</v>
      </c>
      <c r="P190" t="s">
        <v>394</v>
      </c>
      <c r="Q190">
        <v>1</v>
      </c>
      <c r="X190">
        <v>4.0399999999999998E-2</v>
      </c>
      <c r="Y190">
        <v>42.44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293</v>
      </c>
      <c r="AG190">
        <v>0.20200000000000001</v>
      </c>
      <c r="AH190">
        <v>3</v>
      </c>
      <c r="AI190">
        <v>-1</v>
      </c>
      <c r="AJ190" t="s">
        <v>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ROW(Source!A300)</f>
        <v>300</v>
      </c>
      <c r="B191">
        <v>72192493</v>
      </c>
      <c r="C191">
        <v>71588849</v>
      </c>
      <c r="D191">
        <v>71774464</v>
      </c>
      <c r="E191">
        <v>1</v>
      </c>
      <c r="F191">
        <v>1</v>
      </c>
      <c r="G191">
        <v>35</v>
      </c>
      <c r="H191">
        <v>3</v>
      </c>
      <c r="I191" t="s">
        <v>624</v>
      </c>
      <c r="J191" t="s">
        <v>625</v>
      </c>
      <c r="K191" t="s">
        <v>626</v>
      </c>
      <c r="L191">
        <v>1348</v>
      </c>
      <c r="N191">
        <v>1009</v>
      </c>
      <c r="O191" t="s">
        <v>38</v>
      </c>
      <c r="P191" t="s">
        <v>38</v>
      </c>
      <c r="Q191">
        <v>1000</v>
      </c>
      <c r="X191">
        <v>0.16800000000000001</v>
      </c>
      <c r="Y191">
        <v>37894.81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293</v>
      </c>
      <c r="AG191">
        <v>0.84</v>
      </c>
      <c r="AH191">
        <v>3</v>
      </c>
      <c r="AI191">
        <v>-1</v>
      </c>
      <c r="AJ191" t="s">
        <v>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ROW(Source!A301)</f>
        <v>301</v>
      </c>
      <c r="B192">
        <v>72192494</v>
      </c>
      <c r="C192">
        <v>71588854</v>
      </c>
      <c r="D192">
        <v>71757693</v>
      </c>
      <c r="E192">
        <v>35</v>
      </c>
      <c r="F192">
        <v>1</v>
      </c>
      <c r="G192">
        <v>35</v>
      </c>
      <c r="H192">
        <v>1</v>
      </c>
      <c r="I192" t="s">
        <v>375</v>
      </c>
      <c r="J192" t="s">
        <v>3</v>
      </c>
      <c r="K192" t="s">
        <v>376</v>
      </c>
      <c r="L192">
        <v>1191</v>
      </c>
      <c r="N192">
        <v>1013</v>
      </c>
      <c r="O192" t="s">
        <v>377</v>
      </c>
      <c r="P192" t="s">
        <v>377</v>
      </c>
      <c r="Q192">
        <v>1</v>
      </c>
      <c r="X192">
        <v>96.69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1</v>
      </c>
      <c r="AF192" t="s">
        <v>3</v>
      </c>
      <c r="AG192">
        <v>96.69</v>
      </c>
      <c r="AH192">
        <v>3</v>
      </c>
      <c r="AI192">
        <v>-1</v>
      </c>
      <c r="AJ192" t="s">
        <v>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ROW(Source!A301)</f>
        <v>301</v>
      </c>
      <c r="B193">
        <v>72192495</v>
      </c>
      <c r="C193">
        <v>71588854</v>
      </c>
      <c r="D193">
        <v>71771225</v>
      </c>
      <c r="E193">
        <v>1</v>
      </c>
      <c r="F193">
        <v>1</v>
      </c>
      <c r="G193">
        <v>35</v>
      </c>
      <c r="H193">
        <v>2</v>
      </c>
      <c r="I193" t="s">
        <v>497</v>
      </c>
      <c r="J193" t="s">
        <v>498</v>
      </c>
      <c r="K193" t="s">
        <v>499</v>
      </c>
      <c r="L193">
        <v>1368</v>
      </c>
      <c r="N193">
        <v>1011</v>
      </c>
      <c r="O193" t="s">
        <v>381</v>
      </c>
      <c r="P193" t="s">
        <v>381</v>
      </c>
      <c r="Q193">
        <v>1</v>
      </c>
      <c r="X193">
        <v>33.86</v>
      </c>
      <c r="Y193">
        <v>0</v>
      </c>
      <c r="Z193">
        <v>8.07</v>
      </c>
      <c r="AA193">
        <v>1.22</v>
      </c>
      <c r="AB193">
        <v>0</v>
      </c>
      <c r="AC193">
        <v>0</v>
      </c>
      <c r="AD193">
        <v>1</v>
      </c>
      <c r="AE193">
        <v>0</v>
      </c>
      <c r="AF193" t="s">
        <v>3</v>
      </c>
      <c r="AG193">
        <v>33.86</v>
      </c>
      <c r="AH193">
        <v>3</v>
      </c>
      <c r="AI193">
        <v>-1</v>
      </c>
      <c r="AJ193" t="s">
        <v>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ROW(Source!A301)</f>
        <v>301</v>
      </c>
      <c r="B194">
        <v>72192496</v>
      </c>
      <c r="C194">
        <v>71588854</v>
      </c>
      <c r="D194">
        <v>71771203</v>
      </c>
      <c r="E194">
        <v>1</v>
      </c>
      <c r="F194">
        <v>1</v>
      </c>
      <c r="G194">
        <v>35</v>
      </c>
      <c r="H194">
        <v>2</v>
      </c>
      <c r="I194" t="s">
        <v>627</v>
      </c>
      <c r="J194" t="s">
        <v>628</v>
      </c>
      <c r="K194" t="s">
        <v>629</v>
      </c>
      <c r="L194">
        <v>1368</v>
      </c>
      <c r="N194">
        <v>1011</v>
      </c>
      <c r="O194" t="s">
        <v>381</v>
      </c>
      <c r="P194" t="s">
        <v>381</v>
      </c>
      <c r="Q194">
        <v>1</v>
      </c>
      <c r="X194">
        <v>0.39</v>
      </c>
      <c r="Y194">
        <v>0</v>
      </c>
      <c r="Z194">
        <v>572.61</v>
      </c>
      <c r="AA194">
        <v>499.69</v>
      </c>
      <c r="AB194">
        <v>0</v>
      </c>
      <c r="AC194">
        <v>0</v>
      </c>
      <c r="AD194">
        <v>1</v>
      </c>
      <c r="AE194">
        <v>0</v>
      </c>
      <c r="AF194" t="s">
        <v>3</v>
      </c>
      <c r="AG194">
        <v>0.39</v>
      </c>
      <c r="AH194">
        <v>3</v>
      </c>
      <c r="AI194">
        <v>-1</v>
      </c>
      <c r="AJ194" t="s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ROW(Source!A301)</f>
        <v>301</v>
      </c>
      <c r="B195">
        <v>72192497</v>
      </c>
      <c r="C195">
        <v>71588854</v>
      </c>
      <c r="D195">
        <v>71773291</v>
      </c>
      <c r="E195">
        <v>1</v>
      </c>
      <c r="F195">
        <v>1</v>
      </c>
      <c r="G195">
        <v>35</v>
      </c>
      <c r="H195">
        <v>3</v>
      </c>
      <c r="I195" t="s">
        <v>419</v>
      </c>
      <c r="J195" t="s">
        <v>420</v>
      </c>
      <c r="K195" t="s">
        <v>421</v>
      </c>
      <c r="L195">
        <v>1339</v>
      </c>
      <c r="N195">
        <v>1007</v>
      </c>
      <c r="O195" t="s">
        <v>394</v>
      </c>
      <c r="P195" t="s">
        <v>394</v>
      </c>
      <c r="Q195">
        <v>1</v>
      </c>
      <c r="X195">
        <v>0.13300000000000001</v>
      </c>
      <c r="Y195">
        <v>42.44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3</v>
      </c>
      <c r="AG195">
        <v>0.13300000000000001</v>
      </c>
      <c r="AH195">
        <v>3</v>
      </c>
      <c r="AI195">
        <v>-1</v>
      </c>
      <c r="AJ195" t="s">
        <v>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ROW(Source!A301)</f>
        <v>301</v>
      </c>
      <c r="B196">
        <v>72192498</v>
      </c>
      <c r="C196">
        <v>71588854</v>
      </c>
      <c r="D196">
        <v>71771590</v>
      </c>
      <c r="E196">
        <v>1</v>
      </c>
      <c r="F196">
        <v>1</v>
      </c>
      <c r="G196">
        <v>35</v>
      </c>
      <c r="H196">
        <v>3</v>
      </c>
      <c r="I196" t="s">
        <v>630</v>
      </c>
      <c r="J196" t="s">
        <v>631</v>
      </c>
      <c r="K196" t="s">
        <v>632</v>
      </c>
      <c r="L196">
        <v>1327</v>
      </c>
      <c r="N196">
        <v>1005</v>
      </c>
      <c r="O196" t="s">
        <v>28</v>
      </c>
      <c r="P196" t="s">
        <v>28</v>
      </c>
      <c r="Q196">
        <v>1</v>
      </c>
      <c r="X196">
        <v>102</v>
      </c>
      <c r="Y196">
        <v>622.76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3</v>
      </c>
      <c r="AG196">
        <v>102</v>
      </c>
      <c r="AH196">
        <v>3</v>
      </c>
      <c r="AI196">
        <v>-1</v>
      </c>
      <c r="AJ196" t="s">
        <v>3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ROW(Source!A301)</f>
        <v>301</v>
      </c>
      <c r="B197">
        <v>72192499</v>
      </c>
      <c r="C197">
        <v>71588854</v>
      </c>
      <c r="D197">
        <v>71771655</v>
      </c>
      <c r="E197">
        <v>1</v>
      </c>
      <c r="F197">
        <v>1</v>
      </c>
      <c r="G197">
        <v>35</v>
      </c>
      <c r="H197">
        <v>3</v>
      </c>
      <c r="I197" t="s">
        <v>633</v>
      </c>
      <c r="J197" t="s">
        <v>634</v>
      </c>
      <c r="K197" t="s">
        <v>635</v>
      </c>
      <c r="L197">
        <v>1348</v>
      </c>
      <c r="N197">
        <v>1009</v>
      </c>
      <c r="O197" t="s">
        <v>38</v>
      </c>
      <c r="P197" t="s">
        <v>38</v>
      </c>
      <c r="Q197">
        <v>1000</v>
      </c>
      <c r="X197">
        <v>0.01</v>
      </c>
      <c r="Y197">
        <v>260360.17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3</v>
      </c>
      <c r="AG197">
        <v>0.01</v>
      </c>
      <c r="AH197">
        <v>3</v>
      </c>
      <c r="AI197">
        <v>-1</v>
      </c>
      <c r="AJ197" t="s">
        <v>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ROW(Source!A301)</f>
        <v>301</v>
      </c>
      <c r="B198">
        <v>72192500</v>
      </c>
      <c r="C198">
        <v>71588854</v>
      </c>
      <c r="D198">
        <v>71774453</v>
      </c>
      <c r="E198">
        <v>1</v>
      </c>
      <c r="F198">
        <v>1</v>
      </c>
      <c r="G198">
        <v>35</v>
      </c>
      <c r="H198">
        <v>3</v>
      </c>
      <c r="I198" t="s">
        <v>636</v>
      </c>
      <c r="J198" t="s">
        <v>637</v>
      </c>
      <c r="K198" t="s">
        <v>638</v>
      </c>
      <c r="L198">
        <v>1348</v>
      </c>
      <c r="N198">
        <v>1009</v>
      </c>
      <c r="O198" t="s">
        <v>38</v>
      </c>
      <c r="P198" t="s">
        <v>38</v>
      </c>
      <c r="Q198">
        <v>1000</v>
      </c>
      <c r="X198">
        <v>4.8000000000000001E-2</v>
      </c>
      <c r="Y198">
        <v>59880.6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3</v>
      </c>
      <c r="AG198">
        <v>4.8000000000000001E-2</v>
      </c>
      <c r="AH198">
        <v>3</v>
      </c>
      <c r="AI198">
        <v>-1</v>
      </c>
      <c r="AJ198" t="s">
        <v>3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ROW(Source!A301)</f>
        <v>301</v>
      </c>
      <c r="B199">
        <v>72192501</v>
      </c>
      <c r="C199">
        <v>71588854</v>
      </c>
      <c r="D199">
        <v>71774477</v>
      </c>
      <c r="E199">
        <v>1</v>
      </c>
      <c r="F199">
        <v>1</v>
      </c>
      <c r="G199">
        <v>35</v>
      </c>
      <c r="H199">
        <v>3</v>
      </c>
      <c r="I199" t="s">
        <v>639</v>
      </c>
      <c r="J199" t="s">
        <v>640</v>
      </c>
      <c r="K199" t="s">
        <v>641</v>
      </c>
      <c r="L199">
        <v>1348</v>
      </c>
      <c r="N199">
        <v>1009</v>
      </c>
      <c r="O199" t="s">
        <v>38</v>
      </c>
      <c r="P199" t="s">
        <v>38</v>
      </c>
      <c r="Q199">
        <v>1000</v>
      </c>
      <c r="X199">
        <v>0.47</v>
      </c>
      <c r="Y199">
        <v>59046.22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3</v>
      </c>
      <c r="AG199">
        <v>0.47</v>
      </c>
      <c r="AH199">
        <v>3</v>
      </c>
      <c r="AI199">
        <v>-1</v>
      </c>
      <c r="AJ199" t="s">
        <v>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ROW(Source!A302)</f>
        <v>302</v>
      </c>
      <c r="B200">
        <v>72192502</v>
      </c>
      <c r="C200">
        <v>71588863</v>
      </c>
      <c r="D200">
        <v>71757693</v>
      </c>
      <c r="E200">
        <v>35</v>
      </c>
      <c r="F200">
        <v>1</v>
      </c>
      <c r="G200">
        <v>35</v>
      </c>
      <c r="H200">
        <v>1</v>
      </c>
      <c r="I200" t="s">
        <v>375</v>
      </c>
      <c r="J200" t="s">
        <v>3</v>
      </c>
      <c r="K200" t="s">
        <v>376</v>
      </c>
      <c r="L200">
        <v>1191</v>
      </c>
      <c r="N200">
        <v>1013</v>
      </c>
      <c r="O200" t="s">
        <v>377</v>
      </c>
      <c r="P200" t="s">
        <v>377</v>
      </c>
      <c r="Q200">
        <v>1</v>
      </c>
      <c r="X200">
        <v>33.56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1</v>
      </c>
      <c r="AF200" t="s">
        <v>3</v>
      </c>
      <c r="AG200">
        <v>33.56</v>
      </c>
      <c r="AH200">
        <v>3</v>
      </c>
      <c r="AI200">
        <v>-1</v>
      </c>
      <c r="AJ200" t="s">
        <v>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ROW(Source!A302)</f>
        <v>302</v>
      </c>
      <c r="B201">
        <v>72192503</v>
      </c>
      <c r="C201">
        <v>71588863</v>
      </c>
      <c r="D201">
        <v>71771225</v>
      </c>
      <c r="E201">
        <v>1</v>
      </c>
      <c r="F201">
        <v>1</v>
      </c>
      <c r="G201">
        <v>35</v>
      </c>
      <c r="H201">
        <v>2</v>
      </c>
      <c r="I201" t="s">
        <v>497</v>
      </c>
      <c r="J201" t="s">
        <v>498</v>
      </c>
      <c r="K201" t="s">
        <v>499</v>
      </c>
      <c r="L201">
        <v>1368</v>
      </c>
      <c r="N201">
        <v>1011</v>
      </c>
      <c r="O201" t="s">
        <v>381</v>
      </c>
      <c r="P201" t="s">
        <v>381</v>
      </c>
      <c r="Q201">
        <v>1</v>
      </c>
      <c r="X201">
        <v>0.21</v>
      </c>
      <c r="Y201">
        <v>0</v>
      </c>
      <c r="Z201">
        <v>8.07</v>
      </c>
      <c r="AA201">
        <v>1.22</v>
      </c>
      <c r="AB201">
        <v>0</v>
      </c>
      <c r="AC201">
        <v>0</v>
      </c>
      <c r="AD201">
        <v>1</v>
      </c>
      <c r="AE201">
        <v>0</v>
      </c>
      <c r="AF201" t="s">
        <v>3</v>
      </c>
      <c r="AG201">
        <v>0.21</v>
      </c>
      <c r="AH201">
        <v>3</v>
      </c>
      <c r="AI201">
        <v>-1</v>
      </c>
      <c r="AJ201" t="s">
        <v>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ROW(Source!A302)</f>
        <v>302</v>
      </c>
      <c r="B202">
        <v>72192504</v>
      </c>
      <c r="C202">
        <v>71588863</v>
      </c>
      <c r="D202">
        <v>71773291</v>
      </c>
      <c r="E202">
        <v>1</v>
      </c>
      <c r="F202">
        <v>1</v>
      </c>
      <c r="G202">
        <v>35</v>
      </c>
      <c r="H202">
        <v>3</v>
      </c>
      <c r="I202" t="s">
        <v>419</v>
      </c>
      <c r="J202" t="s">
        <v>420</v>
      </c>
      <c r="K202" t="s">
        <v>421</v>
      </c>
      <c r="L202">
        <v>1339</v>
      </c>
      <c r="N202">
        <v>1007</v>
      </c>
      <c r="O202" t="s">
        <v>394</v>
      </c>
      <c r="P202" t="s">
        <v>394</v>
      </c>
      <c r="Q202">
        <v>1</v>
      </c>
      <c r="X202">
        <v>0.01</v>
      </c>
      <c r="Y202">
        <v>42.44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 t="s">
        <v>3</v>
      </c>
      <c r="AG202">
        <v>0.01</v>
      </c>
      <c r="AH202">
        <v>3</v>
      </c>
      <c r="AI202">
        <v>-1</v>
      </c>
      <c r="AJ202" t="s">
        <v>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ROW(Source!A302)</f>
        <v>302</v>
      </c>
      <c r="B203">
        <v>72192505</v>
      </c>
      <c r="C203">
        <v>71588863</v>
      </c>
      <c r="D203">
        <v>71771590</v>
      </c>
      <c r="E203">
        <v>1</v>
      </c>
      <c r="F203">
        <v>1</v>
      </c>
      <c r="G203">
        <v>35</v>
      </c>
      <c r="H203">
        <v>3</v>
      </c>
      <c r="I203" t="s">
        <v>630</v>
      </c>
      <c r="J203" t="s">
        <v>631</v>
      </c>
      <c r="K203" t="s">
        <v>632</v>
      </c>
      <c r="L203">
        <v>1327</v>
      </c>
      <c r="N203">
        <v>1005</v>
      </c>
      <c r="O203" t="s">
        <v>28</v>
      </c>
      <c r="P203" t="s">
        <v>28</v>
      </c>
      <c r="Q203">
        <v>1</v>
      </c>
      <c r="X203">
        <v>10.199999999999999</v>
      </c>
      <c r="Y203">
        <v>622.76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3</v>
      </c>
      <c r="AG203">
        <v>10.199999999999999</v>
      </c>
      <c r="AH203">
        <v>3</v>
      </c>
      <c r="AI203">
        <v>-1</v>
      </c>
      <c r="AJ203" t="s">
        <v>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ROW(Source!A302)</f>
        <v>302</v>
      </c>
      <c r="B204">
        <v>72192506</v>
      </c>
      <c r="C204">
        <v>71588863</v>
      </c>
      <c r="D204">
        <v>71774451</v>
      </c>
      <c r="E204">
        <v>1</v>
      </c>
      <c r="F204">
        <v>1</v>
      </c>
      <c r="G204">
        <v>35</v>
      </c>
      <c r="H204">
        <v>3</v>
      </c>
      <c r="I204" t="s">
        <v>642</v>
      </c>
      <c r="J204" t="s">
        <v>643</v>
      </c>
      <c r="K204" t="s">
        <v>644</v>
      </c>
      <c r="L204">
        <v>1348</v>
      </c>
      <c r="N204">
        <v>1009</v>
      </c>
      <c r="O204" t="s">
        <v>38</v>
      </c>
      <c r="P204" t="s">
        <v>38</v>
      </c>
      <c r="Q204">
        <v>1000</v>
      </c>
      <c r="X204">
        <v>4.2999999999999997E-2</v>
      </c>
      <c r="Y204">
        <v>12292.81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3</v>
      </c>
      <c r="AG204">
        <v>4.2999999999999997E-2</v>
      </c>
      <c r="AH204">
        <v>3</v>
      </c>
      <c r="AI204">
        <v>-1</v>
      </c>
      <c r="AJ204" t="s">
        <v>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ROW(Source!A302)</f>
        <v>302</v>
      </c>
      <c r="B205">
        <v>72192507</v>
      </c>
      <c r="C205">
        <v>71588863</v>
      </c>
      <c r="D205">
        <v>71774453</v>
      </c>
      <c r="E205">
        <v>1</v>
      </c>
      <c r="F205">
        <v>1</v>
      </c>
      <c r="G205">
        <v>35</v>
      </c>
      <c r="H205">
        <v>3</v>
      </c>
      <c r="I205" t="s">
        <v>636</v>
      </c>
      <c r="J205" t="s">
        <v>637</v>
      </c>
      <c r="K205" t="s">
        <v>638</v>
      </c>
      <c r="L205">
        <v>1348</v>
      </c>
      <c r="N205">
        <v>1009</v>
      </c>
      <c r="O205" t="s">
        <v>38</v>
      </c>
      <c r="P205" t="s">
        <v>38</v>
      </c>
      <c r="Q205">
        <v>1000</v>
      </c>
      <c r="X205">
        <v>6.0000000000000001E-3</v>
      </c>
      <c r="Y205">
        <v>59880.6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3</v>
      </c>
      <c r="AG205">
        <v>6.0000000000000001E-3</v>
      </c>
      <c r="AH205">
        <v>3</v>
      </c>
      <c r="AI205">
        <v>-1</v>
      </c>
      <c r="AJ205" t="s">
        <v>3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ROW(Source!A303)</f>
        <v>303</v>
      </c>
      <c r="B206">
        <v>72192508</v>
      </c>
      <c r="C206">
        <v>71588870</v>
      </c>
      <c r="D206">
        <v>71757693</v>
      </c>
      <c r="E206">
        <v>35</v>
      </c>
      <c r="F206">
        <v>1</v>
      </c>
      <c r="G206">
        <v>35</v>
      </c>
      <c r="H206">
        <v>1</v>
      </c>
      <c r="I206" t="s">
        <v>375</v>
      </c>
      <c r="J206" t="s">
        <v>3</v>
      </c>
      <c r="K206" t="s">
        <v>376</v>
      </c>
      <c r="L206">
        <v>1191</v>
      </c>
      <c r="N206">
        <v>1013</v>
      </c>
      <c r="O206" t="s">
        <v>377</v>
      </c>
      <c r="P206" t="s">
        <v>377</v>
      </c>
      <c r="Q206">
        <v>1</v>
      </c>
      <c r="X206">
        <v>180.55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1</v>
      </c>
      <c r="AF206" t="s">
        <v>3</v>
      </c>
      <c r="AG206">
        <v>180.55</v>
      </c>
      <c r="AH206">
        <v>3</v>
      </c>
      <c r="AI206">
        <v>-1</v>
      </c>
      <c r="AJ206" t="s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ROW(Source!A303)</f>
        <v>303</v>
      </c>
      <c r="B207">
        <v>72192509</v>
      </c>
      <c r="C207">
        <v>71588870</v>
      </c>
      <c r="D207">
        <v>71773676</v>
      </c>
      <c r="E207">
        <v>1</v>
      </c>
      <c r="F207">
        <v>1</v>
      </c>
      <c r="G207">
        <v>35</v>
      </c>
      <c r="H207">
        <v>3</v>
      </c>
      <c r="I207" t="s">
        <v>645</v>
      </c>
      <c r="J207" t="s">
        <v>646</v>
      </c>
      <c r="K207" t="s">
        <v>647</v>
      </c>
      <c r="L207">
        <v>1327</v>
      </c>
      <c r="N207">
        <v>1005</v>
      </c>
      <c r="O207" t="s">
        <v>28</v>
      </c>
      <c r="P207" t="s">
        <v>28</v>
      </c>
      <c r="Q207">
        <v>1</v>
      </c>
      <c r="X207">
        <v>112</v>
      </c>
      <c r="Y207">
        <v>143.44999999999999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3</v>
      </c>
      <c r="AG207">
        <v>112</v>
      </c>
      <c r="AH207">
        <v>3</v>
      </c>
      <c r="AI207">
        <v>-1</v>
      </c>
      <c r="AJ207" t="s">
        <v>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ROW(Source!A303)</f>
        <v>303</v>
      </c>
      <c r="B208">
        <v>72192510</v>
      </c>
      <c r="C208">
        <v>71588870</v>
      </c>
      <c r="D208">
        <v>71773343</v>
      </c>
      <c r="E208">
        <v>1</v>
      </c>
      <c r="F208">
        <v>1</v>
      </c>
      <c r="G208">
        <v>35</v>
      </c>
      <c r="H208">
        <v>3</v>
      </c>
      <c r="I208" t="s">
        <v>648</v>
      </c>
      <c r="J208" t="s">
        <v>649</v>
      </c>
      <c r="K208" t="s">
        <v>650</v>
      </c>
      <c r="L208">
        <v>1348</v>
      </c>
      <c r="N208">
        <v>1009</v>
      </c>
      <c r="O208" t="s">
        <v>38</v>
      </c>
      <c r="P208" t="s">
        <v>38</v>
      </c>
      <c r="Q208">
        <v>1000</v>
      </c>
      <c r="X208">
        <v>0.02</v>
      </c>
      <c r="Y208">
        <v>183265.27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3</v>
      </c>
      <c r="AG208">
        <v>0.02</v>
      </c>
      <c r="AH208">
        <v>3</v>
      </c>
      <c r="AI208">
        <v>-1</v>
      </c>
      <c r="AJ208" t="s">
        <v>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ROW(Source!A303)</f>
        <v>303</v>
      </c>
      <c r="B209">
        <v>72192511</v>
      </c>
      <c r="C209">
        <v>71588870</v>
      </c>
      <c r="D209">
        <v>71771682</v>
      </c>
      <c r="E209">
        <v>1</v>
      </c>
      <c r="F209">
        <v>1</v>
      </c>
      <c r="G209">
        <v>35</v>
      </c>
      <c r="H209">
        <v>3</v>
      </c>
      <c r="I209" t="s">
        <v>651</v>
      </c>
      <c r="J209" t="s">
        <v>652</v>
      </c>
      <c r="K209" t="s">
        <v>653</v>
      </c>
      <c r="L209">
        <v>1348</v>
      </c>
      <c r="N209">
        <v>1009</v>
      </c>
      <c r="O209" t="s">
        <v>38</v>
      </c>
      <c r="P209" t="s">
        <v>38</v>
      </c>
      <c r="Q209">
        <v>1000</v>
      </c>
      <c r="X209">
        <v>1.6E-2</v>
      </c>
      <c r="Y209">
        <v>84932.35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3</v>
      </c>
      <c r="AG209">
        <v>1.6E-2</v>
      </c>
      <c r="AH209">
        <v>3</v>
      </c>
      <c r="AI209">
        <v>-1</v>
      </c>
      <c r="AJ209" t="s">
        <v>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ROW(Source!A303)</f>
        <v>303</v>
      </c>
      <c r="B210">
        <v>72192512</v>
      </c>
      <c r="C210">
        <v>71588870</v>
      </c>
      <c r="D210">
        <v>71774478</v>
      </c>
      <c r="E210">
        <v>1</v>
      </c>
      <c r="F210">
        <v>1</v>
      </c>
      <c r="G210">
        <v>35</v>
      </c>
      <c r="H210">
        <v>3</v>
      </c>
      <c r="I210" t="s">
        <v>654</v>
      </c>
      <c r="J210" t="s">
        <v>655</v>
      </c>
      <c r="K210" t="s">
        <v>656</v>
      </c>
      <c r="L210">
        <v>1346</v>
      </c>
      <c r="N210">
        <v>1009</v>
      </c>
      <c r="O210" t="s">
        <v>447</v>
      </c>
      <c r="P210" t="s">
        <v>447</v>
      </c>
      <c r="Q210">
        <v>1</v>
      </c>
      <c r="X210">
        <v>120</v>
      </c>
      <c r="Y210">
        <v>27.92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 t="s">
        <v>3</v>
      </c>
      <c r="AG210">
        <v>120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ROW(Source!A304)</f>
        <v>304</v>
      </c>
      <c r="B211">
        <v>72192513</v>
      </c>
      <c r="C211">
        <v>71588876</v>
      </c>
      <c r="D211">
        <v>71757693</v>
      </c>
      <c r="E211">
        <v>35</v>
      </c>
      <c r="F211">
        <v>1</v>
      </c>
      <c r="G211">
        <v>35</v>
      </c>
      <c r="H211">
        <v>1</v>
      </c>
      <c r="I211" t="s">
        <v>375</v>
      </c>
      <c r="J211" t="s">
        <v>3</v>
      </c>
      <c r="K211" t="s">
        <v>376</v>
      </c>
      <c r="L211">
        <v>1191</v>
      </c>
      <c r="N211">
        <v>1013</v>
      </c>
      <c r="O211" t="s">
        <v>377</v>
      </c>
      <c r="P211" t="s">
        <v>377</v>
      </c>
      <c r="Q211">
        <v>1</v>
      </c>
      <c r="X211">
        <v>6.31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1</v>
      </c>
      <c r="AF211" t="s">
        <v>3</v>
      </c>
      <c r="AG211">
        <v>6.31</v>
      </c>
      <c r="AH211">
        <v>3</v>
      </c>
      <c r="AI211">
        <v>-1</v>
      </c>
      <c r="AJ211" t="s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ROW(Source!A304)</f>
        <v>304</v>
      </c>
      <c r="B212">
        <v>72192514</v>
      </c>
      <c r="C212">
        <v>71588876</v>
      </c>
      <c r="D212">
        <v>71771676</v>
      </c>
      <c r="E212">
        <v>1</v>
      </c>
      <c r="F212">
        <v>1</v>
      </c>
      <c r="G212">
        <v>35</v>
      </c>
      <c r="H212">
        <v>3</v>
      </c>
      <c r="I212" t="s">
        <v>657</v>
      </c>
      <c r="J212" t="s">
        <v>658</v>
      </c>
      <c r="K212" t="s">
        <v>659</v>
      </c>
      <c r="L212">
        <v>1348</v>
      </c>
      <c r="N212">
        <v>1009</v>
      </c>
      <c r="O212" t="s">
        <v>38</v>
      </c>
      <c r="P212" t="s">
        <v>38</v>
      </c>
      <c r="Q212">
        <v>1000</v>
      </c>
      <c r="X212">
        <v>1.4999999999999999E-2</v>
      </c>
      <c r="Y212">
        <v>101819.3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3</v>
      </c>
      <c r="AG212">
        <v>1.4999999999999999E-2</v>
      </c>
      <c r="AH212">
        <v>3</v>
      </c>
      <c r="AI212">
        <v>-1</v>
      </c>
      <c r="AJ212" t="s">
        <v>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ROW(Source!A340)</f>
        <v>340</v>
      </c>
      <c r="B213">
        <v>72192515</v>
      </c>
      <c r="C213">
        <v>71588937</v>
      </c>
      <c r="D213">
        <v>71757693</v>
      </c>
      <c r="E213">
        <v>35</v>
      </c>
      <c r="F213">
        <v>1</v>
      </c>
      <c r="G213">
        <v>35</v>
      </c>
      <c r="H213">
        <v>1</v>
      </c>
      <c r="I213" t="s">
        <v>375</v>
      </c>
      <c r="J213" t="s">
        <v>3</v>
      </c>
      <c r="K213" t="s">
        <v>376</v>
      </c>
      <c r="L213">
        <v>1191</v>
      </c>
      <c r="N213">
        <v>1013</v>
      </c>
      <c r="O213" t="s">
        <v>377</v>
      </c>
      <c r="P213" t="s">
        <v>377</v>
      </c>
      <c r="Q213">
        <v>1</v>
      </c>
      <c r="X213">
        <v>67.959999999999994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1</v>
      </c>
      <c r="AF213" t="s">
        <v>3</v>
      </c>
      <c r="AG213">
        <v>67.959999999999994</v>
      </c>
      <c r="AH213">
        <v>3</v>
      </c>
      <c r="AI213">
        <v>-1</v>
      </c>
      <c r="AJ213" t="s">
        <v>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ROW(Source!A340)</f>
        <v>340</v>
      </c>
      <c r="B214">
        <v>72192516</v>
      </c>
      <c r="C214">
        <v>71588937</v>
      </c>
      <c r="D214">
        <v>71771225</v>
      </c>
      <c r="E214">
        <v>1</v>
      </c>
      <c r="F214">
        <v>1</v>
      </c>
      <c r="G214">
        <v>35</v>
      </c>
      <c r="H214">
        <v>2</v>
      </c>
      <c r="I214" t="s">
        <v>497</v>
      </c>
      <c r="J214" t="s">
        <v>498</v>
      </c>
      <c r="K214" t="s">
        <v>499</v>
      </c>
      <c r="L214">
        <v>1368</v>
      </c>
      <c r="N214">
        <v>1011</v>
      </c>
      <c r="O214" t="s">
        <v>381</v>
      </c>
      <c r="P214" t="s">
        <v>381</v>
      </c>
      <c r="Q214">
        <v>1</v>
      </c>
      <c r="X214">
        <v>0.26</v>
      </c>
      <c r="Y214">
        <v>0</v>
      </c>
      <c r="Z214">
        <v>8.07</v>
      </c>
      <c r="AA214">
        <v>1.22</v>
      </c>
      <c r="AB214">
        <v>0</v>
      </c>
      <c r="AC214">
        <v>0</v>
      </c>
      <c r="AD214">
        <v>1</v>
      </c>
      <c r="AE214">
        <v>0</v>
      </c>
      <c r="AF214" t="s">
        <v>3</v>
      </c>
      <c r="AG214">
        <v>0.26</v>
      </c>
      <c r="AH214">
        <v>3</v>
      </c>
      <c r="AI214">
        <v>-1</v>
      </c>
      <c r="AJ214" t="s">
        <v>3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ROW(Source!A340)</f>
        <v>340</v>
      </c>
      <c r="B215">
        <v>72192517</v>
      </c>
      <c r="C215">
        <v>71588937</v>
      </c>
      <c r="D215">
        <v>71772401</v>
      </c>
      <c r="E215">
        <v>1</v>
      </c>
      <c r="F215">
        <v>1</v>
      </c>
      <c r="G215">
        <v>35</v>
      </c>
      <c r="H215">
        <v>3</v>
      </c>
      <c r="I215" t="s">
        <v>500</v>
      </c>
      <c r="J215" t="s">
        <v>501</v>
      </c>
      <c r="K215" t="s">
        <v>502</v>
      </c>
      <c r="L215">
        <v>1348</v>
      </c>
      <c r="N215">
        <v>1009</v>
      </c>
      <c r="O215" t="s">
        <v>38</v>
      </c>
      <c r="P215" t="s">
        <v>38</v>
      </c>
      <c r="Q215">
        <v>1000</v>
      </c>
      <c r="X215">
        <v>4.4999999999999997E-3</v>
      </c>
      <c r="Y215">
        <v>250191.91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3</v>
      </c>
      <c r="AG215">
        <v>4.4999999999999997E-3</v>
      </c>
      <c r="AH215">
        <v>3</v>
      </c>
      <c r="AI215">
        <v>-1</v>
      </c>
      <c r="AJ215" t="s">
        <v>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ROW(Source!A340)</f>
        <v>340</v>
      </c>
      <c r="B216">
        <v>72192518</v>
      </c>
      <c r="C216">
        <v>71588937</v>
      </c>
      <c r="D216">
        <v>71772462</v>
      </c>
      <c r="E216">
        <v>1</v>
      </c>
      <c r="F216">
        <v>1</v>
      </c>
      <c r="G216">
        <v>35</v>
      </c>
      <c r="H216">
        <v>3</v>
      </c>
      <c r="I216" t="s">
        <v>503</v>
      </c>
      <c r="J216" t="s">
        <v>504</v>
      </c>
      <c r="K216" t="s">
        <v>505</v>
      </c>
      <c r="L216">
        <v>1355</v>
      </c>
      <c r="N216">
        <v>1010</v>
      </c>
      <c r="O216" t="s">
        <v>33</v>
      </c>
      <c r="P216" t="s">
        <v>33</v>
      </c>
      <c r="Q216">
        <v>100</v>
      </c>
      <c r="X216">
        <v>0.89</v>
      </c>
      <c r="Y216">
        <v>36.36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3</v>
      </c>
      <c r="AG216">
        <v>0.89</v>
      </c>
      <c r="AH216">
        <v>3</v>
      </c>
      <c r="AI216">
        <v>-1</v>
      </c>
      <c r="AJ216" t="s">
        <v>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ROW(Source!A340)</f>
        <v>340</v>
      </c>
      <c r="B217">
        <v>72192519</v>
      </c>
      <c r="C217">
        <v>71588937</v>
      </c>
      <c r="D217">
        <v>71778223</v>
      </c>
      <c r="E217">
        <v>1</v>
      </c>
      <c r="F217">
        <v>1</v>
      </c>
      <c r="G217">
        <v>35</v>
      </c>
      <c r="H217">
        <v>3</v>
      </c>
      <c r="I217" t="s">
        <v>171</v>
      </c>
      <c r="J217" t="s">
        <v>174</v>
      </c>
      <c r="K217" t="s">
        <v>172</v>
      </c>
      <c r="L217">
        <v>1035</v>
      </c>
      <c r="N217">
        <v>1013</v>
      </c>
      <c r="O217" t="s">
        <v>173</v>
      </c>
      <c r="P217" t="s">
        <v>173</v>
      </c>
      <c r="Q217">
        <v>1</v>
      </c>
      <c r="X217">
        <v>44.2</v>
      </c>
      <c r="Y217">
        <v>131.81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3</v>
      </c>
      <c r="AG217">
        <v>44.2</v>
      </c>
      <c r="AH217">
        <v>3</v>
      </c>
      <c r="AI217">
        <v>-1</v>
      </c>
      <c r="AJ217" t="s">
        <v>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ROW(Source!A340)</f>
        <v>340</v>
      </c>
      <c r="B218">
        <v>72192520</v>
      </c>
      <c r="C218">
        <v>71588937</v>
      </c>
      <c r="D218">
        <v>71779281</v>
      </c>
      <c r="E218">
        <v>1</v>
      </c>
      <c r="F218">
        <v>1</v>
      </c>
      <c r="G218">
        <v>35</v>
      </c>
      <c r="H218">
        <v>3</v>
      </c>
      <c r="I218" t="s">
        <v>165</v>
      </c>
      <c r="J218" t="s">
        <v>167</v>
      </c>
      <c r="K218" t="s">
        <v>166</v>
      </c>
      <c r="L218">
        <v>1354</v>
      </c>
      <c r="N218">
        <v>1010</v>
      </c>
      <c r="O218" t="s">
        <v>51</v>
      </c>
      <c r="P218" t="s">
        <v>51</v>
      </c>
      <c r="Q218">
        <v>1</v>
      </c>
      <c r="X218">
        <v>99.01</v>
      </c>
      <c r="Y218">
        <v>7758.26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3</v>
      </c>
      <c r="AG218">
        <v>99.01</v>
      </c>
      <c r="AH218">
        <v>3</v>
      </c>
      <c r="AI218">
        <v>-1</v>
      </c>
      <c r="AJ218" t="s">
        <v>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ROW(Source!A345)</f>
        <v>345</v>
      </c>
      <c r="B219">
        <v>72192521</v>
      </c>
      <c r="C219">
        <v>71589271</v>
      </c>
      <c r="D219">
        <v>71757693</v>
      </c>
      <c r="E219">
        <v>35</v>
      </c>
      <c r="F219">
        <v>1</v>
      </c>
      <c r="G219">
        <v>35</v>
      </c>
      <c r="H219">
        <v>1</v>
      </c>
      <c r="I219" t="s">
        <v>375</v>
      </c>
      <c r="J219" t="s">
        <v>3</v>
      </c>
      <c r="K219" t="s">
        <v>376</v>
      </c>
      <c r="L219">
        <v>1191</v>
      </c>
      <c r="N219">
        <v>1013</v>
      </c>
      <c r="O219" t="s">
        <v>377</v>
      </c>
      <c r="P219" t="s">
        <v>377</v>
      </c>
      <c r="Q219">
        <v>1</v>
      </c>
      <c r="X219">
        <v>34.159999999999997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1</v>
      </c>
      <c r="AF219" t="s">
        <v>3</v>
      </c>
      <c r="AG219">
        <v>34.159999999999997</v>
      </c>
      <c r="AH219">
        <v>3</v>
      </c>
      <c r="AI219">
        <v>-1</v>
      </c>
      <c r="AJ219" t="s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ROW(Source!A345)</f>
        <v>345</v>
      </c>
      <c r="B220">
        <v>72192522</v>
      </c>
      <c r="C220">
        <v>71589271</v>
      </c>
      <c r="D220">
        <v>71770715</v>
      </c>
      <c r="E220">
        <v>1</v>
      </c>
      <c r="F220">
        <v>1</v>
      </c>
      <c r="G220">
        <v>35</v>
      </c>
      <c r="H220">
        <v>2</v>
      </c>
      <c r="I220" t="s">
        <v>388</v>
      </c>
      <c r="J220" t="s">
        <v>389</v>
      </c>
      <c r="K220" t="s">
        <v>390</v>
      </c>
      <c r="L220">
        <v>1368</v>
      </c>
      <c r="N220">
        <v>1011</v>
      </c>
      <c r="O220" t="s">
        <v>381</v>
      </c>
      <c r="P220" t="s">
        <v>381</v>
      </c>
      <c r="Q220">
        <v>1</v>
      </c>
      <c r="X220">
        <v>1.24</v>
      </c>
      <c r="Y220">
        <v>0</v>
      </c>
      <c r="Z220">
        <v>6.33</v>
      </c>
      <c r="AA220">
        <v>0.18</v>
      </c>
      <c r="AB220">
        <v>0</v>
      </c>
      <c r="AC220">
        <v>0</v>
      </c>
      <c r="AD220">
        <v>1</v>
      </c>
      <c r="AE220">
        <v>0</v>
      </c>
      <c r="AF220" t="s">
        <v>3</v>
      </c>
      <c r="AG220">
        <v>1.24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ROW(Source!A345)</f>
        <v>345</v>
      </c>
      <c r="B221">
        <v>72192523</v>
      </c>
      <c r="C221">
        <v>71589271</v>
      </c>
      <c r="D221">
        <v>71759948</v>
      </c>
      <c r="E221">
        <v>35</v>
      </c>
      <c r="F221">
        <v>1</v>
      </c>
      <c r="G221">
        <v>35</v>
      </c>
      <c r="H221">
        <v>3</v>
      </c>
      <c r="I221" t="s">
        <v>524</v>
      </c>
      <c r="J221" t="s">
        <v>3</v>
      </c>
      <c r="K221" t="s">
        <v>525</v>
      </c>
      <c r="L221">
        <v>1354</v>
      </c>
      <c r="N221">
        <v>1010</v>
      </c>
      <c r="O221" t="s">
        <v>51</v>
      </c>
      <c r="P221" t="s">
        <v>51</v>
      </c>
      <c r="Q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3</v>
      </c>
      <c r="AG221">
        <v>0</v>
      </c>
      <c r="AH221">
        <v>3</v>
      </c>
      <c r="AI221">
        <v>-1</v>
      </c>
      <c r="AJ221" t="s">
        <v>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ROW(Source!A345)</f>
        <v>345</v>
      </c>
      <c r="B222">
        <v>72192532</v>
      </c>
      <c r="C222">
        <v>71589271</v>
      </c>
      <c r="D222">
        <v>71760361</v>
      </c>
      <c r="E222">
        <v>35</v>
      </c>
      <c r="F222">
        <v>1</v>
      </c>
      <c r="G222">
        <v>35</v>
      </c>
      <c r="H222">
        <v>3</v>
      </c>
      <c r="I222" t="s">
        <v>526</v>
      </c>
      <c r="J222" t="s">
        <v>3</v>
      </c>
      <c r="K222" t="s">
        <v>527</v>
      </c>
      <c r="L222">
        <v>1346</v>
      </c>
      <c r="N222">
        <v>1009</v>
      </c>
      <c r="O222" t="s">
        <v>447</v>
      </c>
      <c r="P222" t="s">
        <v>447</v>
      </c>
      <c r="Q222">
        <v>1</v>
      </c>
      <c r="X222">
        <v>1.6000000000000001E-3</v>
      </c>
      <c r="Y222">
        <v>55.951599999999999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3</v>
      </c>
      <c r="AG222">
        <v>1.6000000000000001E-3</v>
      </c>
      <c r="AH222">
        <v>3</v>
      </c>
      <c r="AI222">
        <v>-1</v>
      </c>
      <c r="AJ222" t="s">
        <v>3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ROW(Source!A345)</f>
        <v>345</v>
      </c>
      <c r="B223">
        <v>72192531</v>
      </c>
      <c r="C223">
        <v>71589271</v>
      </c>
      <c r="D223">
        <v>71777124</v>
      </c>
      <c r="E223">
        <v>1</v>
      </c>
      <c r="F223">
        <v>1</v>
      </c>
      <c r="G223">
        <v>35</v>
      </c>
      <c r="H223">
        <v>3</v>
      </c>
      <c r="I223" t="s">
        <v>528</v>
      </c>
      <c r="J223" t="s">
        <v>529</v>
      </c>
      <c r="K223" t="s">
        <v>530</v>
      </c>
      <c r="L223">
        <v>1301</v>
      </c>
      <c r="N223">
        <v>1003</v>
      </c>
      <c r="O223" t="s">
        <v>475</v>
      </c>
      <c r="P223" t="s">
        <v>475</v>
      </c>
      <c r="Q223">
        <v>1</v>
      </c>
      <c r="X223">
        <v>100</v>
      </c>
      <c r="Y223">
        <v>341.05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3</v>
      </c>
      <c r="AG223">
        <v>100</v>
      </c>
      <c r="AH223">
        <v>3</v>
      </c>
      <c r="AI223">
        <v>-1</v>
      </c>
      <c r="AJ223" t="s">
        <v>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ROW(Source!A345)</f>
        <v>345</v>
      </c>
      <c r="B224">
        <v>72192524</v>
      </c>
      <c r="C224">
        <v>71589271</v>
      </c>
      <c r="D224">
        <v>71773168</v>
      </c>
      <c r="E224">
        <v>1</v>
      </c>
      <c r="F224">
        <v>1</v>
      </c>
      <c r="G224">
        <v>35</v>
      </c>
      <c r="H224">
        <v>3</v>
      </c>
      <c r="I224" t="s">
        <v>531</v>
      </c>
      <c r="J224" t="s">
        <v>532</v>
      </c>
      <c r="K224" t="s">
        <v>533</v>
      </c>
      <c r="L224">
        <v>1348</v>
      </c>
      <c r="N224">
        <v>1009</v>
      </c>
      <c r="O224" t="s">
        <v>38</v>
      </c>
      <c r="P224" t="s">
        <v>38</v>
      </c>
      <c r="Q224">
        <v>1000</v>
      </c>
      <c r="X224">
        <v>1.7000000000000001E-4</v>
      </c>
      <c r="Y224">
        <v>143335.38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3</v>
      </c>
      <c r="AG224">
        <v>1.7000000000000001E-4</v>
      </c>
      <c r="AH224">
        <v>3</v>
      </c>
      <c r="AI224">
        <v>-1</v>
      </c>
      <c r="AJ224" t="s">
        <v>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ROW(Source!A345)</f>
        <v>345</v>
      </c>
      <c r="B225">
        <v>72192525</v>
      </c>
      <c r="C225">
        <v>71589271</v>
      </c>
      <c r="D225">
        <v>71773291</v>
      </c>
      <c r="E225">
        <v>1</v>
      </c>
      <c r="F225">
        <v>1</v>
      </c>
      <c r="G225">
        <v>35</v>
      </c>
      <c r="H225">
        <v>3</v>
      </c>
      <c r="I225" t="s">
        <v>419</v>
      </c>
      <c r="J225" t="s">
        <v>420</v>
      </c>
      <c r="K225" t="s">
        <v>421</v>
      </c>
      <c r="L225">
        <v>1339</v>
      </c>
      <c r="N225">
        <v>1007</v>
      </c>
      <c r="O225" t="s">
        <v>394</v>
      </c>
      <c r="P225" t="s">
        <v>394</v>
      </c>
      <c r="Q225">
        <v>1</v>
      </c>
      <c r="X225">
        <v>0.44</v>
      </c>
      <c r="Y225">
        <v>42.44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3</v>
      </c>
      <c r="AG225">
        <v>0.44</v>
      </c>
      <c r="AH225">
        <v>3</v>
      </c>
      <c r="AI225">
        <v>-1</v>
      </c>
      <c r="AJ225" t="s">
        <v>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ROW(Source!A345)</f>
        <v>345</v>
      </c>
      <c r="B226">
        <v>72192526</v>
      </c>
      <c r="C226">
        <v>71589271</v>
      </c>
      <c r="D226">
        <v>71773294</v>
      </c>
      <c r="E226">
        <v>1</v>
      </c>
      <c r="F226">
        <v>1</v>
      </c>
      <c r="G226">
        <v>35</v>
      </c>
      <c r="H226">
        <v>3</v>
      </c>
      <c r="I226" t="s">
        <v>534</v>
      </c>
      <c r="J226" t="s">
        <v>535</v>
      </c>
      <c r="K226" t="s">
        <v>536</v>
      </c>
      <c r="L226">
        <v>1346</v>
      </c>
      <c r="N226">
        <v>1009</v>
      </c>
      <c r="O226" t="s">
        <v>447</v>
      </c>
      <c r="P226" t="s">
        <v>447</v>
      </c>
      <c r="Q226">
        <v>1</v>
      </c>
      <c r="X226">
        <v>0.06</v>
      </c>
      <c r="Y226">
        <v>590.44000000000005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3</v>
      </c>
      <c r="AG226">
        <v>0.06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ROW(Source!A345)</f>
        <v>345</v>
      </c>
      <c r="B227">
        <v>72192527</v>
      </c>
      <c r="C227">
        <v>71589271</v>
      </c>
      <c r="D227">
        <v>71771510</v>
      </c>
      <c r="E227">
        <v>1</v>
      </c>
      <c r="F227">
        <v>1</v>
      </c>
      <c r="G227">
        <v>35</v>
      </c>
      <c r="H227">
        <v>3</v>
      </c>
      <c r="I227" t="s">
        <v>391</v>
      </c>
      <c r="J227" t="s">
        <v>392</v>
      </c>
      <c r="K227" t="s">
        <v>393</v>
      </c>
      <c r="L227">
        <v>1339</v>
      </c>
      <c r="N227">
        <v>1007</v>
      </c>
      <c r="O227" t="s">
        <v>394</v>
      </c>
      <c r="P227" t="s">
        <v>394</v>
      </c>
      <c r="Q227">
        <v>1</v>
      </c>
      <c r="X227">
        <v>0.28100000000000003</v>
      </c>
      <c r="Y227">
        <v>79.62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3</v>
      </c>
      <c r="AG227">
        <v>0.28100000000000003</v>
      </c>
      <c r="AH227">
        <v>3</v>
      </c>
      <c r="AI227">
        <v>-1</v>
      </c>
      <c r="AJ227" t="s">
        <v>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ROW(Source!A345)</f>
        <v>345</v>
      </c>
      <c r="B228">
        <v>72192528</v>
      </c>
      <c r="C228">
        <v>71589271</v>
      </c>
      <c r="D228">
        <v>71771502</v>
      </c>
      <c r="E228">
        <v>1</v>
      </c>
      <c r="F228">
        <v>1</v>
      </c>
      <c r="G228">
        <v>35</v>
      </c>
      <c r="H228">
        <v>3</v>
      </c>
      <c r="I228" t="s">
        <v>395</v>
      </c>
      <c r="J228" t="s">
        <v>396</v>
      </c>
      <c r="K228" t="s">
        <v>397</v>
      </c>
      <c r="L228">
        <v>1339</v>
      </c>
      <c r="N228">
        <v>1007</v>
      </c>
      <c r="O228" t="s">
        <v>394</v>
      </c>
      <c r="P228" t="s">
        <v>394</v>
      </c>
      <c r="Q228">
        <v>1</v>
      </c>
      <c r="X228">
        <v>0.13</v>
      </c>
      <c r="Y228">
        <v>715.78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3</v>
      </c>
      <c r="AG228">
        <v>0.13</v>
      </c>
      <c r="AH228">
        <v>3</v>
      </c>
      <c r="AI228">
        <v>-1</v>
      </c>
      <c r="AJ228" t="s">
        <v>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ROW(Source!A345)</f>
        <v>345</v>
      </c>
      <c r="B229">
        <v>72192529</v>
      </c>
      <c r="C229">
        <v>71589271</v>
      </c>
      <c r="D229">
        <v>71771690</v>
      </c>
      <c r="E229">
        <v>1</v>
      </c>
      <c r="F229">
        <v>1</v>
      </c>
      <c r="G229">
        <v>35</v>
      </c>
      <c r="H229">
        <v>3</v>
      </c>
      <c r="I229" t="s">
        <v>518</v>
      </c>
      <c r="J229" t="s">
        <v>519</v>
      </c>
      <c r="K229" t="s">
        <v>520</v>
      </c>
      <c r="L229">
        <v>1348</v>
      </c>
      <c r="N229">
        <v>1009</v>
      </c>
      <c r="O229" t="s">
        <v>38</v>
      </c>
      <c r="P229" t="s">
        <v>38</v>
      </c>
      <c r="Q229">
        <v>1000</v>
      </c>
      <c r="X229">
        <v>4.4000000000000002E-4</v>
      </c>
      <c r="Y229">
        <v>108449.3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 t="s">
        <v>3</v>
      </c>
      <c r="AG229">
        <v>4.4000000000000002E-4</v>
      </c>
      <c r="AH229">
        <v>3</v>
      </c>
      <c r="AI229">
        <v>-1</v>
      </c>
      <c r="AJ229" t="s">
        <v>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ROW(Source!A345)</f>
        <v>345</v>
      </c>
      <c r="B230">
        <v>72192530</v>
      </c>
      <c r="C230">
        <v>71589271</v>
      </c>
      <c r="D230">
        <v>71771731</v>
      </c>
      <c r="E230">
        <v>1</v>
      </c>
      <c r="F230">
        <v>1</v>
      </c>
      <c r="G230">
        <v>35</v>
      </c>
      <c r="H230">
        <v>3</v>
      </c>
      <c r="I230" t="s">
        <v>521</v>
      </c>
      <c r="J230" t="s">
        <v>522</v>
      </c>
      <c r="K230" t="s">
        <v>523</v>
      </c>
      <c r="L230">
        <v>1346</v>
      </c>
      <c r="N230">
        <v>1009</v>
      </c>
      <c r="O230" t="s">
        <v>447</v>
      </c>
      <c r="P230" t="s">
        <v>447</v>
      </c>
      <c r="Q230">
        <v>1</v>
      </c>
      <c r="X230">
        <v>0.53</v>
      </c>
      <c r="Y230">
        <v>99.65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3</v>
      </c>
      <c r="AG230">
        <v>0.53</v>
      </c>
      <c r="AH230">
        <v>3</v>
      </c>
      <c r="AI230">
        <v>-1</v>
      </c>
      <c r="AJ230" t="s">
        <v>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ROW(Source!A345)</f>
        <v>345</v>
      </c>
      <c r="B231">
        <v>72192533</v>
      </c>
      <c r="C231">
        <v>71589271</v>
      </c>
      <c r="D231">
        <v>71764332</v>
      </c>
      <c r="E231">
        <v>35</v>
      </c>
      <c r="F231">
        <v>1</v>
      </c>
      <c r="G231">
        <v>35</v>
      </c>
      <c r="H231">
        <v>3</v>
      </c>
      <c r="I231" t="s">
        <v>537</v>
      </c>
      <c r="J231" t="s">
        <v>3</v>
      </c>
      <c r="K231" t="s">
        <v>538</v>
      </c>
      <c r="L231">
        <v>1354</v>
      </c>
      <c r="N231">
        <v>1010</v>
      </c>
      <c r="O231" t="s">
        <v>51</v>
      </c>
      <c r="P231" t="s">
        <v>51</v>
      </c>
      <c r="Q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3</v>
      </c>
      <c r="AG231">
        <v>0</v>
      </c>
      <c r="AH231">
        <v>3</v>
      </c>
      <c r="AI231">
        <v>-1</v>
      </c>
      <c r="AJ231" t="s">
        <v>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ROW(Source!A347)</f>
        <v>347</v>
      </c>
      <c r="B232">
        <v>72192534</v>
      </c>
      <c r="C232">
        <v>71589298</v>
      </c>
      <c r="D232">
        <v>71757693</v>
      </c>
      <c r="E232">
        <v>35</v>
      </c>
      <c r="F232">
        <v>1</v>
      </c>
      <c r="G232">
        <v>35</v>
      </c>
      <c r="H232">
        <v>1</v>
      </c>
      <c r="I232" t="s">
        <v>375</v>
      </c>
      <c r="J232" t="s">
        <v>3</v>
      </c>
      <c r="K232" t="s">
        <v>376</v>
      </c>
      <c r="L232">
        <v>1191</v>
      </c>
      <c r="N232">
        <v>1013</v>
      </c>
      <c r="O232" t="s">
        <v>377</v>
      </c>
      <c r="P232" t="s">
        <v>377</v>
      </c>
      <c r="Q232">
        <v>1</v>
      </c>
      <c r="X232">
        <v>10.64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1</v>
      </c>
      <c r="AF232" t="s">
        <v>3</v>
      </c>
      <c r="AG232">
        <v>10.64</v>
      </c>
      <c r="AH232">
        <v>3</v>
      </c>
      <c r="AI232">
        <v>-1</v>
      </c>
      <c r="AJ232" t="s">
        <v>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ROW(Source!A347)</f>
        <v>347</v>
      </c>
      <c r="B233">
        <v>72192535</v>
      </c>
      <c r="C233">
        <v>71589298</v>
      </c>
      <c r="D233">
        <v>71773291</v>
      </c>
      <c r="E233">
        <v>1</v>
      </c>
      <c r="F233">
        <v>1</v>
      </c>
      <c r="G233">
        <v>35</v>
      </c>
      <c r="H233">
        <v>3</v>
      </c>
      <c r="I233" t="s">
        <v>419</v>
      </c>
      <c r="J233" t="s">
        <v>420</v>
      </c>
      <c r="K233" t="s">
        <v>421</v>
      </c>
      <c r="L233">
        <v>1339</v>
      </c>
      <c r="N233">
        <v>1007</v>
      </c>
      <c r="O233" t="s">
        <v>394</v>
      </c>
      <c r="P233" t="s">
        <v>394</v>
      </c>
      <c r="Q233">
        <v>1</v>
      </c>
      <c r="X233">
        <v>1</v>
      </c>
      <c r="Y233">
        <v>42.44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3</v>
      </c>
      <c r="AG233">
        <v>1</v>
      </c>
      <c r="AH233">
        <v>3</v>
      </c>
      <c r="AI233">
        <v>-1</v>
      </c>
      <c r="AJ233" t="s">
        <v>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ROW(Source!A348)</f>
        <v>348</v>
      </c>
      <c r="B234">
        <v>72192536</v>
      </c>
      <c r="C234">
        <v>71588975</v>
      </c>
      <c r="D234">
        <v>71757693</v>
      </c>
      <c r="E234">
        <v>35</v>
      </c>
      <c r="F234">
        <v>1</v>
      </c>
      <c r="G234">
        <v>35</v>
      </c>
      <c r="H234">
        <v>1</v>
      </c>
      <c r="I234" t="s">
        <v>375</v>
      </c>
      <c r="J234" t="s">
        <v>3</v>
      </c>
      <c r="K234" t="s">
        <v>376</v>
      </c>
      <c r="L234">
        <v>1191</v>
      </c>
      <c r="N234">
        <v>1013</v>
      </c>
      <c r="O234" t="s">
        <v>377</v>
      </c>
      <c r="P234" t="s">
        <v>377</v>
      </c>
      <c r="Q234">
        <v>1</v>
      </c>
      <c r="X234">
        <v>1.72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1</v>
      </c>
      <c r="AF234" t="s">
        <v>3</v>
      </c>
      <c r="AG234">
        <v>1.72</v>
      </c>
      <c r="AH234">
        <v>3</v>
      </c>
      <c r="AI234">
        <v>-1</v>
      </c>
      <c r="AJ234" t="s">
        <v>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ROW(Source!A348)</f>
        <v>348</v>
      </c>
      <c r="B235">
        <v>72192537</v>
      </c>
      <c r="C235">
        <v>71588975</v>
      </c>
      <c r="D235">
        <v>71773294</v>
      </c>
      <c r="E235">
        <v>1</v>
      </c>
      <c r="F235">
        <v>1</v>
      </c>
      <c r="G235">
        <v>35</v>
      </c>
      <c r="H235">
        <v>3</v>
      </c>
      <c r="I235" t="s">
        <v>534</v>
      </c>
      <c r="J235" t="s">
        <v>535</v>
      </c>
      <c r="K235" t="s">
        <v>536</v>
      </c>
      <c r="L235">
        <v>1346</v>
      </c>
      <c r="N235">
        <v>1009</v>
      </c>
      <c r="O235" t="s">
        <v>447</v>
      </c>
      <c r="P235" t="s">
        <v>447</v>
      </c>
      <c r="Q235">
        <v>1</v>
      </c>
      <c r="X235">
        <v>6.3E-2</v>
      </c>
      <c r="Y235">
        <v>590.44000000000005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3</v>
      </c>
      <c r="AG235">
        <v>6.3E-2</v>
      </c>
      <c r="AH235">
        <v>3</v>
      </c>
      <c r="AI235">
        <v>-1</v>
      </c>
      <c r="AJ235" t="s">
        <v>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ROW(Source!A348)</f>
        <v>348</v>
      </c>
      <c r="B236">
        <v>72192538</v>
      </c>
      <c r="C236">
        <v>71588975</v>
      </c>
      <c r="D236">
        <v>71771690</v>
      </c>
      <c r="E236">
        <v>1</v>
      </c>
      <c r="F236">
        <v>1</v>
      </c>
      <c r="G236">
        <v>35</v>
      </c>
      <c r="H236">
        <v>3</v>
      </c>
      <c r="I236" t="s">
        <v>518</v>
      </c>
      <c r="J236" t="s">
        <v>519</v>
      </c>
      <c r="K236" t="s">
        <v>520</v>
      </c>
      <c r="L236">
        <v>1348</v>
      </c>
      <c r="N236">
        <v>1009</v>
      </c>
      <c r="O236" t="s">
        <v>38</v>
      </c>
      <c r="P236" t="s">
        <v>38</v>
      </c>
      <c r="Q236">
        <v>1000</v>
      </c>
      <c r="X236">
        <v>1.2999999999999999E-4</v>
      </c>
      <c r="Y236">
        <v>108449.3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3</v>
      </c>
      <c r="AG236">
        <v>1.2999999999999999E-4</v>
      </c>
      <c r="AH236">
        <v>3</v>
      </c>
      <c r="AI236">
        <v>-1</v>
      </c>
      <c r="AJ236" t="s">
        <v>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ROW(Source!A348)</f>
        <v>348</v>
      </c>
      <c r="B237">
        <v>72192539</v>
      </c>
      <c r="C237">
        <v>71588975</v>
      </c>
      <c r="D237">
        <v>71771731</v>
      </c>
      <c r="E237">
        <v>1</v>
      </c>
      <c r="F237">
        <v>1</v>
      </c>
      <c r="G237">
        <v>35</v>
      </c>
      <c r="H237">
        <v>3</v>
      </c>
      <c r="I237" t="s">
        <v>521</v>
      </c>
      <c r="J237" t="s">
        <v>522</v>
      </c>
      <c r="K237" t="s">
        <v>523</v>
      </c>
      <c r="L237">
        <v>1346</v>
      </c>
      <c r="N237">
        <v>1009</v>
      </c>
      <c r="O237" t="s">
        <v>447</v>
      </c>
      <c r="P237" t="s">
        <v>447</v>
      </c>
      <c r="Q237">
        <v>1</v>
      </c>
      <c r="X237">
        <v>6.3E-2</v>
      </c>
      <c r="Y237">
        <v>99.65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3</v>
      </c>
      <c r="AG237">
        <v>6.3E-2</v>
      </c>
      <c r="AH237">
        <v>3</v>
      </c>
      <c r="AI237">
        <v>-1</v>
      </c>
      <c r="AJ237" t="s">
        <v>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ROW(Source!A385)</f>
        <v>385</v>
      </c>
      <c r="B238">
        <v>72192540</v>
      </c>
      <c r="C238">
        <v>71589044</v>
      </c>
      <c r="D238">
        <v>71757693</v>
      </c>
      <c r="E238">
        <v>35</v>
      </c>
      <c r="F238">
        <v>1</v>
      </c>
      <c r="G238">
        <v>35</v>
      </c>
      <c r="H238">
        <v>1</v>
      </c>
      <c r="I238" t="s">
        <v>375</v>
      </c>
      <c r="J238" t="s">
        <v>3</v>
      </c>
      <c r="K238" t="s">
        <v>376</v>
      </c>
      <c r="L238">
        <v>1191</v>
      </c>
      <c r="N238">
        <v>1013</v>
      </c>
      <c r="O238" t="s">
        <v>377</v>
      </c>
      <c r="P238" t="s">
        <v>377</v>
      </c>
      <c r="Q238">
        <v>1</v>
      </c>
      <c r="X238">
        <v>17.89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1</v>
      </c>
      <c r="AF238" t="s">
        <v>3</v>
      </c>
      <c r="AG238">
        <v>17.89</v>
      </c>
      <c r="AH238">
        <v>3</v>
      </c>
      <c r="AI238">
        <v>-1</v>
      </c>
      <c r="AJ238" t="s">
        <v>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ROW(Source!A386)</f>
        <v>386</v>
      </c>
      <c r="B239">
        <v>72192541</v>
      </c>
      <c r="C239">
        <v>71589046</v>
      </c>
      <c r="D239">
        <v>71757693</v>
      </c>
      <c r="E239">
        <v>35</v>
      </c>
      <c r="F239">
        <v>1</v>
      </c>
      <c r="G239">
        <v>35</v>
      </c>
      <c r="H239">
        <v>1</v>
      </c>
      <c r="I239" t="s">
        <v>375</v>
      </c>
      <c r="J239" t="s">
        <v>3</v>
      </c>
      <c r="K239" t="s">
        <v>376</v>
      </c>
      <c r="L239">
        <v>1191</v>
      </c>
      <c r="N239">
        <v>1013</v>
      </c>
      <c r="O239" t="s">
        <v>377</v>
      </c>
      <c r="P239" t="s">
        <v>377</v>
      </c>
      <c r="Q239">
        <v>1</v>
      </c>
      <c r="X239">
        <v>29.74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1</v>
      </c>
      <c r="AF239" t="s">
        <v>3</v>
      </c>
      <c r="AG239">
        <v>29.74</v>
      </c>
      <c r="AH239">
        <v>3</v>
      </c>
      <c r="AI239">
        <v>-1</v>
      </c>
      <c r="AJ239" t="s">
        <v>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ROW(Source!A388)</f>
        <v>388</v>
      </c>
      <c r="B240">
        <v>72192542</v>
      </c>
      <c r="C240">
        <v>71589050</v>
      </c>
      <c r="D240">
        <v>71757693</v>
      </c>
      <c r="E240">
        <v>35</v>
      </c>
      <c r="F240">
        <v>1</v>
      </c>
      <c r="G240">
        <v>35</v>
      </c>
      <c r="H240">
        <v>1</v>
      </c>
      <c r="I240" t="s">
        <v>375</v>
      </c>
      <c r="J240" t="s">
        <v>3</v>
      </c>
      <c r="K240" t="s">
        <v>376</v>
      </c>
      <c r="L240">
        <v>1191</v>
      </c>
      <c r="N240">
        <v>1013</v>
      </c>
      <c r="O240" t="s">
        <v>377</v>
      </c>
      <c r="P240" t="s">
        <v>377</v>
      </c>
      <c r="Q240">
        <v>1</v>
      </c>
      <c r="X240">
        <v>17.260000000000002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1</v>
      </c>
      <c r="AF240" t="s">
        <v>3</v>
      </c>
      <c r="AG240">
        <v>17.260000000000002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ROW(Source!A388)</f>
        <v>388</v>
      </c>
      <c r="B241">
        <v>72192543</v>
      </c>
      <c r="C241">
        <v>71589050</v>
      </c>
      <c r="D241">
        <v>71771226</v>
      </c>
      <c r="E241">
        <v>1</v>
      </c>
      <c r="F241">
        <v>1</v>
      </c>
      <c r="G241">
        <v>35</v>
      </c>
      <c r="H241">
        <v>2</v>
      </c>
      <c r="I241" t="s">
        <v>466</v>
      </c>
      <c r="J241" t="s">
        <v>467</v>
      </c>
      <c r="K241" t="s">
        <v>468</v>
      </c>
      <c r="L241">
        <v>1368</v>
      </c>
      <c r="N241">
        <v>1011</v>
      </c>
      <c r="O241" t="s">
        <v>381</v>
      </c>
      <c r="P241" t="s">
        <v>381</v>
      </c>
      <c r="Q241">
        <v>1</v>
      </c>
      <c r="X241">
        <v>4.8499999999999996</v>
      </c>
      <c r="Y241">
        <v>0</v>
      </c>
      <c r="Z241">
        <v>8.8000000000000007</v>
      </c>
      <c r="AA241">
        <v>1.22</v>
      </c>
      <c r="AB241">
        <v>0</v>
      </c>
      <c r="AC241">
        <v>0</v>
      </c>
      <c r="AD241">
        <v>1</v>
      </c>
      <c r="AE241">
        <v>0</v>
      </c>
      <c r="AF241" t="s">
        <v>3</v>
      </c>
      <c r="AG241">
        <v>4.8499999999999996</v>
      </c>
      <c r="AH241">
        <v>3</v>
      </c>
      <c r="AI241">
        <v>-1</v>
      </c>
      <c r="AJ241" t="s">
        <v>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ROW(Source!A388)</f>
        <v>388</v>
      </c>
      <c r="B242">
        <v>72192544</v>
      </c>
      <c r="C242">
        <v>71589050</v>
      </c>
      <c r="D242">
        <v>71771187</v>
      </c>
      <c r="E242">
        <v>1</v>
      </c>
      <c r="F242">
        <v>1</v>
      </c>
      <c r="G242">
        <v>35</v>
      </c>
      <c r="H242">
        <v>2</v>
      </c>
      <c r="I242" t="s">
        <v>378</v>
      </c>
      <c r="J242" t="s">
        <v>379</v>
      </c>
      <c r="K242" t="s">
        <v>380</v>
      </c>
      <c r="L242">
        <v>1368</v>
      </c>
      <c r="N242">
        <v>1011</v>
      </c>
      <c r="O242" t="s">
        <v>381</v>
      </c>
      <c r="P242" t="s">
        <v>381</v>
      </c>
      <c r="Q242">
        <v>1</v>
      </c>
      <c r="X242">
        <v>0.48</v>
      </c>
      <c r="Y242">
        <v>0</v>
      </c>
      <c r="Z242">
        <v>5.27</v>
      </c>
      <c r="AA242">
        <v>0.01</v>
      </c>
      <c r="AB242">
        <v>0</v>
      </c>
      <c r="AC242">
        <v>0</v>
      </c>
      <c r="AD242">
        <v>1</v>
      </c>
      <c r="AE242">
        <v>0</v>
      </c>
      <c r="AF242" t="s">
        <v>3</v>
      </c>
      <c r="AG242">
        <v>0.48</v>
      </c>
      <c r="AH242">
        <v>3</v>
      </c>
      <c r="AI242">
        <v>-1</v>
      </c>
      <c r="AJ242" t="s">
        <v>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ROW(Source!A388)</f>
        <v>388</v>
      </c>
      <c r="B243">
        <v>72192545</v>
      </c>
      <c r="C243">
        <v>71589050</v>
      </c>
      <c r="D243">
        <v>71772392</v>
      </c>
      <c r="E243">
        <v>1</v>
      </c>
      <c r="F243">
        <v>1</v>
      </c>
      <c r="G243">
        <v>35</v>
      </c>
      <c r="H243">
        <v>3</v>
      </c>
      <c r="I243" t="s">
        <v>551</v>
      </c>
      <c r="J243" t="s">
        <v>552</v>
      </c>
      <c r="K243" t="s">
        <v>553</v>
      </c>
      <c r="L243">
        <v>1348</v>
      </c>
      <c r="N243">
        <v>1009</v>
      </c>
      <c r="O243" t="s">
        <v>38</v>
      </c>
      <c r="P243" t="s">
        <v>38</v>
      </c>
      <c r="Q243">
        <v>1000</v>
      </c>
      <c r="X243">
        <v>2.2200000000000002E-3</v>
      </c>
      <c r="Y243">
        <v>270642.38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3</v>
      </c>
      <c r="AG243">
        <v>2.2200000000000002E-3</v>
      </c>
      <c r="AH243">
        <v>3</v>
      </c>
      <c r="AI243">
        <v>-1</v>
      </c>
      <c r="AJ243" t="s">
        <v>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ROW(Source!A388)</f>
        <v>388</v>
      </c>
      <c r="B244">
        <v>72192546</v>
      </c>
      <c r="C244">
        <v>71589050</v>
      </c>
      <c r="D244">
        <v>71772482</v>
      </c>
      <c r="E244">
        <v>1</v>
      </c>
      <c r="F244">
        <v>1</v>
      </c>
      <c r="G244">
        <v>35</v>
      </c>
      <c r="H244">
        <v>3</v>
      </c>
      <c r="I244" t="s">
        <v>469</v>
      </c>
      <c r="J244" t="s">
        <v>470</v>
      </c>
      <c r="K244" t="s">
        <v>471</v>
      </c>
      <c r="L244">
        <v>1354</v>
      </c>
      <c r="N244">
        <v>1010</v>
      </c>
      <c r="O244" t="s">
        <v>51</v>
      </c>
      <c r="P244" t="s">
        <v>51</v>
      </c>
      <c r="Q244">
        <v>1</v>
      </c>
      <c r="X244">
        <v>120</v>
      </c>
      <c r="Y244">
        <v>1.7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3</v>
      </c>
      <c r="AG244">
        <v>120</v>
      </c>
      <c r="AH244">
        <v>3</v>
      </c>
      <c r="AI244">
        <v>-1</v>
      </c>
      <c r="AJ244" t="s">
        <v>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ROW(Source!A388)</f>
        <v>388</v>
      </c>
      <c r="B245">
        <v>72192547</v>
      </c>
      <c r="C245">
        <v>71589050</v>
      </c>
      <c r="D245">
        <v>71777349</v>
      </c>
      <c r="E245">
        <v>1</v>
      </c>
      <c r="F245">
        <v>1</v>
      </c>
      <c r="G245">
        <v>35</v>
      </c>
      <c r="H245">
        <v>3</v>
      </c>
      <c r="I245" t="s">
        <v>582</v>
      </c>
      <c r="J245" t="s">
        <v>583</v>
      </c>
      <c r="K245" t="s">
        <v>584</v>
      </c>
      <c r="L245">
        <v>1301</v>
      </c>
      <c r="N245">
        <v>1003</v>
      </c>
      <c r="O245" t="s">
        <v>475</v>
      </c>
      <c r="P245" t="s">
        <v>475</v>
      </c>
      <c r="Q245">
        <v>1</v>
      </c>
      <c r="X245">
        <v>102</v>
      </c>
      <c r="Y245">
        <v>25.92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 t="s">
        <v>3</v>
      </c>
      <c r="AG245">
        <v>102</v>
      </c>
      <c r="AH245">
        <v>3</v>
      </c>
      <c r="AI245">
        <v>-1</v>
      </c>
      <c r="AJ245" t="s">
        <v>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ROW(Source!A388)</f>
        <v>388</v>
      </c>
      <c r="B246">
        <v>72192548</v>
      </c>
      <c r="C246">
        <v>71589050</v>
      </c>
      <c r="D246">
        <v>71780570</v>
      </c>
      <c r="E246">
        <v>1</v>
      </c>
      <c r="F246">
        <v>1</v>
      </c>
      <c r="G246">
        <v>35</v>
      </c>
      <c r="H246">
        <v>3</v>
      </c>
      <c r="I246" t="s">
        <v>585</v>
      </c>
      <c r="J246" t="s">
        <v>586</v>
      </c>
      <c r="K246" t="s">
        <v>587</v>
      </c>
      <c r="L246">
        <v>1355</v>
      </c>
      <c r="N246">
        <v>1010</v>
      </c>
      <c r="O246" t="s">
        <v>33</v>
      </c>
      <c r="P246" t="s">
        <v>33</v>
      </c>
      <c r="Q246">
        <v>100</v>
      </c>
      <c r="X246">
        <v>1</v>
      </c>
      <c r="Y246">
        <v>453.4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3</v>
      </c>
      <c r="AG246">
        <v>1</v>
      </c>
      <c r="AH246">
        <v>3</v>
      </c>
      <c r="AI246">
        <v>-1</v>
      </c>
      <c r="AJ246" t="s">
        <v>3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ROW(Source!A388)</f>
        <v>388</v>
      </c>
      <c r="B247">
        <v>72192549</v>
      </c>
      <c r="C247">
        <v>71589050</v>
      </c>
      <c r="D247">
        <v>71780292</v>
      </c>
      <c r="E247">
        <v>1</v>
      </c>
      <c r="F247">
        <v>1</v>
      </c>
      <c r="G247">
        <v>35</v>
      </c>
      <c r="H247">
        <v>3</v>
      </c>
      <c r="I247" t="s">
        <v>588</v>
      </c>
      <c r="J247" t="s">
        <v>589</v>
      </c>
      <c r="K247" t="s">
        <v>590</v>
      </c>
      <c r="L247">
        <v>1354</v>
      </c>
      <c r="N247">
        <v>1010</v>
      </c>
      <c r="O247" t="s">
        <v>51</v>
      </c>
      <c r="P247" t="s">
        <v>51</v>
      </c>
      <c r="Q247">
        <v>1</v>
      </c>
      <c r="X247">
        <v>5</v>
      </c>
      <c r="Y247">
        <v>38.94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3</v>
      </c>
      <c r="AG247">
        <v>5</v>
      </c>
      <c r="AH247">
        <v>3</v>
      </c>
      <c r="AI247">
        <v>-1</v>
      </c>
      <c r="AJ247" t="s">
        <v>3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ROW(Source!A388)</f>
        <v>388</v>
      </c>
      <c r="B248">
        <v>72192550</v>
      </c>
      <c r="C248">
        <v>71589050</v>
      </c>
      <c r="D248">
        <v>71775619</v>
      </c>
      <c r="E248">
        <v>1</v>
      </c>
      <c r="F248">
        <v>1</v>
      </c>
      <c r="G248">
        <v>35</v>
      </c>
      <c r="H248">
        <v>3</v>
      </c>
      <c r="I248" t="s">
        <v>591</v>
      </c>
      <c r="J248" t="s">
        <v>592</v>
      </c>
      <c r="K248" t="s">
        <v>593</v>
      </c>
      <c r="L248">
        <v>1354</v>
      </c>
      <c r="N248">
        <v>1010</v>
      </c>
      <c r="O248" t="s">
        <v>51</v>
      </c>
      <c r="P248" t="s">
        <v>51</v>
      </c>
      <c r="Q248">
        <v>1</v>
      </c>
      <c r="X248">
        <v>1.5</v>
      </c>
      <c r="Y248">
        <v>310.08999999999997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3</v>
      </c>
      <c r="AG248">
        <v>1.5</v>
      </c>
      <c r="AH248">
        <v>3</v>
      </c>
      <c r="AI248">
        <v>-1</v>
      </c>
      <c r="AJ248" t="s">
        <v>3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ROW(Source!A389)</f>
        <v>389</v>
      </c>
      <c r="B249">
        <v>72192551</v>
      </c>
      <c r="C249">
        <v>71589060</v>
      </c>
      <c r="D249">
        <v>71757693</v>
      </c>
      <c r="E249">
        <v>35</v>
      </c>
      <c r="F249">
        <v>1</v>
      </c>
      <c r="G249">
        <v>35</v>
      </c>
      <c r="H249">
        <v>1</v>
      </c>
      <c r="I249" t="s">
        <v>375</v>
      </c>
      <c r="J249" t="s">
        <v>3</v>
      </c>
      <c r="K249" t="s">
        <v>376</v>
      </c>
      <c r="L249">
        <v>1191</v>
      </c>
      <c r="N249">
        <v>1013</v>
      </c>
      <c r="O249" t="s">
        <v>377</v>
      </c>
      <c r="P249" t="s">
        <v>377</v>
      </c>
      <c r="Q249">
        <v>1</v>
      </c>
      <c r="X249">
        <v>7.11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1</v>
      </c>
      <c r="AF249" t="s">
        <v>3</v>
      </c>
      <c r="AG249">
        <v>7.11</v>
      </c>
      <c r="AH249">
        <v>3</v>
      </c>
      <c r="AI249">
        <v>-1</v>
      </c>
      <c r="AJ249" t="s">
        <v>3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ROW(Source!A391)</f>
        <v>391</v>
      </c>
      <c r="B250">
        <v>72192552</v>
      </c>
      <c r="C250">
        <v>71589065</v>
      </c>
      <c r="D250">
        <v>71757693</v>
      </c>
      <c r="E250">
        <v>35</v>
      </c>
      <c r="F250">
        <v>1</v>
      </c>
      <c r="G250">
        <v>35</v>
      </c>
      <c r="H250">
        <v>1</v>
      </c>
      <c r="I250" t="s">
        <v>375</v>
      </c>
      <c r="J250" t="s">
        <v>3</v>
      </c>
      <c r="K250" t="s">
        <v>376</v>
      </c>
      <c r="L250">
        <v>1191</v>
      </c>
      <c r="N250">
        <v>1013</v>
      </c>
      <c r="O250" t="s">
        <v>377</v>
      </c>
      <c r="P250" t="s">
        <v>377</v>
      </c>
      <c r="Q250">
        <v>1</v>
      </c>
      <c r="X250">
        <v>196.42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</v>
      </c>
      <c r="AF250" t="s">
        <v>3</v>
      </c>
      <c r="AG250">
        <v>196.42</v>
      </c>
      <c r="AH250">
        <v>3</v>
      </c>
      <c r="AI250">
        <v>-1</v>
      </c>
      <c r="AJ250" t="s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ROW(Source!A458)</f>
        <v>458</v>
      </c>
      <c r="B251">
        <v>72192553</v>
      </c>
      <c r="C251">
        <v>71589170</v>
      </c>
      <c r="D251">
        <v>71770251</v>
      </c>
      <c r="E251">
        <v>1</v>
      </c>
      <c r="F251">
        <v>1</v>
      </c>
      <c r="G251">
        <v>35</v>
      </c>
      <c r="H251">
        <v>2</v>
      </c>
      <c r="I251" t="s">
        <v>660</v>
      </c>
      <c r="J251" t="s">
        <v>661</v>
      </c>
      <c r="K251" t="s">
        <v>662</v>
      </c>
      <c r="L251">
        <v>1368</v>
      </c>
      <c r="N251">
        <v>1011</v>
      </c>
      <c r="O251" t="s">
        <v>381</v>
      </c>
      <c r="P251" t="s">
        <v>381</v>
      </c>
      <c r="Q251">
        <v>1</v>
      </c>
      <c r="X251">
        <v>5.3699999999999998E-2</v>
      </c>
      <c r="Y251">
        <v>0</v>
      </c>
      <c r="Z251">
        <v>1788.02</v>
      </c>
      <c r="AA251">
        <v>599.69000000000005</v>
      </c>
      <c r="AB251">
        <v>0</v>
      </c>
      <c r="AC251">
        <v>0</v>
      </c>
      <c r="AD251">
        <v>1</v>
      </c>
      <c r="AE251">
        <v>0</v>
      </c>
      <c r="AF251" t="s">
        <v>3</v>
      </c>
      <c r="AG251">
        <v>5.3699999999999998E-2</v>
      </c>
      <c r="AH251">
        <v>3</v>
      </c>
      <c r="AI251">
        <v>-1</v>
      </c>
      <c r="AJ251" t="s">
        <v>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ROW(Source!A459)</f>
        <v>459</v>
      </c>
      <c r="B252">
        <v>72192554</v>
      </c>
      <c r="C252">
        <v>71589173</v>
      </c>
      <c r="D252">
        <v>71771105</v>
      </c>
      <c r="E252">
        <v>1</v>
      </c>
      <c r="F252">
        <v>1</v>
      </c>
      <c r="G252">
        <v>35</v>
      </c>
      <c r="H252">
        <v>2</v>
      </c>
      <c r="I252" t="s">
        <v>663</v>
      </c>
      <c r="J252" t="s">
        <v>664</v>
      </c>
      <c r="K252" t="s">
        <v>665</v>
      </c>
      <c r="L252">
        <v>1368</v>
      </c>
      <c r="N252">
        <v>1011</v>
      </c>
      <c r="O252" t="s">
        <v>381</v>
      </c>
      <c r="P252" t="s">
        <v>381</v>
      </c>
      <c r="Q252">
        <v>1</v>
      </c>
      <c r="X252">
        <v>0.02</v>
      </c>
      <c r="Y252">
        <v>0</v>
      </c>
      <c r="Z252">
        <v>1246.8599999999999</v>
      </c>
      <c r="AA252">
        <v>394.82</v>
      </c>
      <c r="AB252">
        <v>0</v>
      </c>
      <c r="AC252">
        <v>0</v>
      </c>
      <c r="AD252">
        <v>1</v>
      </c>
      <c r="AE252">
        <v>0</v>
      </c>
      <c r="AF252" t="s">
        <v>3</v>
      </c>
      <c r="AG252">
        <v>0.02</v>
      </c>
      <c r="AH252">
        <v>3</v>
      </c>
      <c r="AI252">
        <v>-1</v>
      </c>
      <c r="AJ252" t="s">
        <v>3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ROW(Source!A459)</f>
        <v>459</v>
      </c>
      <c r="B253">
        <v>72192555</v>
      </c>
      <c r="C253">
        <v>71589173</v>
      </c>
      <c r="D253">
        <v>71771106</v>
      </c>
      <c r="E253">
        <v>1</v>
      </c>
      <c r="F253">
        <v>1</v>
      </c>
      <c r="G253">
        <v>35</v>
      </c>
      <c r="H253">
        <v>2</v>
      </c>
      <c r="I253" t="s">
        <v>666</v>
      </c>
      <c r="J253" t="s">
        <v>667</v>
      </c>
      <c r="K253" t="s">
        <v>668</v>
      </c>
      <c r="L253">
        <v>1368</v>
      </c>
      <c r="N253">
        <v>1011</v>
      </c>
      <c r="O253" t="s">
        <v>381</v>
      </c>
      <c r="P253" t="s">
        <v>381</v>
      </c>
      <c r="Q253">
        <v>1</v>
      </c>
      <c r="X253">
        <v>1.7999999999999999E-2</v>
      </c>
      <c r="Y253">
        <v>0</v>
      </c>
      <c r="Z253">
        <v>1245.97</v>
      </c>
      <c r="AA253">
        <v>395.22</v>
      </c>
      <c r="AB253">
        <v>0</v>
      </c>
      <c r="AC253">
        <v>0</v>
      </c>
      <c r="AD253">
        <v>1</v>
      </c>
      <c r="AE253">
        <v>0</v>
      </c>
      <c r="AF253" t="s">
        <v>3</v>
      </c>
      <c r="AG253">
        <v>1.7999999999999999E-2</v>
      </c>
      <c r="AH253">
        <v>3</v>
      </c>
      <c r="AI253">
        <v>-1</v>
      </c>
      <c r="AJ253" t="s">
        <v>3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ROW(Source!A460)</f>
        <v>460</v>
      </c>
      <c r="B254">
        <v>72192556</v>
      </c>
      <c r="C254">
        <v>71589178</v>
      </c>
      <c r="D254">
        <v>71771105</v>
      </c>
      <c r="E254">
        <v>1</v>
      </c>
      <c r="F254">
        <v>1</v>
      </c>
      <c r="G254">
        <v>35</v>
      </c>
      <c r="H254">
        <v>2</v>
      </c>
      <c r="I254" t="s">
        <v>663</v>
      </c>
      <c r="J254" t="s">
        <v>664</v>
      </c>
      <c r="K254" t="s">
        <v>665</v>
      </c>
      <c r="L254">
        <v>1368</v>
      </c>
      <c r="N254">
        <v>1011</v>
      </c>
      <c r="O254" t="s">
        <v>381</v>
      </c>
      <c r="P254" t="s">
        <v>381</v>
      </c>
      <c r="Q254">
        <v>1</v>
      </c>
      <c r="X254">
        <v>0.01</v>
      </c>
      <c r="Y254">
        <v>0</v>
      </c>
      <c r="Z254">
        <v>1246.8599999999999</v>
      </c>
      <c r="AA254">
        <v>394.82</v>
      </c>
      <c r="AB254">
        <v>0</v>
      </c>
      <c r="AC254">
        <v>0</v>
      </c>
      <c r="AD254">
        <v>1</v>
      </c>
      <c r="AE254">
        <v>0</v>
      </c>
      <c r="AF254" t="s">
        <v>345</v>
      </c>
      <c r="AG254">
        <v>0.42</v>
      </c>
      <c r="AH254">
        <v>3</v>
      </c>
      <c r="AI254">
        <v>-1</v>
      </c>
      <c r="AJ254" t="s">
        <v>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ROW(Source!A460)</f>
        <v>460</v>
      </c>
      <c r="B255">
        <v>72192557</v>
      </c>
      <c r="C255">
        <v>71589178</v>
      </c>
      <c r="D255">
        <v>71771106</v>
      </c>
      <c r="E255">
        <v>1</v>
      </c>
      <c r="F255">
        <v>1</v>
      </c>
      <c r="G255">
        <v>35</v>
      </c>
      <c r="H255">
        <v>2</v>
      </c>
      <c r="I255" t="s">
        <v>666</v>
      </c>
      <c r="J255" t="s">
        <v>667</v>
      </c>
      <c r="K255" t="s">
        <v>668</v>
      </c>
      <c r="L255">
        <v>1368</v>
      </c>
      <c r="N255">
        <v>1011</v>
      </c>
      <c r="O255" t="s">
        <v>381</v>
      </c>
      <c r="P255" t="s">
        <v>381</v>
      </c>
      <c r="Q255">
        <v>1</v>
      </c>
      <c r="X255">
        <v>8.0000000000000002E-3</v>
      </c>
      <c r="Y255">
        <v>0</v>
      </c>
      <c r="Z255">
        <v>1245.97</v>
      </c>
      <c r="AA255">
        <v>395.22</v>
      </c>
      <c r="AB255">
        <v>0</v>
      </c>
      <c r="AC255">
        <v>0</v>
      </c>
      <c r="AD255">
        <v>1</v>
      </c>
      <c r="AE255">
        <v>0</v>
      </c>
      <c r="AF255" t="s">
        <v>345</v>
      </c>
      <c r="AG255">
        <v>0.33600000000000002</v>
      </c>
      <c r="AH255">
        <v>3</v>
      </c>
      <c r="AI255">
        <v>-1</v>
      </c>
      <c r="AJ255" t="s">
        <v>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2.75" x14ac:dyDescent="0.2"/>
  <cols>
    <col min="1" max="256" width="9.14062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6</vt:i4>
      </vt:variant>
    </vt:vector>
  </HeadingPairs>
  <TitlesOfParts>
    <vt:vector size="15" baseType="lpstr">
      <vt:lpstr>Смета СН-2012 по гл. 1-5</vt:lpstr>
      <vt:lpstr>Дефектная ведомость</vt:lpstr>
      <vt:lpstr>RV_DATA</vt:lpstr>
      <vt:lpstr>Расчет стоимости ресурсов</vt:lpstr>
      <vt:lpstr>Source</vt:lpstr>
      <vt:lpstr>SourceObSm</vt:lpstr>
      <vt:lpstr>SmtRes</vt:lpstr>
      <vt:lpstr>EtalonRes</vt:lpstr>
      <vt:lpstr>SrcKA</vt:lpstr>
      <vt:lpstr>'Дефектная ведомость'!Заголовки_для_печати</vt:lpstr>
      <vt:lpstr>'Расчет стоимости ресурсов'!Заголовки_для_печати</vt:lpstr>
      <vt:lpstr>'Смета СН-2012 по гл. 1-5'!Заголовки_для_печати</vt:lpstr>
      <vt:lpstr>'Дефектная ведомость'!Область_печати</vt:lpstr>
      <vt:lpstr>'Расчет стоимости ресурсов'!Область_печати</vt:lpstr>
      <vt:lpstr>'Смета СН-2012 по гл. 1-5'!Область_печати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Цикаришвили Теймураз</dc:creator>
  <cp:lastModifiedBy>Иманбаев Батырхан Кенжигалеевич</cp:lastModifiedBy>
  <cp:lastPrinted>2024-03-13T05:55:24Z</cp:lastPrinted>
  <dcterms:created xsi:type="dcterms:W3CDTF">2024-03-12T16:30:17Z</dcterms:created>
  <dcterms:modified xsi:type="dcterms:W3CDTF">2026-03-18T08:53:45Z</dcterms:modified>
</cp:coreProperties>
</file>